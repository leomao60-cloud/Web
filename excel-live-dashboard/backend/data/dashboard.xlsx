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xl/webextensions/webextension5.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G:\WVM\Safety\Level 3\Leo Mao Folder\Recordable Incident file&amp;Videos 2026\"/>
    </mc:Choice>
  </mc:AlternateContent>
  <xr:revisionPtr revIDLastSave="0" documentId="13_ncr:1_{83312442-0390-41F1-9FF9-5E7C62567CFE}" xr6:coauthVersionLast="47" xr6:coauthVersionMax="47" xr10:uidLastSave="{00000000-0000-0000-0000-000000000000}"/>
  <bookViews>
    <workbookView xWindow="28680" yWindow="855" windowWidth="29040" windowHeight="15720" activeTab="17" xr2:uid="{F0F9F181-BC59-4349-ADCB-79916F6F5050}"/>
  </bookViews>
  <sheets>
    <sheet name="Filter Dashboard" sheetId="41" r:id="rId1"/>
    <sheet name="Filter_Lists" sheetId="42" state="hidden" r:id="rId2"/>
    <sheet name="Dashboard" sheetId="38" r:id="rId3"/>
    <sheet name="Data" sheetId="37" state="hidden" r:id="rId4"/>
    <sheet name="PivotCache" sheetId="39" state="hidden" r:id="rId5"/>
    <sheet name="Notes" sheetId="40" state="hidden" r:id="rId6"/>
    <sheet name="Month" sheetId="15" state="hidden" r:id="rId7"/>
    <sheet name="FA-RPO-RECORDABLE" sheetId="6" state="hidden" r:id="rId8"/>
    <sheet name="YEAR" sheetId="12" state="hidden" r:id="rId9"/>
    <sheet name="BY QTRS" sheetId="7" state="hidden" r:id="rId10"/>
    <sheet name="BY DEPARTMENT" sheetId="9" state="hidden" r:id="rId11"/>
    <sheet name="ERGO" sheetId="14" state="hidden" r:id="rId12"/>
    <sheet name="Area" sheetId="17" state="hidden" r:id="rId13"/>
    <sheet name="ERgo By Dept" sheetId="18" state="hidden" r:id="rId14"/>
    <sheet name="FA" sheetId="19" state="hidden" r:id="rId15"/>
    <sheet name="Dashboard Data" sheetId="21" state="hidden" r:id="rId16"/>
    <sheet name="Supervisor Insights" sheetId="34" r:id="rId17"/>
    <sheet name="Master_List_Of_Injuries" sheetId="4" r:id="rId18"/>
  </sheets>
  <definedNames>
    <definedName name="colArea">_xlfn.ANCHORARRAY(Filter_Lists!$E$2)</definedName>
    <definedName name="colBody">_xlfn.ANCHORARRAY(Filter_Lists!$H$2)</definedName>
    <definedName name="colDept">_xlfn.ANCHORARRAY(Filter_Lists!$D$2)</definedName>
    <definedName name="colDOI">_xlfn.ANCHORARRAY(Filter_Lists!$B$2)</definedName>
    <definedName name="colESI">_xlfn.ANCHORARRAY(Filter_Lists!$I$2)</definedName>
    <definedName name="colJTP">_xlfn.ANCHORARRAY(Filter_Lists!$F$2)</definedName>
    <definedName name="colMonth">_xlfn.ANCHORARRAY(Filter_Lists!$L$2)</definedName>
    <definedName name="colName">_xlfn.ANCHORARRAY(Filter_Lists!$A$2)</definedName>
    <definedName name="colRec">_xlfn.ANCHORARRAY(Filter_Lists!$J$2)</definedName>
    <definedName name="colSup">_xlfn.ANCHORARRAY(Filter_Lists!$C$2)</definedName>
    <definedName name="colType">_xlfn.ANCHORARRAY(Filter_Lists!$G$2)</definedName>
    <definedName name="colYear">_xlfn.ANCHORARRAY(Filter_Lists!$K$2)</definedName>
    <definedName name="ExternalData_1" localSheetId="17" hidden="1">Master_List_Of_Injuries!$A$1:$N$581</definedName>
    <definedName name="fMask">_xlfn.ANCHORARRAY(Filter_Lists!$X$2)</definedName>
    <definedName name="fromOffset">Filter_Lists!$V$3</definedName>
    <definedName name="listArea">_xlfn.ANCHORARRAY(Filter_Lists!$T$2)</definedName>
    <definedName name="listDept">_xlfn.ANCHORARRAY(Filter_Lists!$N$2)</definedName>
    <definedName name="listESI">_xlfn.ANCHORARRAY(Filter_Lists!$Q$2)</definedName>
    <definedName name="listRec">_xlfn.ANCHORARRAY(Filter_Lists!$R$2)</definedName>
    <definedName name="listSup">_xlfn.ANCHORARRAY(Filter_Lists!$O$2)</definedName>
    <definedName name="listType">_xlfn.ANCHORARRAY(Filter_Lists!$P$2)</definedName>
    <definedName name="listYear">_xlfn.ANCHORARRAY(Filter_Lists!$S$2)</definedName>
    <definedName name="maxDOI">Filter_Lists!$V$2</definedName>
    <definedName name="minDOI">Filter_Lists!$V$1</definedName>
    <definedName name="selArea">'Filter Dashboard'!$C$6</definedName>
    <definedName name="selDept">'Filter Dashboard'!$C$5</definedName>
    <definedName name="selESI">'Filter Dashboard'!$F$5</definedName>
    <definedName name="selFrom">'Filter Dashboard'!$I$5</definedName>
    <definedName name="selMode">'Filter Dashboard'!$I$7</definedName>
    <definedName name="selRec">'Filter Dashboard'!$F$6</definedName>
    <definedName name="selSearch">'Filter Dashboard'!$F$8</definedName>
    <definedName name="selSup">'Filter Dashboard'!$C$7</definedName>
    <definedName name="selTo">'Filter Dashboard'!$I$6</definedName>
    <definedName name="selType">'Filter Dashboard'!$C$8</definedName>
    <definedName name="selYear">'Filter Dashboard'!$F$7</definedName>
    <definedName name="Slicer_Area">#N/A</definedName>
    <definedName name="Slicer_Department">#N/A</definedName>
    <definedName name="Slicer_ESI_Status">#N/A</definedName>
    <definedName name="Slicer_JTP">#N/A</definedName>
    <definedName name="Slicer_Month">#N/A</definedName>
    <definedName name="Slicer_Month1">#N/A</definedName>
    <definedName name="Slicer_Supervisor">#N/A</definedName>
    <definedName name="Slicer_Year">#N/A</definedName>
    <definedName name="Slicer_Year1">#N/A</definedName>
    <definedName name="toOffset">Filter_Lists!$V$4</definedName>
  </definedNames>
  <calcPr calcId="191029"/>
  <pivotCaches>
    <pivotCache cacheId="130"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9" i="21" l="1"/>
  <c r="A50" i="21"/>
  <c r="A51" i="21"/>
  <c r="A52" i="21"/>
  <c r="A53" i="21"/>
  <c r="A54" i="21"/>
  <c r="A55" i="21"/>
  <c r="A56" i="21"/>
  <c r="A57" i="21"/>
  <c r="A58" i="21"/>
  <c r="A59" i="21"/>
  <c r="A60" i="21"/>
  <c r="A61" i="21"/>
  <c r="A62" i="21"/>
  <c r="A63" i="21"/>
  <c r="A64" i="21"/>
  <c r="A65" i="21"/>
  <c r="A66" i="21"/>
  <c r="A67" i="21"/>
  <c r="A68" i="21"/>
  <c r="A69" i="21"/>
  <c r="A70" i="21"/>
  <c r="A71" i="21"/>
  <c r="A72" i="21"/>
  <c r="A73" i="21"/>
  <c r="A74" i="21"/>
  <c r="A75" i="21"/>
  <c r="A76" i="21"/>
  <c r="A77" i="21"/>
  <c r="A78" i="21"/>
  <c r="A79" i="21"/>
  <c r="A102" i="38" l="1"/>
  <c r="G22" i="21"/>
  <c r="E16" i="21"/>
  <c r="E17" i="21"/>
  <c r="E18" i="21"/>
  <c r="E19" i="21"/>
  <c r="E20" i="21"/>
  <c r="E21" i="21"/>
  <c r="E22" i="21"/>
  <c r="E23" i="21"/>
  <c r="E24" i="21"/>
  <c r="E25" i="21"/>
  <c r="E26" i="21"/>
  <c r="E27" i="21"/>
  <c r="E28" i="21"/>
  <c r="E29" i="21"/>
  <c r="E30" i="21"/>
  <c r="E31" i="21"/>
  <c r="E32" i="21"/>
  <c r="E33" i="21"/>
  <c r="E34" i="21"/>
  <c r="E35" i="21"/>
  <c r="E36" i="21"/>
  <c r="E37" i="21"/>
  <c r="E38" i="21"/>
  <c r="E39" i="21"/>
  <c r="E40" i="21"/>
  <c r="E41" i="21"/>
  <c r="E42" i="21"/>
  <c r="E43" i="21"/>
  <c r="E44" i="21"/>
  <c r="E45" i="21"/>
  <c r="E15" i="21"/>
  <c r="G21" i="21"/>
  <c r="G20" i="21" a="1"/>
  <c r="G20" i="21" s="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16" i="21"/>
  <c r="A18" i="21"/>
  <c r="A19" i="21"/>
  <c r="A20" i="21" s="1"/>
  <c r="A21" i="21" s="1"/>
  <c r="A22" i="21" s="1"/>
  <c r="A23" i="21" s="1"/>
  <c r="A24" i="21" s="1"/>
  <c r="A25" i="21" s="1"/>
  <c r="A26" i="21" s="1"/>
  <c r="A27" i="21" s="1"/>
  <c r="A28" i="21" s="1"/>
  <c r="A29" i="21" s="1"/>
  <c r="A30" i="21" s="1"/>
  <c r="A31" i="21" s="1"/>
  <c r="A32" i="21" s="1"/>
  <c r="A33" i="21" s="1"/>
  <c r="A34" i="21" s="1"/>
  <c r="A35" i="21" s="1"/>
  <c r="A36" i="21" s="1"/>
  <c r="A37" i="21" s="1"/>
  <c r="A38" i="21" s="1"/>
  <c r="A39" i="21" s="1"/>
  <c r="A40" i="21" s="1"/>
  <c r="A41" i="21" s="1"/>
  <c r="A42" i="21" s="1"/>
  <c r="A43" i="21" s="1"/>
  <c r="A44" i="21" s="1"/>
  <c r="A45" i="21" s="1"/>
  <c r="D45" i="21" s="1"/>
  <c r="A17" i="21"/>
  <c r="D15" i="21"/>
  <c r="A16" i="21"/>
  <c r="A15" i="21"/>
  <c r="B116" i="37"/>
  <c r="B64" i="34"/>
  <c r="A11" i="34" s="1"/>
  <c r="B63" i="34"/>
  <c r="O8" i="21" a="1"/>
  <c r="O8" i="21" s="1"/>
  <c r="L2" i="42" a="1"/>
  <c r="L2" i="42" s="1"/>
  <c r="K2" i="42" a="1"/>
  <c r="K2" i="42" s="1"/>
  <c r="J2" i="42" a="1"/>
  <c r="I2" i="42" a="1"/>
  <c r="I2" i="42" s="1"/>
  <c r="H2" i="42" a="1"/>
  <c r="H2" i="42" s="1"/>
  <c r="G2" i="42" a="1"/>
  <c r="F2" i="42" a="1"/>
  <c r="F2" i="42" s="1"/>
  <c r="E2" i="42" a="1"/>
  <c r="E2" i="42" s="1"/>
  <c r="D2" i="42" a="1"/>
  <c r="C2" i="42" a="1"/>
  <c r="B2" i="42" a="1"/>
  <c r="A2" i="42" a="1"/>
  <c r="A2" i="42" s="1"/>
  <c r="B112" i="37"/>
  <c r="R4" i="38"/>
  <c r="O37" i="37"/>
  <c r="O36" i="37"/>
  <c r="O35" i="37"/>
  <c r="O34" i="37"/>
  <c r="O33" i="37"/>
  <c r="O32" i="37"/>
  <c r="O31" i="37"/>
  <c r="O30" i="37"/>
  <c r="O29" i="37"/>
  <c r="O28" i="37"/>
  <c r="O27" i="37"/>
  <c r="O26" i="37"/>
  <c r="G55" i="37"/>
  <c r="G54" i="37"/>
  <c r="G53" i="37"/>
  <c r="F33" i="37" a="1"/>
  <c r="F33" i="37" s="1"/>
  <c r="E33" i="37" a="1"/>
  <c r="E33" i="37" s="1"/>
  <c r="D33" i="37"/>
  <c r="C48" i="37" s="1"/>
  <c r="C33" i="37"/>
  <c r="B48" i="37" s="1"/>
  <c r="F32" i="37" a="1"/>
  <c r="F32" i="37" s="1"/>
  <c r="E32" i="37" a="1"/>
  <c r="E32" i="37" s="1"/>
  <c r="D32" i="37"/>
  <c r="C47" i="37" s="1"/>
  <c r="C32" i="37"/>
  <c r="B47" i="37" s="1"/>
  <c r="F31" i="37" a="1"/>
  <c r="F31" i="37" s="1"/>
  <c r="E31" i="37" a="1"/>
  <c r="E31" i="37" s="1"/>
  <c r="D31" i="37"/>
  <c r="C46" i="37" s="1"/>
  <c r="C31" i="37"/>
  <c r="B46" i="37" s="1"/>
  <c r="F30" i="37" a="1"/>
  <c r="F30" i="37" s="1"/>
  <c r="E30" i="37" a="1"/>
  <c r="E30" i="37" s="1"/>
  <c r="D30" i="37"/>
  <c r="C45" i="37" s="1"/>
  <c r="C30" i="37"/>
  <c r="B45" i="37" s="1"/>
  <c r="F29" i="37" a="1"/>
  <c r="F29" i="37" s="1"/>
  <c r="E29" i="37" a="1"/>
  <c r="E29" i="37" s="1"/>
  <c r="D29" i="37"/>
  <c r="C44" i="37" s="1"/>
  <c r="C29" i="37"/>
  <c r="B44" i="37" s="1"/>
  <c r="F28" i="37" a="1"/>
  <c r="F28" i="37" s="1"/>
  <c r="E28" i="37" a="1"/>
  <c r="E28" i="37" s="1"/>
  <c r="D28" i="37"/>
  <c r="C43" i="37" s="1"/>
  <c r="C28" i="37"/>
  <c r="B43" i="37" s="1"/>
  <c r="F27" i="37" a="1"/>
  <c r="F27" i="37" s="1"/>
  <c r="E27" i="37" a="1"/>
  <c r="E27" i="37" s="1"/>
  <c r="D27" i="37"/>
  <c r="C42" i="37" s="1"/>
  <c r="C27" i="37"/>
  <c r="B42" i="37" s="1"/>
  <c r="F26" i="37" a="1"/>
  <c r="F26" i="37" s="1"/>
  <c r="E26" i="37" a="1"/>
  <c r="E26" i="37" s="1"/>
  <c r="D26" i="37"/>
  <c r="C41" i="37" s="1"/>
  <c r="C26" i="37"/>
  <c r="B41" i="37" s="1"/>
  <c r="F25" i="37" a="1"/>
  <c r="F25" i="37" s="1"/>
  <c r="E25" i="37" a="1"/>
  <c r="E25" i="37" s="1"/>
  <c r="D25" i="37"/>
  <c r="C40" i="37" s="1"/>
  <c r="C25" i="37"/>
  <c r="B40" i="37" s="1"/>
  <c r="F24" i="37" a="1"/>
  <c r="F24" i="37" s="1"/>
  <c r="E24" i="37" a="1"/>
  <c r="E24" i="37" s="1"/>
  <c r="D24" i="37"/>
  <c r="C39" i="37" s="1"/>
  <c r="C24" i="37"/>
  <c r="B39" i="37" s="1"/>
  <c r="F23" i="37" a="1"/>
  <c r="F23" i="37" s="1"/>
  <c r="E23" i="37" a="1"/>
  <c r="E23" i="37" s="1"/>
  <c r="D23" i="37"/>
  <c r="C38" i="37" s="1"/>
  <c r="C23" i="37"/>
  <c r="B38" i="37" s="1"/>
  <c r="F22" i="37" a="1"/>
  <c r="F22" i="37" s="1"/>
  <c r="E22" i="37" a="1"/>
  <c r="E22" i="37" s="1"/>
  <c r="D22" i="37"/>
  <c r="C37" i="37" s="1"/>
  <c r="C22" i="37"/>
  <c r="B37" i="37" s="1"/>
  <c r="R31" i="37"/>
  <c r="R30" i="37"/>
  <c r="R29" i="37"/>
  <c r="R28" i="37"/>
  <c r="R27" i="37"/>
  <c r="R26" i="37"/>
  <c r="R25" i="37"/>
  <c r="R24" i="37"/>
  <c r="R23" i="37"/>
  <c r="R22" i="37"/>
  <c r="S17" i="37" a="1"/>
  <c r="S17" i="37" s="1"/>
  <c r="R17" i="37"/>
  <c r="S16" i="37" a="1"/>
  <c r="S16" i="37" s="1"/>
  <c r="R16" i="37"/>
  <c r="S15" i="37" a="1"/>
  <c r="S15" i="37" s="1"/>
  <c r="R15" i="37"/>
  <c r="S14" i="37" a="1"/>
  <c r="S14" i="37" s="1"/>
  <c r="R14" i="37"/>
  <c r="S13" i="37" a="1"/>
  <c r="S13" i="37" s="1"/>
  <c r="R13" i="37"/>
  <c r="S12" i="37" a="1"/>
  <c r="S12" i="37" s="1"/>
  <c r="R12" i="37"/>
  <c r="S11" i="37" a="1"/>
  <c r="S11" i="37" s="1"/>
  <c r="R11" i="37"/>
  <c r="S10" i="37" a="1"/>
  <c r="S10" i="37" s="1"/>
  <c r="R10" i="37"/>
  <c r="S9" i="37" a="1"/>
  <c r="S9" i="37" s="1"/>
  <c r="R9" i="37"/>
  <c r="S8" i="37" a="1"/>
  <c r="S8" i="37" s="1"/>
  <c r="R8" i="37"/>
  <c r="O21" i="37"/>
  <c r="O20" i="37"/>
  <c r="O19" i="37"/>
  <c r="O18" i="37"/>
  <c r="O17" i="37"/>
  <c r="O16" i="37"/>
  <c r="O15" i="37"/>
  <c r="O14" i="37"/>
  <c r="O13" i="37"/>
  <c r="O12" i="37"/>
  <c r="O11" i="37"/>
  <c r="O10" i="37"/>
  <c r="O9" i="37"/>
  <c r="O8" i="37"/>
  <c r="I25" i="37"/>
  <c r="H55" i="37" s="1"/>
  <c r="I24" i="37"/>
  <c r="I23" i="37"/>
  <c r="K18" i="37" a="1"/>
  <c r="K18" i="37" s="1"/>
  <c r="I18" i="37"/>
  <c r="K17" i="37" a="1"/>
  <c r="K17" i="37" s="1"/>
  <c r="I17" i="37"/>
  <c r="K16" i="37" a="1"/>
  <c r="K16" i="37" s="1"/>
  <c r="I16" i="37"/>
  <c r="K15" i="37" a="1"/>
  <c r="K15" i="37" s="1"/>
  <c r="I15" i="37"/>
  <c r="K14" i="37" a="1"/>
  <c r="K14" i="37" s="1"/>
  <c r="I14" i="37"/>
  <c r="K13" i="37" a="1"/>
  <c r="K13" i="37" s="1"/>
  <c r="I13" i="37"/>
  <c r="K12" i="37" a="1"/>
  <c r="K12" i="37" s="1"/>
  <c r="I12" i="37"/>
  <c r="K11" i="37" a="1"/>
  <c r="K11" i="37" s="1"/>
  <c r="I11" i="37"/>
  <c r="K10" i="37" a="1"/>
  <c r="K10" i="37" s="1"/>
  <c r="I10" i="37"/>
  <c r="K9" i="37" a="1"/>
  <c r="K9" i="37" s="1"/>
  <c r="I9" i="37"/>
  <c r="K8" i="37" a="1"/>
  <c r="K8" i="37" s="1"/>
  <c r="I8" i="37"/>
  <c r="D10" i="37" a="1"/>
  <c r="D10" i="37" s="1"/>
  <c r="K19" i="38" s="1"/>
  <c r="D9" i="37" a="1"/>
  <c r="D9" i="37" s="1"/>
  <c r="K18" i="38" s="1"/>
  <c r="D8" i="37" a="1"/>
  <c r="D8" i="37" s="1"/>
  <c r="K17" i="38" s="1"/>
  <c r="D7" i="37" a="1"/>
  <c r="D7" i="37" s="1"/>
  <c r="K16" i="38" s="1"/>
  <c r="C10" i="37"/>
  <c r="C9" i="37"/>
  <c r="C8" i="37" a="1"/>
  <c r="C8" i="37" s="1"/>
  <c r="C7" i="37"/>
  <c r="B16" i="37"/>
  <c r="B12" i="37" s="1"/>
  <c r="C6" i="38" s="1"/>
  <c r="B15" i="37"/>
  <c r="B10" i="37"/>
  <c r="B9" i="37"/>
  <c r="J18" i="38" s="1"/>
  <c r="B8" i="37" a="1"/>
  <c r="B8" i="37" s="1"/>
  <c r="G18" i="21" s="1"/>
  <c r="B7" i="37"/>
  <c r="A10" i="38" s="1"/>
  <c r="B2" i="37"/>
  <c r="B36" i="38" s="1"/>
  <c r="G16" i="21" l="1"/>
  <c r="AH1" i="42"/>
  <c r="G2" i="42"/>
  <c r="P2" i="42" s="1" a="1"/>
  <c r="P2" i="42" s="1"/>
  <c r="B2" i="42"/>
  <c r="V2" i="42" s="1"/>
  <c r="AI4" i="42" s="1"/>
  <c r="J2" i="42"/>
  <c r="R2" i="42" s="1" a="1"/>
  <c r="R2" i="42" s="1"/>
  <c r="C2" i="42"/>
  <c r="O2" i="42" s="1" a="1"/>
  <c r="O2" i="42" s="1"/>
  <c r="D2" i="42"/>
  <c r="AD2" i="42" s="1" a="1"/>
  <c r="S2" i="42" a="1"/>
  <c r="S2" i="42" s="1"/>
  <c r="T2" i="42" a="1"/>
  <c r="T2" i="42" s="1"/>
  <c r="Q2" i="42" a="1"/>
  <c r="Q2" i="42" s="1"/>
  <c r="B90" i="37"/>
  <c r="G12" i="38" s="1"/>
  <c r="J24" i="37"/>
  <c r="J8" i="37"/>
  <c r="J12" i="37"/>
  <c r="J16" i="37"/>
  <c r="G10" i="38"/>
  <c r="B113" i="37"/>
  <c r="J16" i="38"/>
  <c r="J19" i="38"/>
  <c r="B89" i="37"/>
  <c r="E12" i="38" s="1"/>
  <c r="J17" i="38"/>
  <c r="C10" i="38"/>
  <c r="B92" i="37"/>
  <c r="K12" i="38" s="1"/>
  <c r="E10" i="38"/>
  <c r="K10" i="38"/>
  <c r="J11" i="37"/>
  <c r="J15" i="37"/>
  <c r="E9" i="37"/>
  <c r="J65" i="37" a="1"/>
  <c r="P65" i="37" a="1"/>
  <c r="C11" i="37"/>
  <c r="D11" i="37"/>
  <c r="K20" i="38" s="1"/>
  <c r="E8" i="37"/>
  <c r="B68" i="37"/>
  <c r="A19" i="38" s="1"/>
  <c r="D65" i="37" a="1"/>
  <c r="J23" i="37"/>
  <c r="G65" i="37" a="1"/>
  <c r="B93" i="37" s="1"/>
  <c r="M12" i="38" s="1"/>
  <c r="E10" i="37"/>
  <c r="J10" i="37"/>
  <c r="J14" i="37"/>
  <c r="M65" i="37" a="1"/>
  <c r="J18" i="37"/>
  <c r="E7" i="37"/>
  <c r="B63" i="37" a="1"/>
  <c r="B63" i="37" s="1"/>
  <c r="A2" i="34" s="1"/>
  <c r="H53" i="37"/>
  <c r="B64" i="37" a="1"/>
  <c r="B64" i="37" s="1"/>
  <c r="J17" i="37"/>
  <c r="H54" i="37"/>
  <c r="J25" i="37"/>
  <c r="J9" i="37"/>
  <c r="B11" i="37"/>
  <c r="B17" i="37" s="1"/>
  <c r="J13" i="37"/>
  <c r="AH8" i="42" l="1"/>
  <c r="AI8" i="42"/>
  <c r="AH7" i="42"/>
  <c r="AI7" i="42"/>
  <c r="AH6" i="42"/>
  <c r="AI6" i="42"/>
  <c r="AH5" i="42"/>
  <c r="AI5" i="42"/>
  <c r="N56" i="37"/>
  <c r="A35" i="34"/>
  <c r="A51" i="34"/>
  <c r="A37" i="34"/>
  <c r="A32" i="34"/>
  <c r="A50" i="34"/>
  <c r="A49" i="34"/>
  <c r="A39" i="34"/>
  <c r="A34" i="34"/>
  <c r="A48" i="34"/>
  <c r="A31" i="34"/>
  <c r="A47" i="34"/>
  <c r="A36" i="34"/>
  <c r="A46" i="34"/>
  <c r="A38" i="34"/>
  <c r="A33" i="34"/>
  <c r="A45" i="34"/>
  <c r="A23" i="34"/>
  <c r="I43" i="34"/>
  <c r="H43" i="34"/>
  <c r="A25" i="34"/>
  <c r="A18" i="34"/>
  <c r="G43" i="34"/>
  <c r="A22" i="34"/>
  <c r="A20" i="34"/>
  <c r="F43" i="34"/>
  <c r="E43" i="34"/>
  <c r="A24" i="34"/>
  <c r="A17" i="34"/>
  <c r="D43" i="34"/>
  <c r="C43" i="34"/>
  <c r="A21" i="34"/>
  <c r="A19" i="34"/>
  <c r="B81" i="37"/>
  <c r="B101" i="37"/>
  <c r="L16" i="38" s="1"/>
  <c r="B102" i="37"/>
  <c r="L17" i="38" s="1"/>
  <c r="B82" i="37"/>
  <c r="B88" i="37" s="1"/>
  <c r="C12" i="38" s="1"/>
  <c r="B104" i="37"/>
  <c r="L19" i="38" s="1"/>
  <c r="B103" i="37"/>
  <c r="L18" i="38" s="1"/>
  <c r="V1" i="42"/>
  <c r="AH4" i="42" s="1"/>
  <c r="AD2" i="42"/>
  <c r="N2" i="42" a="1"/>
  <c r="N2" i="42" s="1"/>
  <c r="X2" i="42" a="1"/>
  <c r="B74" i="37"/>
  <c r="B73" i="37"/>
  <c r="B108" i="37"/>
  <c r="J20" i="38"/>
  <c r="I10" i="38"/>
  <c r="B85" i="37"/>
  <c r="A18" i="38"/>
  <c r="O6" i="38"/>
  <c r="G65" i="37"/>
  <c r="A53" i="37" s="1"/>
  <c r="A6" i="38"/>
  <c r="P65" i="37"/>
  <c r="A28" i="38" s="1"/>
  <c r="A32" i="38"/>
  <c r="B31" i="38"/>
  <c r="A31" i="38"/>
  <c r="B34" i="38"/>
  <c r="B30" i="38"/>
  <c r="A30" i="38"/>
  <c r="B33" i="38"/>
  <c r="B29" i="38"/>
  <c r="A33" i="38"/>
  <c r="A29" i="38"/>
  <c r="B32" i="38"/>
  <c r="B28" i="38"/>
  <c r="K60" i="37"/>
  <c r="D23" i="38"/>
  <c r="C23" i="38"/>
  <c r="Q56" i="37"/>
  <c r="E54" i="37"/>
  <c r="C22" i="38"/>
  <c r="D22" i="38"/>
  <c r="M59" i="37"/>
  <c r="J27" i="38"/>
  <c r="L27" i="38" s="1"/>
  <c r="K24" i="38"/>
  <c r="K29" i="38"/>
  <c r="D24" i="38"/>
  <c r="J29" i="38"/>
  <c r="L29" i="38" s="1"/>
  <c r="K26" i="38"/>
  <c r="C24" i="38"/>
  <c r="K31" i="38"/>
  <c r="J26" i="38"/>
  <c r="L26" i="38" s="1"/>
  <c r="J31" i="38"/>
  <c r="L31" i="38" s="1"/>
  <c r="K28" i="38"/>
  <c r="J28" i="38"/>
  <c r="L28" i="38" s="1"/>
  <c r="K25" i="38"/>
  <c r="K30" i="38"/>
  <c r="J25" i="38"/>
  <c r="L25" i="38" s="1"/>
  <c r="J30" i="38"/>
  <c r="L30" i="38" s="1"/>
  <c r="K27" i="38"/>
  <c r="Q54" i="37"/>
  <c r="Q58" i="37"/>
  <c r="Q60" i="37"/>
  <c r="M55" i="37"/>
  <c r="K56" i="37"/>
  <c r="K58" i="37"/>
  <c r="J60" i="37"/>
  <c r="K54" i="37"/>
  <c r="B59" i="37"/>
  <c r="A57" i="37"/>
  <c r="Q53" i="37"/>
  <c r="Q55" i="37"/>
  <c r="K53" i="37"/>
  <c r="K55" i="37"/>
  <c r="M65" i="37"/>
  <c r="B78" i="37" s="1"/>
  <c r="P57" i="37"/>
  <c r="P59" i="37"/>
  <c r="J57" i="37"/>
  <c r="J59" i="37"/>
  <c r="J65" i="37"/>
  <c r="J53" i="37" s="1"/>
  <c r="B53" i="37"/>
  <c r="Q57" i="37"/>
  <c r="Q59" i="37"/>
  <c r="K57" i="37"/>
  <c r="K59" i="37"/>
  <c r="N54" i="37"/>
  <c r="B57" i="37"/>
  <c r="P54" i="37"/>
  <c r="P56" i="37"/>
  <c r="J54" i="37"/>
  <c r="N58" i="37"/>
  <c r="A59" i="37"/>
  <c r="P58" i="37"/>
  <c r="P60" i="37"/>
  <c r="J58" i="37"/>
  <c r="J56" i="37"/>
  <c r="B55" i="37"/>
  <c r="N60" i="37"/>
  <c r="P55" i="37"/>
  <c r="J55" i="37"/>
  <c r="E56" i="37"/>
  <c r="D58" i="37"/>
  <c r="E60" i="37"/>
  <c r="N57" i="37"/>
  <c r="N59" i="37"/>
  <c r="A60" i="37"/>
  <c r="B54" i="37"/>
  <c r="D57" i="37"/>
  <c r="D55" i="37"/>
  <c r="E59" i="37"/>
  <c r="D65" i="37"/>
  <c r="D53" i="37" s="1"/>
  <c r="N55" i="37"/>
  <c r="A56" i="37"/>
  <c r="A58" i="37"/>
  <c r="M54" i="37"/>
  <c r="M56" i="37"/>
  <c r="B56" i="37"/>
  <c r="B58" i="37"/>
  <c r="E53" i="37"/>
  <c r="D59" i="37"/>
  <c r="E11" i="37"/>
  <c r="N53" i="37"/>
  <c r="E58" i="37"/>
  <c r="M58" i="37"/>
  <c r="M60" i="37"/>
  <c r="B60" i="37"/>
  <c r="A55" i="37"/>
  <c r="D56" i="37"/>
  <c r="E57" i="37"/>
  <c r="B67" i="37"/>
  <c r="D60" i="37"/>
  <c r="D54" i="37"/>
  <c r="E55" i="37"/>
  <c r="M57" i="37"/>
  <c r="A54" i="37"/>
  <c r="B65" i="37" a="1"/>
  <c r="B65" i="37" s="1"/>
  <c r="B66" i="37" s="1"/>
  <c r="M11" i="34" s="1"/>
  <c r="M24" i="34" l="1"/>
  <c r="L24" i="34"/>
  <c r="R24" i="34"/>
  <c r="G24" i="34" s="1"/>
  <c r="Q24" i="34"/>
  <c r="F24" i="34" s="1"/>
  <c r="B24" i="34"/>
  <c r="C24" i="34" s="1"/>
  <c r="P24" i="34"/>
  <c r="O24" i="34"/>
  <c r="N24" i="34"/>
  <c r="M38" i="34"/>
  <c r="L38" i="34"/>
  <c r="R38" i="34"/>
  <c r="G38" i="34" s="1"/>
  <c r="Q38" i="34"/>
  <c r="F38" i="34" s="1"/>
  <c r="P38" i="34"/>
  <c r="B38" i="34"/>
  <c r="C38" i="34" s="1"/>
  <c r="O38" i="34"/>
  <c r="N38" i="34"/>
  <c r="C49" i="34"/>
  <c r="I49" i="34"/>
  <c r="H49" i="34"/>
  <c r="G49" i="34"/>
  <c r="F49" i="34"/>
  <c r="E49" i="34"/>
  <c r="D49" i="34"/>
  <c r="C46" i="34"/>
  <c r="I46" i="34"/>
  <c r="H46" i="34"/>
  <c r="G46" i="34"/>
  <c r="F46" i="34"/>
  <c r="E46" i="34"/>
  <c r="D46" i="34"/>
  <c r="C50" i="34"/>
  <c r="I50" i="34"/>
  <c r="H50" i="34"/>
  <c r="G50" i="34"/>
  <c r="F50" i="34"/>
  <c r="E50" i="34"/>
  <c r="D50" i="34"/>
  <c r="A16" i="34"/>
  <c r="M36" i="34"/>
  <c r="L36" i="34"/>
  <c r="R36" i="34"/>
  <c r="G36" i="34" s="1"/>
  <c r="Q36" i="34"/>
  <c r="F36" i="34" s="1"/>
  <c r="B36" i="34"/>
  <c r="C36" i="34" s="1"/>
  <c r="P36" i="34"/>
  <c r="O36" i="34"/>
  <c r="N36" i="34"/>
  <c r="M32" i="34"/>
  <c r="B32" i="34"/>
  <c r="C32" i="34" s="1"/>
  <c r="L32" i="34"/>
  <c r="R32" i="34"/>
  <c r="G32" i="34" s="1"/>
  <c r="Q32" i="34"/>
  <c r="F32" i="34" s="1"/>
  <c r="P32" i="34"/>
  <c r="O32" i="34"/>
  <c r="N32" i="34"/>
  <c r="M19" i="34"/>
  <c r="L19" i="34"/>
  <c r="R19" i="34"/>
  <c r="G19" i="34" s="1"/>
  <c r="Q19" i="34"/>
  <c r="F19" i="34" s="1"/>
  <c r="P19" i="34"/>
  <c r="O19" i="34"/>
  <c r="B19" i="34"/>
  <c r="C19" i="34" s="1"/>
  <c r="N19" i="34"/>
  <c r="M20" i="34"/>
  <c r="L20" i="34"/>
  <c r="B20" i="34"/>
  <c r="C20" i="34" s="1"/>
  <c r="R20" i="34"/>
  <c r="G20" i="34" s="1"/>
  <c r="Q20" i="34"/>
  <c r="F20" i="34" s="1"/>
  <c r="P20" i="34"/>
  <c r="O20" i="34"/>
  <c r="N20" i="34"/>
  <c r="M23" i="34"/>
  <c r="L23" i="34"/>
  <c r="R23" i="34"/>
  <c r="G23" i="34" s="1"/>
  <c r="Q23" i="34"/>
  <c r="F23" i="34" s="1"/>
  <c r="P23" i="34"/>
  <c r="O23" i="34"/>
  <c r="N23" i="34"/>
  <c r="B23" i="34"/>
  <c r="C47" i="34"/>
  <c r="I47" i="34"/>
  <c r="H47" i="34"/>
  <c r="G47" i="34"/>
  <c r="F47" i="34"/>
  <c r="E47" i="34"/>
  <c r="D47" i="34"/>
  <c r="M37" i="34"/>
  <c r="B37" i="34"/>
  <c r="C37" i="34" s="1"/>
  <c r="L37" i="34"/>
  <c r="R37" i="34"/>
  <c r="G37" i="34" s="1"/>
  <c r="Q37" i="34"/>
  <c r="F37" i="34" s="1"/>
  <c r="P37" i="34"/>
  <c r="O37" i="34"/>
  <c r="N37" i="34"/>
  <c r="M21" i="34"/>
  <c r="L21" i="34"/>
  <c r="R21" i="34"/>
  <c r="G21" i="34" s="1"/>
  <c r="Q21" i="34"/>
  <c r="F21" i="34" s="1"/>
  <c r="P21" i="34"/>
  <c r="O21" i="34"/>
  <c r="B21" i="34"/>
  <c r="N21" i="34"/>
  <c r="M22" i="34"/>
  <c r="L22" i="34"/>
  <c r="B22" i="34"/>
  <c r="R22" i="34"/>
  <c r="G22" i="34" s="1"/>
  <c r="Q22" i="34"/>
  <c r="F22" i="34" s="1"/>
  <c r="P22" i="34"/>
  <c r="O22" i="34"/>
  <c r="N22" i="34"/>
  <c r="B43" i="34"/>
  <c r="B48" i="34" s="1"/>
  <c r="M31" i="34"/>
  <c r="L31" i="34"/>
  <c r="R31" i="34"/>
  <c r="G31" i="34" s="1"/>
  <c r="B31" i="34"/>
  <c r="C31" i="34" s="1"/>
  <c r="Q31" i="34"/>
  <c r="F31" i="34" s="1"/>
  <c r="P31" i="34"/>
  <c r="O31" i="34"/>
  <c r="N31" i="34"/>
  <c r="C51" i="34"/>
  <c r="I51" i="34"/>
  <c r="H51" i="34"/>
  <c r="G51" i="34"/>
  <c r="F51" i="34"/>
  <c r="E51" i="34"/>
  <c r="D51" i="34"/>
  <c r="A30" i="34"/>
  <c r="C48" i="34"/>
  <c r="I48" i="34"/>
  <c r="H48" i="34"/>
  <c r="G48" i="34"/>
  <c r="F48" i="34"/>
  <c r="E48" i="34"/>
  <c r="D48" i="34"/>
  <c r="M35" i="34"/>
  <c r="L35" i="34"/>
  <c r="R35" i="34"/>
  <c r="G35" i="34" s="1"/>
  <c r="Q35" i="34"/>
  <c r="F35" i="34" s="1"/>
  <c r="P35" i="34"/>
  <c r="O35" i="34"/>
  <c r="N35" i="34"/>
  <c r="B35" i="34"/>
  <c r="C35" i="34" s="1"/>
  <c r="M18" i="34"/>
  <c r="L18" i="34"/>
  <c r="B18" i="34"/>
  <c r="R18" i="34"/>
  <c r="G18" i="34" s="1"/>
  <c r="Q18" i="34"/>
  <c r="F18" i="34" s="1"/>
  <c r="P18" i="34"/>
  <c r="O18" i="34"/>
  <c r="N18" i="34"/>
  <c r="C45" i="34"/>
  <c r="I45" i="34"/>
  <c r="H45" i="34"/>
  <c r="G45" i="34"/>
  <c r="F45" i="34"/>
  <c r="E45" i="34"/>
  <c r="D45" i="34"/>
  <c r="M34" i="34"/>
  <c r="L34" i="34"/>
  <c r="B34" i="34"/>
  <c r="C34" i="34" s="1"/>
  <c r="R34" i="34"/>
  <c r="G34" i="34" s="1"/>
  <c r="Q34" i="34"/>
  <c r="F34" i="34" s="1"/>
  <c r="P34" i="34"/>
  <c r="O34" i="34"/>
  <c r="N34" i="34"/>
  <c r="A44" i="34"/>
  <c r="M17" i="34"/>
  <c r="L17" i="34"/>
  <c r="R17" i="34"/>
  <c r="G17" i="34" s="1"/>
  <c r="Q17" i="34"/>
  <c r="F17" i="34" s="1"/>
  <c r="B17" i="34"/>
  <c r="P17" i="34"/>
  <c r="O17" i="34"/>
  <c r="N17" i="34"/>
  <c r="M25" i="34"/>
  <c r="L25" i="34"/>
  <c r="B25" i="34"/>
  <c r="C25" i="34" s="1"/>
  <c r="R25" i="34"/>
  <c r="G25" i="34" s="1"/>
  <c r="Q25" i="34"/>
  <c r="F25" i="34" s="1"/>
  <c r="P25" i="34"/>
  <c r="O25" i="34"/>
  <c r="N25" i="34"/>
  <c r="M33" i="34"/>
  <c r="L33" i="34"/>
  <c r="R33" i="34"/>
  <c r="G33" i="34" s="1"/>
  <c r="Q33" i="34"/>
  <c r="F33" i="34" s="1"/>
  <c r="P33" i="34"/>
  <c r="B33" i="34"/>
  <c r="O33" i="34"/>
  <c r="N33" i="34"/>
  <c r="M39" i="34"/>
  <c r="L39" i="34"/>
  <c r="B39" i="34"/>
  <c r="C39" i="34" s="1"/>
  <c r="R39" i="34"/>
  <c r="G39" i="34" s="1"/>
  <c r="Q39" i="34"/>
  <c r="F39" i="34" s="1"/>
  <c r="P39" i="34"/>
  <c r="O39" i="34"/>
  <c r="N39" i="34"/>
  <c r="B84" i="37"/>
  <c r="A15" i="38" s="1"/>
  <c r="B105" i="37"/>
  <c r="L20" i="38" s="1"/>
  <c r="B83" i="37"/>
  <c r="B91" i="37" s="1"/>
  <c r="I12" i="38" s="1"/>
  <c r="X2" i="42"/>
  <c r="I11" i="41" s="1" a="1"/>
  <c r="I11" i="41" s="1"/>
  <c r="A16" i="41" a="1"/>
  <c r="A16" i="41" s="1"/>
  <c r="B13" i="37"/>
  <c r="A17" i="38" s="1"/>
  <c r="C25" i="38"/>
  <c r="B107" i="37"/>
  <c r="B25" i="38" s="1"/>
  <c r="B94" i="37"/>
  <c r="O12" i="38" s="1"/>
  <c r="B87" i="37"/>
  <c r="A12" i="38" s="1"/>
  <c r="A35" i="38"/>
  <c r="B96" i="37"/>
  <c r="P53" i="37"/>
  <c r="B23" i="38"/>
  <c r="M53" i="37"/>
  <c r="B22" i="38"/>
  <c r="J24" i="38"/>
  <c r="L24" i="38" s="1"/>
  <c r="B24" i="38"/>
  <c r="B77" i="37"/>
  <c r="B14" i="37"/>
  <c r="B76" i="37"/>
  <c r="AE2" i="42" l="1" a="1"/>
  <c r="AE2" i="42" s="1"/>
  <c r="I23" i="34"/>
  <c r="I22" i="34"/>
  <c r="I37" i="34"/>
  <c r="I38" i="34"/>
  <c r="H32" i="34"/>
  <c r="C35" i="21" a="1"/>
  <c r="C35" i="21" s="1"/>
  <c r="C22" i="21" a="1"/>
  <c r="C22" i="21" s="1"/>
  <c r="B16" i="21" a="1"/>
  <c r="B16" i="21" s="1"/>
  <c r="B24" i="21" a="1"/>
  <c r="B24" i="21" s="1"/>
  <c r="B18" i="21" a="1"/>
  <c r="B18" i="21" s="1"/>
  <c r="B38" i="21" a="1"/>
  <c r="B38" i="21" s="1"/>
  <c r="B27" i="21" a="1"/>
  <c r="B27" i="21" s="1"/>
  <c r="B41" i="21" a="1"/>
  <c r="B41" i="21" s="1"/>
  <c r="C19" i="21" a="1"/>
  <c r="C19" i="21" s="1"/>
  <c r="B39" i="21" a="1"/>
  <c r="B39" i="21" s="1"/>
  <c r="B17" i="21" a="1"/>
  <c r="B17" i="21" s="1"/>
  <c r="B35" i="21" a="1"/>
  <c r="B35" i="21" s="1"/>
  <c r="B31" i="21" a="1"/>
  <c r="B31" i="21" s="1"/>
  <c r="B29" i="21" a="1"/>
  <c r="B29" i="21" s="1"/>
  <c r="C45" i="21" a="1"/>
  <c r="C45" i="21" s="1"/>
  <c r="C24" i="21" a="1"/>
  <c r="C24" i="21" s="1"/>
  <c r="C16" i="21" a="1"/>
  <c r="C16" i="21" s="1"/>
  <c r="B19" i="21" a="1"/>
  <c r="B19" i="21" s="1"/>
  <c r="C40" i="21" a="1"/>
  <c r="C40" i="21" s="1"/>
  <c r="C38" i="21" a="1"/>
  <c r="C38" i="21" s="1"/>
  <c r="C29" i="21" a="1"/>
  <c r="C29" i="21" s="1"/>
  <c r="C43" i="21" a="1"/>
  <c r="C43" i="21" s="1"/>
  <c r="C41" i="21" a="1"/>
  <c r="C41" i="21" s="1"/>
  <c r="C23" i="21" a="1"/>
  <c r="C23" i="21" s="1"/>
  <c r="C26" i="21" a="1"/>
  <c r="C26" i="21" s="1"/>
  <c r="C20" i="21" a="1"/>
  <c r="C20" i="21" s="1"/>
  <c r="B40" i="21" a="1"/>
  <c r="B40" i="21" s="1"/>
  <c r="C28" i="21" a="1"/>
  <c r="C28" i="21" s="1"/>
  <c r="C27" i="21" a="1"/>
  <c r="C27" i="21" s="1"/>
  <c r="C25" i="21" a="1"/>
  <c r="C25" i="21" s="1"/>
  <c r="B37" i="21" a="1"/>
  <c r="B37" i="21" s="1"/>
  <c r="B30" i="21" a="1"/>
  <c r="B30" i="21" s="1"/>
  <c r="B21" i="21" a="1"/>
  <c r="B21" i="21" s="1"/>
  <c r="B15" i="21" a="1"/>
  <c r="B15" i="21" s="1"/>
  <c r="C15" i="21" a="1"/>
  <c r="C15" i="21" s="1"/>
  <c r="B42" i="21" a="1"/>
  <c r="B42" i="21" s="1"/>
  <c r="B43" i="21" a="1"/>
  <c r="B43" i="21" s="1"/>
  <c r="C18" i="21" a="1"/>
  <c r="C18" i="21" s="1"/>
  <c r="B44" i="21" a="1"/>
  <c r="B44" i="21" s="1"/>
  <c r="B36" i="21" a="1"/>
  <c r="B36" i="21" s="1"/>
  <c r="C33" i="21" a="1"/>
  <c r="C33" i="21" s="1"/>
  <c r="C31" i="21" a="1"/>
  <c r="C31" i="21" s="1"/>
  <c r="C30" i="21" a="1"/>
  <c r="C30" i="21" s="1"/>
  <c r="C36" i="21" a="1"/>
  <c r="C36" i="21" s="1"/>
  <c r="B25" i="21" a="1"/>
  <c r="B25" i="21" s="1"/>
  <c r="B23" i="21" a="1"/>
  <c r="B23" i="21" s="1"/>
  <c r="B26" i="21" a="1"/>
  <c r="B26" i="21" s="1"/>
  <c r="C37" i="21" a="1"/>
  <c r="C37" i="21" s="1"/>
  <c r="C17" i="21" a="1"/>
  <c r="C17" i="21" s="1"/>
  <c r="C42" i="21" a="1"/>
  <c r="C42" i="21" s="1"/>
  <c r="C21" i="21" a="1"/>
  <c r="C21" i="21" s="1"/>
  <c r="B34" i="21" a="1"/>
  <c r="B34" i="21" s="1"/>
  <c r="C34" i="21" a="1"/>
  <c r="C34" i="21" s="1"/>
  <c r="C32" i="21" a="1"/>
  <c r="C32" i="21" s="1"/>
  <c r="B33" i="21" a="1"/>
  <c r="B33" i="21" s="1"/>
  <c r="B32" i="21" a="1"/>
  <c r="B32" i="21" s="1"/>
  <c r="B20" i="21" a="1"/>
  <c r="B20" i="21" s="1"/>
  <c r="B45" i="21" a="1"/>
  <c r="B45" i="21" s="1"/>
  <c r="C44" i="21" a="1"/>
  <c r="C44" i="21" s="1"/>
  <c r="C39" i="21" a="1"/>
  <c r="C39" i="21" s="1"/>
  <c r="B28" i="21" a="1"/>
  <c r="B28" i="21" s="1"/>
  <c r="B22" i="21" a="1"/>
  <c r="B22" i="21" s="1"/>
  <c r="I20" i="34"/>
  <c r="H17" i="34"/>
  <c r="I35" i="34"/>
  <c r="H19" i="34"/>
  <c r="I17" i="34"/>
  <c r="H34" i="34"/>
  <c r="H23" i="34"/>
  <c r="H36" i="34"/>
  <c r="E23" i="34"/>
  <c r="J20" i="34"/>
  <c r="H39" i="34"/>
  <c r="I33" i="34"/>
  <c r="I25" i="34"/>
  <c r="H31" i="34"/>
  <c r="D18" i="34"/>
  <c r="H35" i="34"/>
  <c r="H37" i="34"/>
  <c r="H38" i="34"/>
  <c r="J34" i="34"/>
  <c r="I36" i="34"/>
  <c r="E39" i="34"/>
  <c r="D25" i="34"/>
  <c r="I18" i="34"/>
  <c r="D31" i="34"/>
  <c r="J22" i="34"/>
  <c r="D21" i="34"/>
  <c r="E37" i="34"/>
  <c r="D36" i="34"/>
  <c r="E24" i="34"/>
  <c r="D32" i="34"/>
  <c r="D33" i="34"/>
  <c r="J17" i="34"/>
  <c r="J35" i="34"/>
  <c r="I31" i="34"/>
  <c r="D19" i="34"/>
  <c r="I39" i="34"/>
  <c r="E18" i="34"/>
  <c r="B51" i="34"/>
  <c r="J51" i="34" s="1"/>
  <c r="H22" i="34"/>
  <c r="I32" i="34"/>
  <c r="J32" i="34"/>
  <c r="I24" i="34"/>
  <c r="E33" i="34"/>
  <c r="J18" i="34"/>
  <c r="J31" i="34"/>
  <c r="I21" i="34"/>
  <c r="E32" i="34"/>
  <c r="D38" i="34"/>
  <c r="D24" i="34"/>
  <c r="J48" i="34"/>
  <c r="H20" i="34"/>
  <c r="J36" i="34"/>
  <c r="J24" i="34"/>
  <c r="I19" i="34"/>
  <c r="D39" i="34"/>
  <c r="E17" i="34"/>
  <c r="I34" i="34"/>
  <c r="D34" i="34"/>
  <c r="J21" i="34"/>
  <c r="J37" i="34"/>
  <c r="D23" i="34"/>
  <c r="D17" i="34"/>
  <c r="E34" i="34"/>
  <c r="M30" i="34"/>
  <c r="L30" i="34"/>
  <c r="R30" i="34"/>
  <c r="G30" i="34" s="1"/>
  <c r="Q30" i="34"/>
  <c r="F30" i="34" s="1"/>
  <c r="P30" i="34"/>
  <c r="O30" i="34"/>
  <c r="B30" i="34"/>
  <c r="A6" i="34" s="1"/>
  <c r="N30" i="34"/>
  <c r="E21" i="34"/>
  <c r="D37" i="34"/>
  <c r="J19" i="34"/>
  <c r="E36" i="34"/>
  <c r="B49" i="34"/>
  <c r="J49" i="34" s="1"/>
  <c r="H24" i="34"/>
  <c r="E35" i="34"/>
  <c r="E22" i="34"/>
  <c r="H21" i="34"/>
  <c r="E20" i="34"/>
  <c r="J38" i="34"/>
  <c r="E25" i="34"/>
  <c r="C23" i="34"/>
  <c r="E19" i="34"/>
  <c r="J25" i="34"/>
  <c r="B45" i="34"/>
  <c r="J45" i="34" s="1"/>
  <c r="J33" i="34"/>
  <c r="C33" i="34"/>
  <c r="H25" i="34"/>
  <c r="C22" i="34"/>
  <c r="B47" i="34"/>
  <c r="J47" i="34" s="1"/>
  <c r="C44" i="34"/>
  <c r="B44" i="34"/>
  <c r="I44" i="34"/>
  <c r="H44" i="34"/>
  <c r="G44" i="34"/>
  <c r="F44" i="34"/>
  <c r="E44" i="34"/>
  <c r="D44" i="34"/>
  <c r="D35" i="34"/>
  <c r="E31" i="34"/>
  <c r="D22" i="34"/>
  <c r="C21" i="34"/>
  <c r="D20" i="34"/>
  <c r="M16" i="34"/>
  <c r="L16" i="34"/>
  <c r="R16" i="34"/>
  <c r="G16" i="34" s="1"/>
  <c r="Q16" i="34"/>
  <c r="F16" i="34" s="1"/>
  <c r="P16" i="34"/>
  <c r="O16" i="34"/>
  <c r="N16" i="34"/>
  <c r="B16" i="34"/>
  <c r="C16" i="34" s="1"/>
  <c r="B50" i="34"/>
  <c r="J50" i="34" s="1"/>
  <c r="B70" i="37"/>
  <c r="J39" i="34"/>
  <c r="H33" i="34"/>
  <c r="C17" i="34"/>
  <c r="H18" i="34"/>
  <c r="J23" i="34"/>
  <c r="B46" i="34"/>
  <c r="J46" i="34" s="1"/>
  <c r="E38" i="34"/>
  <c r="C18" i="34"/>
  <c r="G11" i="41" a="1"/>
  <c r="G11" i="41" s="1"/>
  <c r="C11" i="41"/>
  <c r="K11" i="41" a="1"/>
  <c r="K11" i="41" s="1"/>
  <c r="E11" i="41" a="1"/>
  <c r="E11" i="41" s="1"/>
  <c r="A11" i="41"/>
  <c r="A2" i="41"/>
  <c r="B72" i="37"/>
  <c r="M10" i="38"/>
  <c r="B115" i="37"/>
  <c r="A16" i="38"/>
  <c r="O10" i="38"/>
  <c r="B114" i="37"/>
  <c r="B71" i="37"/>
  <c r="B110" i="37"/>
  <c r="A20" i="38" s="1"/>
  <c r="A4" i="38"/>
  <c r="B97" i="37"/>
  <c r="K23" i="34" l="1"/>
  <c r="K31" i="34"/>
  <c r="K45" i="34" s="1"/>
  <c r="K18" i="34"/>
  <c r="K22" i="34"/>
  <c r="H16" i="34"/>
  <c r="K24" i="34"/>
  <c r="G15" i="21"/>
  <c r="G17" i="21"/>
  <c r="K17" i="34"/>
  <c r="K34" i="34"/>
  <c r="K48" i="34" s="1"/>
  <c r="K37" i="34"/>
  <c r="K51" i="34" s="1"/>
  <c r="K35" i="34"/>
  <c r="K49" i="34" s="1"/>
  <c r="K20" i="34"/>
  <c r="K36" i="34"/>
  <c r="K50" i="34" s="1"/>
  <c r="I16" i="34"/>
  <c r="E30" i="34"/>
  <c r="K32" i="34"/>
  <c r="K46" i="34" s="1"/>
  <c r="D11" i="34"/>
  <c r="L44" i="34" a="1"/>
  <c r="L44" i="34" s="1"/>
  <c r="A7" i="34" s="1"/>
  <c r="K39" i="34"/>
  <c r="K33" i="34"/>
  <c r="K47" i="34" s="1"/>
  <c r="I30" i="34"/>
  <c r="K21" i="34"/>
  <c r="D30" i="34"/>
  <c r="K19" i="34"/>
  <c r="D16" i="34"/>
  <c r="J44" i="34"/>
  <c r="J16" i="34"/>
  <c r="E16" i="34"/>
  <c r="J30" i="34"/>
  <c r="C30" i="34"/>
  <c r="H30" i="34"/>
  <c r="A8" i="34" s="1"/>
  <c r="K25" i="34"/>
  <c r="K38" i="34"/>
  <c r="A5" i="34"/>
  <c r="G11" i="34"/>
  <c r="B35" i="38"/>
  <c r="B99" i="37"/>
  <c r="C55" i="21" l="1"/>
  <c r="B55" i="21"/>
  <c r="B57" i="21"/>
  <c r="C57" i="21"/>
  <c r="C67" i="21"/>
  <c r="B67" i="21"/>
  <c r="B72" i="21"/>
  <c r="C72" i="21"/>
  <c r="B77" i="21"/>
  <c r="C77" i="21"/>
  <c r="C59" i="21"/>
  <c r="B59" i="21"/>
  <c r="B69" i="21"/>
  <c r="C69" i="21"/>
  <c r="B54" i="21"/>
  <c r="C54" i="21"/>
  <c r="B64" i="21"/>
  <c r="C64" i="21"/>
  <c r="B74" i="21"/>
  <c r="C74" i="21"/>
  <c r="B53" i="21"/>
  <c r="C53" i="21"/>
  <c r="C79" i="21"/>
  <c r="B79" i="21"/>
  <c r="B61" i="21"/>
  <c r="C61" i="21"/>
  <c r="B66" i="21"/>
  <c r="C66" i="21"/>
  <c r="C75" i="21"/>
  <c r="B75" i="21"/>
  <c r="B52" i="21"/>
  <c r="C52" i="21"/>
  <c r="B58" i="21"/>
  <c r="C58" i="21"/>
  <c r="B70" i="21"/>
  <c r="C70" i="21"/>
  <c r="B50" i="21"/>
  <c r="C50" i="21"/>
  <c r="B65" i="21"/>
  <c r="C65" i="21"/>
  <c r="B56" i="21"/>
  <c r="C56" i="21"/>
  <c r="B62" i="21"/>
  <c r="C62" i="21"/>
  <c r="C71" i="21"/>
  <c r="B71" i="21"/>
  <c r="B76" i="21"/>
  <c r="C76" i="21"/>
  <c r="C51" i="21"/>
  <c r="B51" i="21"/>
  <c r="C63" i="21"/>
  <c r="B63" i="21"/>
  <c r="B68" i="21"/>
  <c r="C68" i="21"/>
  <c r="B73" i="21"/>
  <c r="C73" i="21"/>
  <c r="B78" i="21"/>
  <c r="C78" i="21"/>
  <c r="B60" i="21"/>
  <c r="C60" i="21"/>
  <c r="B49" i="21"/>
  <c r="C49" i="21"/>
  <c r="G19" i="21"/>
  <c r="K16" i="34"/>
  <c r="J11" i="34"/>
  <c r="K30" i="34"/>
  <c r="K44" i="34" s="1"/>
  <c r="B2" i="21"/>
  <c r="E2" i="21"/>
  <c r="F2" i="21" a="1"/>
  <c r="F2" i="21" s="1"/>
  <c r="I2" i="21"/>
  <c r="L2" i="21"/>
  <c r="O2" i="21" a="1"/>
  <c r="O2" i="21" s="1"/>
  <c r="R2" i="21"/>
  <c r="B3" i="21" a="1"/>
  <c r="B3" i="21" s="1"/>
  <c r="E3" i="21"/>
  <c r="F3" i="21" a="1"/>
  <c r="F3" i="21" s="1"/>
  <c r="I3" i="21"/>
  <c r="L3" i="21"/>
  <c r="O3" i="21" a="1"/>
  <c r="O3" i="21" s="1"/>
  <c r="R3" i="21"/>
  <c r="B4" i="21"/>
  <c r="E4" i="21"/>
  <c r="F4" i="21" a="1"/>
  <c r="F4" i="21" s="1"/>
  <c r="I4" i="21"/>
  <c r="L4" i="21"/>
  <c r="O4" i="21" a="1"/>
  <c r="O4" i="21" s="1"/>
  <c r="R4" i="21"/>
  <c r="B5" i="21"/>
  <c r="E5" i="21"/>
  <c r="F5" i="21" a="1"/>
  <c r="F5" i="21" s="1"/>
  <c r="I5" i="21"/>
  <c r="L5" i="21"/>
  <c r="O5" i="21" a="1"/>
  <c r="O5" i="21" s="1"/>
  <c r="R5" i="21"/>
  <c r="E6" i="21"/>
  <c r="F6" i="21" a="1"/>
  <c r="F6" i="21" s="1"/>
  <c r="I6" i="21"/>
  <c r="L6" i="21"/>
  <c r="O6" i="21" a="1"/>
  <c r="O6" i="21" s="1"/>
  <c r="R6" i="21"/>
  <c r="E7" i="21"/>
  <c r="F7" i="21" a="1"/>
  <c r="F7" i="21" s="1"/>
  <c r="I7" i="21"/>
  <c r="L7" i="21"/>
  <c r="O7" i="21" a="1"/>
  <c r="O7" i="21" s="1"/>
  <c r="R7" i="21"/>
  <c r="B8" i="21"/>
  <c r="E8" i="21"/>
  <c r="F8" i="21" a="1"/>
  <c r="F8" i="21" s="1"/>
  <c r="I8" i="21"/>
  <c r="L8" i="21"/>
  <c r="R8" i="21"/>
  <c r="I9" i="21"/>
  <c r="L9" i="21"/>
  <c r="O9" i="21" a="1"/>
  <c r="O9" i="21" s="1"/>
  <c r="R9" i="21"/>
  <c r="I10" i="21"/>
  <c r="L10" i="21"/>
  <c r="O10" i="21" a="1"/>
  <c r="O10" i="21" s="1"/>
  <c r="R10" i="21"/>
  <c r="I11" i="21"/>
  <c r="L11" i="21"/>
  <c r="O11" i="21" a="1"/>
  <c r="O11" i="21" s="1"/>
  <c r="R11" i="21"/>
  <c r="B6" i="21" l="1" a="1"/>
  <c r="B6" i="21" s="1"/>
  <c r="B7"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tc={7F78797C-52C0-4AA8-9405-2FC7039246F4}</author>
    <author>tc={C6B188A6-393C-4E2C-941E-EE5BDAD8C91B}</author>
  </authors>
  <commentList>
    <comment ref="V3" authorId="0" shapeId="0" xr:uid="{7F78797C-52C0-4AA8-9405-2FC7039246F4}">
      <text>
        <t>[Threaded comment]
Your version of Excel allows you to read this threaded comment; however, any edits to it will get removed if the file is opened in a newer version of Excel. Learn more: https://go.microsoft.com/fwlink/?linkid=870924
Comment:
    Link the 'DOI From' scroll bar Cell link here (Min 0, Max 565).</t>
      </text>
    </comment>
    <comment ref="V4" authorId="1" shapeId="0" xr:uid="{C6B188A6-393C-4E2C-941E-EE5BDAD8C91B}">
      <text>
        <t>[Threaded comment]
Your version of Excel allows you to read this threaded comment; however, any edits to it will get removed if the file is opened in a newer version of Excel. Learn more: https://go.microsoft.com/fwlink/?linkid=870924
Comment:
    Link the 'DOI To' scroll bar Cell link here (Min 0, Max 565).</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Master_List_Of_Injuries" description="Connection to the 'Master_List_Of_Injuries' query in the workbook." type="5" refreshedVersion="8" background="1" saveData="1">
    <dbPr connection="Provider=Microsoft.Mashup.OleDb.1;Data Source=$Workbook$;Location=Master_List_Of_Injuries;Extended Properties=&quot;&quot;" command="SELECT * FROM [Master_List_Of_Injuries]"/>
  </connection>
  <connection id="2" xr16:uid="{00000000-0015-0000-FFFF-FFFF01000000}" keepAlive="1" name="Query - PQ_2025" description="Connection to the 'PQ_2025' query in the workbook." type="5" refreshedVersion="0" background="1">
    <dbPr connection="Provider=Microsoft.Mashup.OleDb.1;Data Source=$Workbook$;Location=PQ_2025;Extended Properties=&quot;&quot;" command="SELECT * FROM [PQ_2025]"/>
  </connection>
  <connection id="3" xr16:uid="{00000000-0015-0000-FFFF-FFFF02000000}" keepAlive="1" name="Query - PQ_2026" description="Connection to the 'PQ_2026' query in the workbook." type="5" refreshedVersion="0" background="1">
    <dbPr connection="Provider=Microsoft.Mashup.OleDb.1;Data Source=$Workbook$;Location=PQ_2026;Extended Properties=&quot;&quot;" command="SELECT * FROM [PQ_2026]"/>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<sst xmlns="http://schemas.openxmlformats.org/spreadsheetml/2006/main" count="7379" uniqueCount="1331">
  <si>
    <t xml:space="preserve">Employee Name </t>
  </si>
  <si>
    <t>DOI</t>
  </si>
  <si>
    <t>Supervisor</t>
  </si>
  <si>
    <t>Area</t>
  </si>
  <si>
    <t>JTP:</t>
  </si>
  <si>
    <t>Injury/Illness Type</t>
  </si>
  <si>
    <t>Body Location</t>
  </si>
  <si>
    <t>ESI Status</t>
  </si>
  <si>
    <t>Kenneth Rayburn</t>
  </si>
  <si>
    <t>Ovidio Sanchez</t>
  </si>
  <si>
    <t>Fabrication</t>
  </si>
  <si>
    <t>400</t>
  </si>
  <si>
    <t>Wing Dropper</t>
  </si>
  <si>
    <t>Contact Stress</t>
  </si>
  <si>
    <t>LT - Index Finger</t>
  </si>
  <si>
    <t>FA</t>
  </si>
  <si>
    <t>Jesus Avila</t>
  </si>
  <si>
    <t>Harvest</t>
  </si>
  <si>
    <t>102</t>
  </si>
  <si>
    <t>Knock Hole</t>
  </si>
  <si>
    <t xml:space="preserve">Burn </t>
  </si>
  <si>
    <t xml:space="preserve">LT - Eye/ Face/ Arm, Shoulder. </t>
  </si>
  <si>
    <t xml:space="preserve">Manuel Flores </t>
  </si>
  <si>
    <t>Knuckle Puller</t>
  </si>
  <si>
    <t>Strain</t>
  </si>
  <si>
    <t>Rt - Wrist &amp; Thumb</t>
  </si>
  <si>
    <t>Alejandro Calvillo</t>
  </si>
  <si>
    <t>Brisket Puller</t>
  </si>
  <si>
    <t>Sprain</t>
  </si>
  <si>
    <t>Pascuala Rodriguez</t>
  </si>
  <si>
    <t>Jarrod Villareal</t>
  </si>
  <si>
    <t>429</t>
  </si>
  <si>
    <t>Trimmer</t>
  </si>
  <si>
    <t>Rt - Shoulder</t>
  </si>
  <si>
    <t>Fernando Robles</t>
  </si>
  <si>
    <t>Spencer H</t>
  </si>
  <si>
    <t>FSQA</t>
  </si>
  <si>
    <t>QA</t>
  </si>
  <si>
    <t xml:space="preserve">Rt - Ankle </t>
  </si>
  <si>
    <t>Marcos Marroquin</t>
  </si>
  <si>
    <t>Francisco Tapia</t>
  </si>
  <si>
    <t>Loading Dock</t>
  </si>
  <si>
    <t>Scanner</t>
  </si>
  <si>
    <t>NA</t>
  </si>
  <si>
    <t>Rt - Thumb/ Nail</t>
  </si>
  <si>
    <t>Luz Torres</t>
  </si>
  <si>
    <t>Juan Rodriguez</t>
  </si>
  <si>
    <t>415</t>
  </si>
  <si>
    <t xml:space="preserve">Wiz. Op. </t>
  </si>
  <si>
    <t>Struck-by equipment</t>
  </si>
  <si>
    <t>LT/ Rt Hands/ Index Fingers</t>
  </si>
  <si>
    <t>Leobardo Avila</t>
  </si>
  <si>
    <t>X-Ray</t>
  </si>
  <si>
    <t xml:space="preserve">Rt - Wrist  </t>
  </si>
  <si>
    <t>Jose Lopez</t>
  </si>
  <si>
    <t>Richard Xiong</t>
  </si>
  <si>
    <t>101</t>
  </si>
  <si>
    <t>Air Knife</t>
  </si>
  <si>
    <t>Laceration</t>
  </si>
  <si>
    <t>LT - Middle Finger</t>
  </si>
  <si>
    <t>Jonathan Campas</t>
  </si>
  <si>
    <t>Ray Mascorro</t>
  </si>
  <si>
    <t>107</t>
  </si>
  <si>
    <t>Cheeker</t>
  </si>
  <si>
    <t>Antonio Gomez</t>
  </si>
  <si>
    <t>Lead</t>
  </si>
  <si>
    <t>LT - Ankle</t>
  </si>
  <si>
    <t>Raul Reyes</t>
  </si>
  <si>
    <t>Clean Up</t>
  </si>
  <si>
    <t>Puncture</t>
  </si>
  <si>
    <t>Jose Luis Ramirez</t>
  </si>
  <si>
    <t>Rutilio Rodriguez</t>
  </si>
  <si>
    <t>106</t>
  </si>
  <si>
    <t>Lugger</t>
  </si>
  <si>
    <t>Struck-by Against Object</t>
  </si>
  <si>
    <t>RT - Hand</t>
  </si>
  <si>
    <t>RECORDABLE</t>
  </si>
  <si>
    <t>Daniel Vega</t>
  </si>
  <si>
    <t>Maria Garcia</t>
  </si>
  <si>
    <t>447</t>
  </si>
  <si>
    <t>Boxing</t>
  </si>
  <si>
    <t>Juan Lugardo</t>
  </si>
  <si>
    <t>Froy Rios</t>
  </si>
  <si>
    <t>103</t>
  </si>
  <si>
    <t>Sharpener</t>
  </si>
  <si>
    <t xml:space="preserve">Vibration </t>
  </si>
  <si>
    <t>Bone Sorter</t>
  </si>
  <si>
    <t>RT - Elbow</t>
  </si>
  <si>
    <t>Daniel Ortega</t>
  </si>
  <si>
    <t>Low Backer</t>
  </si>
  <si>
    <t>Crush</t>
  </si>
  <si>
    <t>Lt - Thumb</t>
  </si>
  <si>
    <t>Domingo Camberos</t>
  </si>
  <si>
    <t>Diffect Trimmer K</t>
  </si>
  <si>
    <t>Rt - Lower Back</t>
  </si>
  <si>
    <t>Jonathon Campas</t>
  </si>
  <si>
    <t>109</t>
  </si>
  <si>
    <t>Foreign boby in eye</t>
  </si>
  <si>
    <t>RT- Eye &amp; Nose</t>
  </si>
  <si>
    <t>Mayra Solarte</t>
  </si>
  <si>
    <t xml:space="preserve">Whizzard Op. </t>
  </si>
  <si>
    <t>Lt - Chest</t>
  </si>
  <si>
    <t>Jorge Vanancio</t>
  </si>
  <si>
    <t>Flanlter</t>
  </si>
  <si>
    <t>LT- Lower back</t>
  </si>
  <si>
    <t>Amado Jardon Flores</t>
  </si>
  <si>
    <t>Struck-by- against Object</t>
  </si>
  <si>
    <t>Lower back</t>
  </si>
  <si>
    <t>Melisa Salazar</t>
  </si>
  <si>
    <t>445</t>
  </si>
  <si>
    <t>Bagger</t>
  </si>
  <si>
    <t>Bending</t>
  </si>
  <si>
    <t>Upper - Back</t>
  </si>
  <si>
    <t>Miguel Sanchez</t>
  </si>
  <si>
    <t>104</t>
  </si>
  <si>
    <t>Wesand Rod</t>
  </si>
  <si>
    <t>Angel Damian</t>
  </si>
  <si>
    <t>Skinner Bull Head</t>
  </si>
  <si>
    <t>LT - Shoulder</t>
  </si>
  <si>
    <t>Jesus Morales Lopez</t>
  </si>
  <si>
    <t>111</t>
  </si>
  <si>
    <t>Goat Truck Driver</t>
  </si>
  <si>
    <t xml:space="preserve">RT - Popliteal      </t>
  </si>
  <si>
    <t>Cristo Robles Torres</t>
  </si>
  <si>
    <t>RT - Wrist</t>
  </si>
  <si>
    <t>Nicholas Gonzales</t>
  </si>
  <si>
    <t>405</t>
  </si>
  <si>
    <t>Rib Bonner</t>
  </si>
  <si>
    <t>RT - Thummb</t>
  </si>
  <si>
    <t>Maria Sanchez</t>
  </si>
  <si>
    <t>Struck By- Against Object</t>
  </si>
  <si>
    <t>RT - Knee</t>
  </si>
  <si>
    <t>Morgan Branning</t>
  </si>
  <si>
    <t>Aitch Bone Saw</t>
  </si>
  <si>
    <t xml:space="preserve">RT - Thumb </t>
  </si>
  <si>
    <t>Victor Garcia</t>
  </si>
  <si>
    <t>Chadu Moua</t>
  </si>
  <si>
    <t>Tomas Garcia</t>
  </si>
  <si>
    <t>Plate Boner</t>
  </si>
  <si>
    <t>LT pointing Finger</t>
  </si>
  <si>
    <t>Salvador Maravilla</t>
  </si>
  <si>
    <t>Rendering</t>
  </si>
  <si>
    <t>LT - Forearm</t>
  </si>
  <si>
    <t>Lactic Acid Spray</t>
  </si>
  <si>
    <t xml:space="preserve">Inhalation </t>
  </si>
  <si>
    <t>Respiratory System</t>
  </si>
  <si>
    <t>Eliza Lopez Leon</t>
  </si>
  <si>
    <t>Intestine Pack Off</t>
  </si>
  <si>
    <t>Above Shoulder Work</t>
  </si>
  <si>
    <t>Eduardo Contreras</t>
  </si>
  <si>
    <t>Paper Remvoer</t>
  </si>
  <si>
    <t>Slip, Trip, &amp; Fall</t>
  </si>
  <si>
    <t>RT - Diggits</t>
  </si>
  <si>
    <t>Rosaangela Rodriguez</t>
  </si>
  <si>
    <t>Veronica Figueroa</t>
  </si>
  <si>
    <t>420</t>
  </si>
  <si>
    <t>RT - Shoulder</t>
  </si>
  <si>
    <t>Rosedo Grenados</t>
  </si>
  <si>
    <t xml:space="preserve">RT - Eye </t>
  </si>
  <si>
    <t>Jesus Reyes Martinez</t>
  </si>
  <si>
    <t>Chisler</t>
  </si>
  <si>
    <t>Jose Gonzalez</t>
  </si>
  <si>
    <t>Chuck Roller</t>
  </si>
  <si>
    <t xml:space="preserve">Berenize Carrillo </t>
  </si>
  <si>
    <t>Product Sorter</t>
  </si>
  <si>
    <t>Enrique Ramos Serrano</t>
  </si>
  <si>
    <t>3 Bonner</t>
  </si>
  <si>
    <t>LT - Hand, digits, and forearm</t>
  </si>
  <si>
    <t>Noe Fraga Ruiz</t>
  </si>
  <si>
    <t>Brisket Boner</t>
  </si>
  <si>
    <t>Jonny Garcia Soto</t>
  </si>
  <si>
    <t>100</t>
  </si>
  <si>
    <t>Herdsman</t>
  </si>
  <si>
    <t>Crush Injury</t>
  </si>
  <si>
    <t>RT - Arm</t>
  </si>
  <si>
    <t>Anthony Valdez</t>
  </si>
  <si>
    <t>RT - Knee, Leg</t>
  </si>
  <si>
    <t>Alexander Ruiz Flores</t>
  </si>
  <si>
    <t>CO2 Injector</t>
  </si>
  <si>
    <t xml:space="preserve">RT - Hand / LT - Shoulder </t>
  </si>
  <si>
    <t>Ra Thach</t>
  </si>
  <si>
    <t>Juan Ramirez</t>
  </si>
  <si>
    <t>410</t>
  </si>
  <si>
    <t>Aitch Boner</t>
  </si>
  <si>
    <t>Rash</t>
  </si>
  <si>
    <t>RT - Forearm</t>
  </si>
  <si>
    <t>Sergio Torres Jimenez</t>
  </si>
  <si>
    <t>Tripe Pack Off</t>
  </si>
  <si>
    <t xml:space="preserve">LT - RT Hands, Thumbs &amp; Fingers. </t>
  </si>
  <si>
    <t>Yvonne Martinez</t>
  </si>
  <si>
    <t>Emmanuel Nunez</t>
  </si>
  <si>
    <t>105</t>
  </si>
  <si>
    <t>Paunch Puller</t>
  </si>
  <si>
    <t>LT - Forearm &amp; Wrist</t>
  </si>
  <si>
    <t>Carlos Jose Castano</t>
  </si>
  <si>
    <t>Christopher Moreno</t>
  </si>
  <si>
    <t>BG</t>
  </si>
  <si>
    <t>Glift Mechanic</t>
  </si>
  <si>
    <t xml:space="preserve">Impact? </t>
  </si>
  <si>
    <t>Right - Toe</t>
  </si>
  <si>
    <t>Tania Banegas</t>
  </si>
  <si>
    <t xml:space="preserve">Brisket Wiz. Op. </t>
  </si>
  <si>
    <t>Higinio Marin </t>
  </si>
  <si>
    <t>Cruz Lopez</t>
  </si>
  <si>
    <t>Gutter</t>
  </si>
  <si>
    <t>RT - Palm</t>
  </si>
  <si>
    <t>Saray Pedroza</t>
  </si>
  <si>
    <t>Ox Tail Wash</t>
  </si>
  <si>
    <t>Jazmine Gonzalez</t>
  </si>
  <si>
    <t>Bernardo Gonzalez</t>
  </si>
  <si>
    <t>Rib Chine Saw</t>
  </si>
  <si>
    <t>LT - Hand Wrist
RT - Index &amp; Middle Finger</t>
  </si>
  <si>
    <t>Reynaldo Betancourt</t>
  </si>
  <si>
    <t>Box Loader</t>
  </si>
  <si>
    <t>Matthew Marquez</t>
  </si>
  <si>
    <t>Pre - Gutter</t>
  </si>
  <si>
    <t xml:space="preserve">RT - Wrist/ Hand/ Palm/ Fingers. </t>
  </si>
  <si>
    <t>Maritza Martinez</t>
  </si>
  <si>
    <t xml:space="preserve">Rib Tester? </t>
  </si>
  <si>
    <t>RT - Hand/ Palm</t>
  </si>
  <si>
    <t>Evangelina Marron</t>
  </si>
  <si>
    <t>LT - Wrist</t>
  </si>
  <si>
    <t>Luis Meza</t>
  </si>
  <si>
    <t>Tender Puller</t>
  </si>
  <si>
    <t>LT - Lower Back</t>
  </si>
  <si>
    <t>Lao Yang</t>
  </si>
  <si>
    <t>Front Shank Boner</t>
  </si>
  <si>
    <t xml:space="preserve">Julia Orosco </t>
  </si>
  <si>
    <t>Mid Back</t>
  </si>
  <si>
    <t>Edgar Gutierrez Rodriguez</t>
  </si>
  <si>
    <t>Both wrist and back</t>
  </si>
  <si>
    <t>Ismael Aldana</t>
  </si>
  <si>
    <t>Chuck Bonner</t>
  </si>
  <si>
    <t>RT - Shoulder &amp; Forearm</t>
  </si>
  <si>
    <t xml:space="preserve">Maria Martinez </t>
  </si>
  <si>
    <t>Final Trim</t>
  </si>
  <si>
    <t>RT Shoulder</t>
  </si>
  <si>
    <t>Froylan Nunez</t>
  </si>
  <si>
    <t>Head Dropper</t>
  </si>
  <si>
    <t>Alan Aranda</t>
  </si>
  <si>
    <t>Bone New York</t>
  </si>
  <si>
    <t>Vereniz Carrillo</t>
  </si>
  <si>
    <t>Trim Sorter</t>
  </si>
  <si>
    <t>Jesica Roman</t>
  </si>
  <si>
    <t>Clara Salazar</t>
  </si>
  <si>
    <t>Recycling</t>
  </si>
  <si>
    <t>Outside Clean Up</t>
  </si>
  <si>
    <t>Fernando Ortega</t>
  </si>
  <si>
    <t>Brisket Saw Op</t>
  </si>
  <si>
    <t>LT - Hand</t>
  </si>
  <si>
    <t>Jorge Maldonado</t>
  </si>
  <si>
    <t>Juan Rangel</t>
  </si>
  <si>
    <t>Luis Perez</t>
  </si>
  <si>
    <t xml:space="preserve">Pallet Jack Op. </t>
  </si>
  <si>
    <t xml:space="preserve">Diffect Trimmer </t>
  </si>
  <si>
    <t>RT - Thumb</t>
  </si>
  <si>
    <t>Melissa  Rajshup</t>
  </si>
  <si>
    <t>Liver Pack Off</t>
  </si>
  <si>
    <t>Mid - Lower Back</t>
  </si>
  <si>
    <t>1st Butter/ Air Knife</t>
  </si>
  <si>
    <t>Normal Ortega</t>
  </si>
  <si>
    <t>Diego Soria</t>
  </si>
  <si>
    <t>Flat Trimmer</t>
  </si>
  <si>
    <t>Jesus Alatorre</t>
  </si>
  <si>
    <t>Christian Lopez</t>
  </si>
  <si>
    <t>Pauch Puller</t>
  </si>
  <si>
    <t>LT - Diggits (Pinky)</t>
  </si>
  <si>
    <t>Chue Her</t>
  </si>
  <si>
    <t>Trainer</t>
  </si>
  <si>
    <t>LT - Lower back</t>
  </si>
  <si>
    <t>Robyn Evan</t>
  </si>
  <si>
    <t>Box Maker</t>
  </si>
  <si>
    <t>Mid &amp; Lower Back</t>
  </si>
  <si>
    <t>Giberto Villasenor</t>
  </si>
  <si>
    <t xml:space="preserve">Forklift Op. </t>
  </si>
  <si>
    <t>Peter Voueth</t>
  </si>
  <si>
    <t xml:space="preserve">Shackler </t>
  </si>
  <si>
    <t>Back of Neck</t>
  </si>
  <si>
    <t>RPO</t>
  </si>
  <si>
    <t>Michael Rocha Reyez</t>
  </si>
  <si>
    <t>Clod Puller</t>
  </si>
  <si>
    <t>Rosendo Granados</t>
  </si>
  <si>
    <t>USDA Rail Out</t>
  </si>
  <si>
    <t>Candelario Pena</t>
  </si>
  <si>
    <t xml:space="preserve">Neck </t>
  </si>
  <si>
    <t>Christian Nicholas</t>
  </si>
  <si>
    <t>Victor Urenas</t>
  </si>
  <si>
    <t>Falling Object</t>
  </si>
  <si>
    <t>LT - Leg (Shin)</t>
  </si>
  <si>
    <t>Alejandra Ruiz</t>
  </si>
  <si>
    <t>Raymond Trevino</t>
  </si>
  <si>
    <t>RT Hand</t>
  </si>
  <si>
    <t>Gregorio Montemayor</t>
  </si>
  <si>
    <t>LF - Thumb</t>
  </si>
  <si>
    <t>Berenise Diaz</t>
  </si>
  <si>
    <t>Esmeralda Avalos</t>
  </si>
  <si>
    <t>SRM Remover</t>
  </si>
  <si>
    <t>Buttocks</t>
  </si>
  <si>
    <t>David Cruz</t>
  </si>
  <si>
    <t>2nd Legger</t>
  </si>
  <si>
    <t>RT - Pinky</t>
  </si>
  <si>
    <t>LF - Pinky &amp; Ring Finger</t>
  </si>
  <si>
    <t>Rogelio Mendoza</t>
  </si>
  <si>
    <t>Manuel Alanis</t>
  </si>
  <si>
    <t>Harvest Maint</t>
  </si>
  <si>
    <t>Maintenance</t>
  </si>
  <si>
    <t>Electric Shock</t>
  </si>
  <si>
    <t>Bilateral Hands</t>
  </si>
  <si>
    <t>Francisco Chavez</t>
  </si>
  <si>
    <t>Heart Precenter</t>
  </si>
  <si>
    <t>Raymundo Vargas Jr</t>
  </si>
  <si>
    <t>Circular Saw</t>
  </si>
  <si>
    <t>Flank Trimmer</t>
  </si>
  <si>
    <t>Deffect Trimmer</t>
  </si>
  <si>
    <t>Trim Bonner</t>
  </si>
  <si>
    <t>LF - Wrist</t>
  </si>
  <si>
    <t>Moises Flores</t>
  </si>
  <si>
    <t>Knife Sharpener</t>
  </si>
  <si>
    <t>Gladys Lujan</t>
  </si>
  <si>
    <t>Spinal Cord Remover</t>
  </si>
  <si>
    <t>RT - Foot</t>
  </si>
  <si>
    <t>Cosme De Anda</t>
  </si>
  <si>
    <t>WH</t>
  </si>
  <si>
    <t>Warehouse</t>
  </si>
  <si>
    <t>Pinch</t>
  </si>
  <si>
    <t>Mary Coffee</t>
  </si>
  <si>
    <t>Suky</t>
  </si>
  <si>
    <t>Training Dept.</t>
  </si>
  <si>
    <t>Insect Sting</t>
  </si>
  <si>
    <t>LF - Shoulder</t>
  </si>
  <si>
    <t>Israel Aldaz</t>
  </si>
  <si>
    <t>Rib Eye</t>
  </si>
  <si>
    <t>Daniel Martinez</t>
  </si>
  <si>
    <t>Electrician</t>
  </si>
  <si>
    <t xml:space="preserve">Crush Injury </t>
  </si>
  <si>
    <t>LT - Ring Finger</t>
  </si>
  <si>
    <t>Jose Ramos</t>
  </si>
  <si>
    <t>Herdsman Lead</t>
  </si>
  <si>
    <t>Jesse Garduque</t>
  </si>
  <si>
    <t>Garbriel Sandhu</t>
  </si>
  <si>
    <t>Top Butt Trimmer</t>
  </si>
  <si>
    <t>Eduardo Haro Esquiuel</t>
  </si>
  <si>
    <t>Edwin Vega</t>
  </si>
  <si>
    <t>124</t>
  </si>
  <si>
    <t>Cooler Pusher</t>
  </si>
  <si>
    <t>Struck</t>
  </si>
  <si>
    <t>LT Shoulder</t>
  </si>
  <si>
    <t>Ralph Gonzalez</t>
  </si>
  <si>
    <t xml:space="preserve">Abrasion </t>
  </si>
  <si>
    <t>Taily Laynes</t>
  </si>
  <si>
    <t>Fajita Puller</t>
  </si>
  <si>
    <t>LF - Face</t>
  </si>
  <si>
    <t>Melquisedec Quiroz</t>
  </si>
  <si>
    <t>RT - Neck</t>
  </si>
  <si>
    <t>Schackler</t>
  </si>
  <si>
    <t xml:space="preserve">LT - Diggits  </t>
  </si>
  <si>
    <t>Edalia Lopez</t>
  </si>
  <si>
    <t>LT - Arm</t>
  </si>
  <si>
    <t xml:space="preserve">Bone Saw Op. </t>
  </si>
  <si>
    <t>Aniken Robinson</t>
  </si>
  <si>
    <t xml:space="preserve">Split Saw Op. </t>
  </si>
  <si>
    <t>Heat Prostration</t>
  </si>
  <si>
    <t>All Body</t>
  </si>
  <si>
    <t>Christofer Diaz</t>
  </si>
  <si>
    <t>Palletizer</t>
  </si>
  <si>
    <t>Struck By MPE</t>
  </si>
  <si>
    <t xml:space="preserve">LF - Ankle </t>
  </si>
  <si>
    <t>Sukhbia Sandhu</t>
  </si>
  <si>
    <t>RT - Neck &amp; RT - Lower Back</t>
  </si>
  <si>
    <t>Bilateral Forearms</t>
  </si>
  <si>
    <t>Angel Rivera</t>
  </si>
  <si>
    <t>LT - Palm</t>
  </si>
  <si>
    <t>Struck By Cattle</t>
  </si>
  <si>
    <t>LT - Rib &amp; RT Mid Back</t>
  </si>
  <si>
    <t>Adolfo Reyes</t>
  </si>
  <si>
    <t>LT - Hand Digits</t>
  </si>
  <si>
    <t>Marcus Borrego</t>
  </si>
  <si>
    <t>Round Dropper</t>
  </si>
  <si>
    <t>Luis Sanchez</t>
  </si>
  <si>
    <t>Tripe Wash</t>
  </si>
  <si>
    <t xml:space="preserve">LT - Eye  </t>
  </si>
  <si>
    <t>Keshawn Givins</t>
  </si>
  <si>
    <t>Corrals 100</t>
  </si>
  <si>
    <t>RT - Hip, Knee, planter</t>
  </si>
  <si>
    <t>Frank Aguero</t>
  </si>
  <si>
    <t xml:space="preserve">Machine Op. </t>
  </si>
  <si>
    <t>LF - Middle Finger</t>
  </si>
  <si>
    <t>Julia Rosales Flores</t>
  </si>
  <si>
    <t>Tail Remover</t>
  </si>
  <si>
    <t>Bilateral Wrist
LT - Shoulder &amp; Upper Shoulder</t>
  </si>
  <si>
    <t>Ronnie D. Fleming</t>
  </si>
  <si>
    <t>RT - Hand Index &amp; Middle Fingers</t>
  </si>
  <si>
    <t>Fredy Martinez</t>
  </si>
  <si>
    <t>Burn</t>
  </si>
  <si>
    <t>Magee Brown</t>
  </si>
  <si>
    <t>Jesus a la Torre</t>
  </si>
  <si>
    <t>Vicente Madrigal</t>
  </si>
  <si>
    <t>Paddle Bonner</t>
  </si>
  <si>
    <t>Moices Bahena</t>
  </si>
  <si>
    <t>Outside Lead</t>
  </si>
  <si>
    <t>LF - Digits</t>
  </si>
  <si>
    <t>Salvador Rivas Patino</t>
  </si>
  <si>
    <t>Unclear</t>
  </si>
  <si>
    <t>Baljit Kaur</t>
  </si>
  <si>
    <t>Trimmer Upgrade</t>
  </si>
  <si>
    <t>RT - Ring Finger</t>
  </si>
  <si>
    <t>Contusions</t>
  </si>
  <si>
    <t>RT - Wrist &amp; Forearm</t>
  </si>
  <si>
    <t>Omar Ramos</t>
  </si>
  <si>
    <t>Top Boner</t>
  </si>
  <si>
    <t>Ricardo Vaca</t>
  </si>
  <si>
    <t>2nd Spinal Cord Vacuum</t>
  </si>
  <si>
    <t>Peter Thao</t>
  </si>
  <si>
    <t>Toungue Dropper</t>
  </si>
  <si>
    <t>LT - Diggits</t>
  </si>
  <si>
    <t>German Cerda</t>
  </si>
  <si>
    <t>Juan Martinez</t>
  </si>
  <si>
    <t>RT - Shoulder &amp; Neck</t>
  </si>
  <si>
    <t>Jonathan Sanchez</t>
  </si>
  <si>
    <t>Tongue Dropper</t>
  </si>
  <si>
    <t>RT - Neck &amp; Hand Diggits</t>
  </si>
  <si>
    <t xml:space="preserve">Enrique Ramos  </t>
  </si>
  <si>
    <t>Chuck Short Rib</t>
  </si>
  <si>
    <t xml:space="preserve">LT - Forearm   </t>
  </si>
  <si>
    <t>Chuck Hanger</t>
  </si>
  <si>
    <t>Domigo Camberus</t>
  </si>
  <si>
    <t>Juan Caballos</t>
  </si>
  <si>
    <t>Dog Food Saver</t>
  </si>
  <si>
    <t>Daisy Sotelo</t>
  </si>
  <si>
    <t>Pack Off</t>
  </si>
  <si>
    <t>Bilat. Ear</t>
  </si>
  <si>
    <t>Ismael Cruz</t>
  </si>
  <si>
    <t>Calf Skinner</t>
  </si>
  <si>
    <t>LT - Diggits &amp; Thumb</t>
  </si>
  <si>
    <t>Antonio Cortez</t>
  </si>
  <si>
    <t>Bin Maker</t>
  </si>
  <si>
    <t xml:space="preserve">RT - Diggits (Pinky) </t>
  </si>
  <si>
    <t>RT - Bissep</t>
  </si>
  <si>
    <t>Luis Torres</t>
  </si>
  <si>
    <t>Tripe Process</t>
  </si>
  <si>
    <t>LT - Arm (including hand)</t>
  </si>
  <si>
    <t>Jose Ramirez</t>
  </si>
  <si>
    <t>Oshmar Hernandez</t>
  </si>
  <si>
    <t>Between Tights</t>
  </si>
  <si>
    <t>Fautima Peres</t>
  </si>
  <si>
    <t>LT - Shoulder - Arm &amp; Upper Left Leg</t>
  </si>
  <si>
    <t>Felipe Anda</t>
  </si>
  <si>
    <t>Check Boner</t>
  </si>
  <si>
    <t>RT  - Index Finger</t>
  </si>
  <si>
    <t>Saw Operator</t>
  </si>
  <si>
    <t>LT - Shoulder &amp; Hand</t>
  </si>
  <si>
    <t>RT - Cheek</t>
  </si>
  <si>
    <t>Isacc Mcdowell</t>
  </si>
  <si>
    <t>Tonsil Remover</t>
  </si>
  <si>
    <t>Oscar Mardiz</t>
  </si>
  <si>
    <t>LT - FOOT (top)</t>
  </si>
  <si>
    <t>Touthao Yang</t>
  </si>
  <si>
    <t>Loading Dock Lead</t>
  </si>
  <si>
    <t>Marquiz Cassaway</t>
  </si>
  <si>
    <t>Deshavana Wells</t>
  </si>
  <si>
    <t>LT - Mid Back</t>
  </si>
  <si>
    <t>John Tovar</t>
  </si>
  <si>
    <t>Lowerator</t>
  </si>
  <si>
    <t>Struck By Object</t>
  </si>
  <si>
    <t>Gabriela Garcia</t>
  </si>
  <si>
    <t>LT - Thumb</t>
  </si>
  <si>
    <t>Wash Tails</t>
  </si>
  <si>
    <t>Gerardo Rosendo</t>
  </si>
  <si>
    <t>Repetition</t>
  </si>
  <si>
    <t>Dewly Cassaway</t>
  </si>
  <si>
    <t>Dung Trimmer</t>
  </si>
  <si>
    <t>LT - Digits</t>
  </si>
  <si>
    <t>Spinal Vac Remover</t>
  </si>
  <si>
    <t>Angel Garcia</t>
  </si>
  <si>
    <t>LT - Pointing Finger</t>
  </si>
  <si>
    <t>Elizabeth Neufeld</t>
  </si>
  <si>
    <t>100% Trimmer</t>
  </si>
  <si>
    <t xml:space="preserve">RT - Upper arm/ Forearm/ wrist/ shoulder &amp; upper back. </t>
  </si>
  <si>
    <t>Miguel Lucatero</t>
  </si>
  <si>
    <t>RT - Shoulder / RT - LT Hands and Wrist</t>
  </si>
  <si>
    <t>Jose Ramos Rodriguez</t>
  </si>
  <si>
    <t>Ying Cha</t>
  </si>
  <si>
    <t>Offal Lead</t>
  </si>
  <si>
    <t xml:space="preserve">Rash </t>
  </si>
  <si>
    <t>Anthony Cortez</t>
  </si>
  <si>
    <t>Nia Caraway</t>
  </si>
  <si>
    <t>Flap Meat Trimmer</t>
  </si>
  <si>
    <t>Chin</t>
  </si>
  <si>
    <t>Amanda Phrasavath</t>
  </si>
  <si>
    <t>Shank Rib Bonner</t>
  </si>
  <si>
    <t xml:space="preserve">RT - Ankle </t>
  </si>
  <si>
    <t>Efigenia Rodriguez</t>
  </si>
  <si>
    <t>Michael Valadez</t>
  </si>
  <si>
    <t>RT - Mouth</t>
  </si>
  <si>
    <t>Tong Yang</t>
  </si>
  <si>
    <t>RT - Index finger</t>
  </si>
  <si>
    <t>Jose Delgado</t>
  </si>
  <si>
    <t>Aitch Bonner</t>
  </si>
  <si>
    <t>Nicolas Gonzalez</t>
  </si>
  <si>
    <t>Martel Sanchez</t>
  </si>
  <si>
    <t>Edgar Hernandez</t>
  </si>
  <si>
    <t>Tail Nothcer</t>
  </si>
  <si>
    <t>Head</t>
  </si>
  <si>
    <t>Eduardo Ventura</t>
  </si>
  <si>
    <t>Raymond Bentacourt</t>
  </si>
  <si>
    <t>Omar Chavez</t>
  </si>
  <si>
    <t>2nd COD</t>
  </si>
  <si>
    <t>LT - Eye</t>
  </si>
  <si>
    <t>Zosimo Velasquez</t>
  </si>
  <si>
    <t>Jesus Valdez</t>
  </si>
  <si>
    <t>RT - Upper Back</t>
  </si>
  <si>
    <t>Alexander Eller</t>
  </si>
  <si>
    <t>Receiving</t>
  </si>
  <si>
    <t>RT - Middle Finger</t>
  </si>
  <si>
    <t xml:space="preserve">Dulce Monjardin  </t>
  </si>
  <si>
    <t>Carcass Tagger</t>
  </si>
  <si>
    <t>Vincent Johnson</t>
  </si>
  <si>
    <t>LT - Chest</t>
  </si>
  <si>
    <t>Eduardo Vega</t>
  </si>
  <si>
    <t xml:space="preserve">Cattle Pusher </t>
  </si>
  <si>
    <t>Guillermo Ortiz</t>
  </si>
  <si>
    <t>Ismael Martinez</t>
  </si>
  <si>
    <t>X-Ray Reject</t>
  </si>
  <si>
    <t>Janette Ramirez</t>
  </si>
  <si>
    <t>4 Bone</t>
  </si>
  <si>
    <t>RT - Knee &amp; Palm</t>
  </si>
  <si>
    <t xml:space="preserve"> Sukhbir Sandu </t>
  </si>
  <si>
    <t>Strike-by Against Object</t>
  </si>
  <si>
    <t>Daniel Verduzco</t>
  </si>
  <si>
    <t>Intestine Stripper</t>
  </si>
  <si>
    <t>Juan Gonzalez</t>
  </si>
  <si>
    <t>Patricia Estrada</t>
  </si>
  <si>
    <t>Packaging</t>
  </si>
  <si>
    <t>Richie Glass</t>
  </si>
  <si>
    <t>FSQA Tech</t>
  </si>
  <si>
    <t>RT/ LT Shoulders &amp; Neck</t>
  </si>
  <si>
    <t>Maria Figueroa</t>
  </si>
  <si>
    <t>Kidney Pack Off</t>
  </si>
  <si>
    <t>RT - Wrist / Hand</t>
  </si>
  <si>
    <t>RT/ LT Wrist</t>
  </si>
  <si>
    <t>Kao Vang</t>
  </si>
  <si>
    <t>Xeng Vue</t>
  </si>
  <si>
    <t>Struck by falling object</t>
  </si>
  <si>
    <t>LT - Toe</t>
  </si>
  <si>
    <t>Fermin Martinez</t>
  </si>
  <si>
    <t>Mauricio Sandoval</t>
  </si>
  <si>
    <t>Jose Nunez</t>
  </si>
  <si>
    <t>Erwin Vega</t>
  </si>
  <si>
    <t>Both Knees</t>
  </si>
  <si>
    <t>Rocio Bernal</t>
  </si>
  <si>
    <t>RT - Palm (Hand)</t>
  </si>
  <si>
    <t>Edgar Gutierrez</t>
  </si>
  <si>
    <t>Joseph Gomez</t>
  </si>
  <si>
    <t>RT - Wrist - LT Obdomon</t>
  </si>
  <si>
    <t>Marcelina Ruiz</t>
  </si>
  <si>
    <t>Israel Douglas</t>
  </si>
  <si>
    <t>Chine Saw Rib</t>
  </si>
  <si>
    <t>Reyna Lopez</t>
  </si>
  <si>
    <t>Hock Cutter</t>
  </si>
  <si>
    <t>Ker Vang</t>
  </si>
  <si>
    <t xml:space="preserve">Utilities Op. </t>
  </si>
  <si>
    <t xml:space="preserve">LT - EYE / LT &amp; RT Shoulders and chest. </t>
  </si>
  <si>
    <t>Angel Quintero</t>
  </si>
  <si>
    <t>LT - Fingers &amp; Wrist</t>
  </si>
  <si>
    <t>Leroy Major</t>
  </si>
  <si>
    <t xml:space="preserve">RT - Upper Arm  </t>
  </si>
  <si>
    <t>Diego Presiado</t>
  </si>
  <si>
    <t>Both Eyes</t>
  </si>
  <si>
    <t>Jose Silvas</t>
  </si>
  <si>
    <t>Patricia Castillo</t>
  </si>
  <si>
    <t>RT - Knee / LT - Shin</t>
  </si>
  <si>
    <t>Raul Flores</t>
  </si>
  <si>
    <t>Short Rib Bonner</t>
  </si>
  <si>
    <t>RT - Hand &amp; Forearm</t>
  </si>
  <si>
    <t>Christafer Diaz</t>
  </si>
  <si>
    <t>Manuel Escobar</t>
  </si>
  <si>
    <t>Jonathan Hernandez</t>
  </si>
  <si>
    <t>Maintnances</t>
  </si>
  <si>
    <t>LT - Forearm &amp; RT - Upper Arm</t>
  </si>
  <si>
    <t>Serijei Argueta</t>
  </si>
  <si>
    <t>LF - Forearm</t>
  </si>
  <si>
    <t>Hlee Her</t>
  </si>
  <si>
    <t>Scale Operator</t>
  </si>
  <si>
    <t>Strike By Cattle</t>
  </si>
  <si>
    <t>Strike by Cattle</t>
  </si>
  <si>
    <t>RT - Hand / Thumb</t>
  </si>
  <si>
    <t>Hayden Hensen</t>
  </si>
  <si>
    <t>Rosangela Rodriguez</t>
  </si>
  <si>
    <t xml:space="preserve">Anyl Ray Op. </t>
  </si>
  <si>
    <t>Sandra Arredondo</t>
  </si>
  <si>
    <t>Fajita Skinner</t>
  </si>
  <si>
    <t>RT - Elbow &amp; Forearm</t>
  </si>
  <si>
    <t>Neck</t>
  </si>
  <si>
    <t>Simona Bejarano</t>
  </si>
  <si>
    <t>Strip Bonner</t>
  </si>
  <si>
    <t>Jesus Silvas</t>
  </si>
  <si>
    <t>Bilateral - Arms</t>
  </si>
  <si>
    <t>Fab Supervisor</t>
  </si>
  <si>
    <t>Back Head</t>
  </si>
  <si>
    <t>Jose Balderas</t>
  </si>
  <si>
    <t>1st Air Knife</t>
  </si>
  <si>
    <t>LT - Diggits (Fingers)</t>
  </si>
  <si>
    <t>Carlos Romen</t>
  </si>
  <si>
    <t xml:space="preserve">Herdsman   </t>
  </si>
  <si>
    <t>Alfredo Rodriguez</t>
  </si>
  <si>
    <t xml:space="preserve">LT - Diggit (Finger) </t>
  </si>
  <si>
    <t>Kathrine Montez</t>
  </si>
  <si>
    <t>Cheek Pack Off</t>
  </si>
  <si>
    <t>Stike against object</t>
  </si>
  <si>
    <t>RT - Tight</t>
  </si>
  <si>
    <t>RT - Shin</t>
  </si>
  <si>
    <t>Gabiel Limas</t>
  </si>
  <si>
    <t xml:space="preserve">Michael Gurrusquieta </t>
  </si>
  <si>
    <t>Michael Gurrusquieta</t>
  </si>
  <si>
    <t>Bryan Beceril</t>
  </si>
  <si>
    <t xml:space="preserve">Charlie Stevenson </t>
  </si>
  <si>
    <t>Knife Room</t>
  </si>
  <si>
    <t>RT - Elbow &amp; Bisep</t>
  </si>
  <si>
    <t>RT - Mid Upper Back</t>
  </si>
  <si>
    <t>Robyn Evans</t>
  </si>
  <si>
    <t>Samuel Sierra</t>
  </si>
  <si>
    <t>Violance / Assault</t>
  </si>
  <si>
    <t>LT - Cheek</t>
  </si>
  <si>
    <t>Gerardo Zalazar</t>
  </si>
  <si>
    <t>Saw Helper</t>
  </si>
  <si>
    <t>CIS Operator</t>
  </si>
  <si>
    <t xml:space="preserve">Abdomon </t>
  </si>
  <si>
    <t>Cooler Cordinator</t>
  </si>
  <si>
    <t>Ezequiel Ambriz</t>
  </si>
  <si>
    <t>Carlos Mata</t>
  </si>
  <si>
    <t>Utilities</t>
  </si>
  <si>
    <t>Maikol Nerey</t>
  </si>
  <si>
    <t>Head Splitter</t>
  </si>
  <si>
    <t>LT - Upper Arm</t>
  </si>
  <si>
    <t>Manuel Rodriguez</t>
  </si>
  <si>
    <t>Paper Knock Holes</t>
  </si>
  <si>
    <t>LT-RT Wrist</t>
  </si>
  <si>
    <t>Sarah Gonzalez</t>
  </si>
  <si>
    <t>Whizzard Knife Op.</t>
  </si>
  <si>
    <t>Douglas Cline</t>
  </si>
  <si>
    <t>Luis Perez Baldez</t>
  </si>
  <si>
    <t>Blade Meat</t>
  </si>
  <si>
    <t>RT - Leg</t>
  </si>
  <si>
    <t>Jose Aguilar</t>
  </si>
  <si>
    <t>Rayomond Corrales</t>
  </si>
  <si>
    <t>Pinch-Point</t>
  </si>
  <si>
    <t>Selfia Revuelta</t>
  </si>
  <si>
    <t>Rutilo Rodriguez</t>
  </si>
  <si>
    <t>Trim Shanks</t>
  </si>
  <si>
    <t>Esmeralda Avalos Vazquez</t>
  </si>
  <si>
    <t>SRM Removal</t>
  </si>
  <si>
    <t>Antonio Soto</t>
  </si>
  <si>
    <t>Pallertizer</t>
  </si>
  <si>
    <t>Jonathan Golaviz</t>
  </si>
  <si>
    <t>Artemio Monje</t>
  </si>
  <si>
    <t>Paddle Boner</t>
  </si>
  <si>
    <t>Diego Prciado</t>
  </si>
  <si>
    <t>Michael Orozco</t>
  </si>
  <si>
    <t>Foreign Object in Eye</t>
  </si>
  <si>
    <t>Valeria Vasquez</t>
  </si>
  <si>
    <t>Tendon Collector</t>
  </si>
  <si>
    <t>LT - Index &amp; Middle Finger</t>
  </si>
  <si>
    <t>Braulio Torres</t>
  </si>
  <si>
    <t>Marilyn Herrera</t>
  </si>
  <si>
    <t>Herdsman Clerk</t>
  </si>
  <si>
    <t>Abrasion</t>
  </si>
  <si>
    <t>Rayna Perez</t>
  </si>
  <si>
    <t>Jesus Garcia</t>
  </si>
  <si>
    <t>Wax Papper Remover</t>
  </si>
  <si>
    <t>Aliyah Gonzalez</t>
  </si>
  <si>
    <t>Edgar Guttierez</t>
  </si>
  <si>
    <t>Michael Valdez</t>
  </si>
  <si>
    <t>Joseph Munt</t>
  </si>
  <si>
    <t>Coolers</t>
  </si>
  <si>
    <t>Carcass Pusher</t>
  </si>
  <si>
    <t>Gabriel Sandhu</t>
  </si>
  <si>
    <t>RT - Knee &amp; Groin</t>
  </si>
  <si>
    <t>RT - Eye</t>
  </si>
  <si>
    <t>Martin Escalera</t>
  </si>
  <si>
    <t>Inhalation</t>
  </si>
  <si>
    <t>Esperanza Alvarez</t>
  </si>
  <si>
    <t>Mathew Lee</t>
  </si>
  <si>
    <t>Blood Room</t>
  </si>
  <si>
    <t>Blood Room Op.</t>
  </si>
  <si>
    <t>David Rodriguez</t>
  </si>
  <si>
    <t>Hock Trimmer</t>
  </si>
  <si>
    <t>Deshovana Wells</t>
  </si>
  <si>
    <t>Head Chain Trimmer</t>
  </si>
  <si>
    <t>Gabriel Garcia</t>
  </si>
  <si>
    <t>Sonia Orozco</t>
  </si>
  <si>
    <t>Tail Knotch</t>
  </si>
  <si>
    <t>Servando Valencia</t>
  </si>
  <si>
    <t>Ronald Barboza</t>
  </si>
  <si>
    <t>Shank Bonner</t>
  </si>
  <si>
    <t>LT - Shoulder, Shoulder blade, Neck</t>
  </si>
  <si>
    <t>Pack Off Lead</t>
  </si>
  <si>
    <t>Whizzard Knife Op - Button Boner</t>
  </si>
  <si>
    <t>Chrisofer Diaz</t>
  </si>
  <si>
    <t>China Bonner</t>
  </si>
  <si>
    <t>Arsenio Leyva</t>
  </si>
  <si>
    <t>Pre - Udder</t>
  </si>
  <si>
    <t>Adrian Chaidez</t>
  </si>
  <si>
    <t>Cesar Castellanos</t>
  </si>
  <si>
    <t>Cattle Pusher</t>
  </si>
  <si>
    <t>Aaron Slorio</t>
  </si>
  <si>
    <t>Pre Gutter</t>
  </si>
  <si>
    <t>Shackler</t>
  </si>
  <si>
    <t>Magalie Cadet</t>
  </si>
  <si>
    <t>Head Flush</t>
  </si>
  <si>
    <t>RT - Thumb - Forearm</t>
  </si>
  <si>
    <t>Honorina Lopez</t>
  </si>
  <si>
    <t>Tail Pack Off</t>
  </si>
  <si>
    <t>Struck By-Against Object</t>
  </si>
  <si>
    <t xml:space="preserve">Department </t>
  </si>
  <si>
    <t xml:space="preserve">Maintenance </t>
  </si>
  <si>
    <t xml:space="preserve">Saw Operator </t>
  </si>
  <si>
    <t xml:space="preserve">Deffect Trimmer </t>
  </si>
  <si>
    <t xml:space="preserve">Bilateral - Forearms </t>
  </si>
  <si>
    <t xml:space="preserve">RT - Shoulder </t>
  </si>
  <si>
    <t xml:space="preserve">Contusion </t>
  </si>
  <si>
    <t xml:space="preserve">LT - Cheek </t>
  </si>
  <si>
    <t xml:space="preserve">Edwin Parada </t>
  </si>
  <si>
    <t xml:space="preserve">RT - Upper Arm </t>
  </si>
  <si>
    <t xml:space="preserve">Whizzard Knife Op. </t>
  </si>
  <si>
    <t xml:space="preserve">Po Thao </t>
  </si>
  <si>
    <t xml:space="preserve">Pack Off  </t>
  </si>
  <si>
    <t>Corrals</t>
  </si>
  <si>
    <t>Month</t>
  </si>
  <si>
    <t>Recordable_Flag</t>
  </si>
  <si>
    <t>January</t>
  </si>
  <si>
    <t>No</t>
  </si>
  <si>
    <t>Yes</t>
  </si>
  <si>
    <t>February</t>
  </si>
  <si>
    <t>March</t>
  </si>
  <si>
    <t>April</t>
  </si>
  <si>
    <t>May</t>
  </si>
  <si>
    <t>June</t>
  </si>
  <si>
    <t>July</t>
  </si>
  <si>
    <t>August</t>
  </si>
  <si>
    <t>September</t>
  </si>
  <si>
    <t>October</t>
  </si>
  <si>
    <t>November</t>
  </si>
  <si>
    <t>December</t>
  </si>
  <si>
    <t>Count of DOI</t>
  </si>
  <si>
    <t>Row Labels</t>
  </si>
  <si>
    <t>Grand Total</t>
  </si>
  <si>
    <t>Whizzard Op Head Table</t>
  </si>
  <si>
    <t>RT - Index Finger</t>
  </si>
  <si>
    <t>Year</t>
  </si>
  <si>
    <t>Month.1</t>
  </si>
  <si>
    <t>Column Labels</t>
  </si>
  <si>
    <t>Sirloin Trimmer</t>
  </si>
  <si>
    <t>LT - Elbow</t>
  </si>
  <si>
    <t>Rosia Rosas</t>
  </si>
  <si>
    <t>Warehouse Supervisor</t>
  </si>
  <si>
    <t>Inhalation / Reaction</t>
  </si>
  <si>
    <t>Eyes - Cranial - Inhalation</t>
  </si>
  <si>
    <t>Imelda Ranger</t>
  </si>
  <si>
    <t>Purchasing Agent</t>
  </si>
  <si>
    <t>Hilary Coberly</t>
  </si>
  <si>
    <t>Adam Valdiva</t>
  </si>
  <si>
    <t>Moises Bahera</t>
  </si>
  <si>
    <t>Lead Forklift</t>
  </si>
  <si>
    <t>Joaquin Diaz</t>
  </si>
  <si>
    <t>Raul Trejo</t>
  </si>
  <si>
    <t>Marquiz Gassaway</t>
  </si>
  <si>
    <t>Lactic Acid Sprayer</t>
  </si>
  <si>
    <t>Count of Body Location</t>
  </si>
  <si>
    <t>Both Upper Arms &amp; Shoulders</t>
  </si>
  <si>
    <t>Quiroz Sanchez</t>
  </si>
  <si>
    <t>Chest &amp; Nose</t>
  </si>
  <si>
    <t>Kristy Davila</t>
  </si>
  <si>
    <t>Devron Gassaway</t>
  </si>
  <si>
    <t>LT - Knee</t>
  </si>
  <si>
    <t>Count of Injury/Illness Type</t>
  </si>
  <si>
    <t>RT - Pinky Finger</t>
  </si>
  <si>
    <t xml:space="preserve">LT - Upper Arm/ Shoulder/ Shoulder Blade. </t>
  </si>
  <si>
    <t xml:space="preserve">RT - Hand </t>
  </si>
  <si>
    <t xml:space="preserve">Eyes - Cranial - Inhalation </t>
  </si>
  <si>
    <t xml:space="preserve">LT - Shoulder </t>
  </si>
  <si>
    <t>Guadalupe Fuentes</t>
  </si>
  <si>
    <t>Paper Knock Hole</t>
  </si>
  <si>
    <t>Jesus Bustos</t>
  </si>
  <si>
    <t>100 - Roamer</t>
  </si>
  <si>
    <t>LT - Shoulder - Upper Arm - Forearm</t>
  </si>
  <si>
    <t>Juan Herrera</t>
  </si>
  <si>
    <t>Contact Stess</t>
  </si>
  <si>
    <t>Juan Dominguez</t>
  </si>
  <si>
    <t>106 - Roamer</t>
  </si>
  <si>
    <t>Jesus Morales</t>
  </si>
  <si>
    <t>Karson Lowe</t>
  </si>
  <si>
    <t>RT - Pinky Finger &amp; LT - Middle Finger - Hand</t>
  </si>
  <si>
    <t>David Zavala</t>
  </si>
  <si>
    <t>Struck by Against Object</t>
  </si>
  <si>
    <t>LT - Index Finger &amp; RT - Thumb</t>
  </si>
  <si>
    <t>Armando Gonzalez</t>
  </si>
  <si>
    <t>Israel Cruz Hernandez</t>
  </si>
  <si>
    <t>Lip Opener</t>
  </si>
  <si>
    <t xml:space="preserve">RT - Wrist  </t>
  </si>
  <si>
    <t>Samuel Cruz</t>
  </si>
  <si>
    <t xml:space="preserve">Chuck Boner </t>
  </si>
  <si>
    <t>LT - Ear</t>
  </si>
  <si>
    <t>Karen Vance</t>
  </si>
  <si>
    <t>Maintenance Clerk</t>
  </si>
  <si>
    <t>RT - Foearm, Hip, Knee</t>
  </si>
  <si>
    <t>Jhondri Madariaga</t>
  </si>
  <si>
    <t>Bone Saw</t>
  </si>
  <si>
    <t>Struck by equipment</t>
  </si>
  <si>
    <t>Top Trimmer</t>
  </si>
  <si>
    <t xml:space="preserve">Jesus Bernal </t>
  </si>
  <si>
    <t>Griselda Floran</t>
  </si>
  <si>
    <t>Saul Flores</t>
  </si>
  <si>
    <t xml:space="preserve">Strain </t>
  </si>
  <si>
    <t>RT - Wrist, Elbow, &amp; Forearm</t>
  </si>
  <si>
    <t>Xeng Vuew</t>
  </si>
  <si>
    <t xml:space="preserve">LT - Upper Arm, Ribs &amp; Both Inner Thighs. </t>
  </si>
  <si>
    <t xml:space="preserve">Whizzard Kinfe Op. </t>
  </si>
  <si>
    <t>Jesus Topete</t>
  </si>
  <si>
    <t>PAA Sprayer</t>
  </si>
  <si>
    <t>Isreal Cruz Hernandez</t>
  </si>
  <si>
    <t>Split Lips</t>
  </si>
  <si>
    <t>RA Thach</t>
  </si>
  <si>
    <t>Tail Notch</t>
  </si>
  <si>
    <t xml:space="preserve">Lead  </t>
  </si>
  <si>
    <t>RT - Palm &amp; Shoulder</t>
  </si>
  <si>
    <t>LT - Nose</t>
  </si>
  <si>
    <t>Knife Sharpner</t>
  </si>
  <si>
    <t>Guadalupe Barajas</t>
  </si>
  <si>
    <t>LT - Shoulder &amp; Neck</t>
  </si>
  <si>
    <t>Osbaldo Gutierrez</t>
  </si>
  <si>
    <t>Harvest Maintenance</t>
  </si>
  <si>
    <t xml:space="preserve">Obdimen </t>
  </si>
  <si>
    <t>Both - Forearms</t>
  </si>
  <si>
    <t>Samantha Guzman</t>
  </si>
  <si>
    <t xml:space="preserve">Lead </t>
  </si>
  <si>
    <t>Struck by - against object</t>
  </si>
  <si>
    <t>Juan Vazquez</t>
  </si>
  <si>
    <t>Strip Trimmer</t>
  </si>
  <si>
    <t>LT - eye</t>
  </si>
  <si>
    <t>Gladys Lugan</t>
  </si>
  <si>
    <t>Tail and Kidney Remober</t>
  </si>
  <si>
    <t>RT - Upper Arm &amp; Elbow</t>
  </si>
  <si>
    <t>Jesus Olazava</t>
  </si>
  <si>
    <t>Fab FSQA</t>
  </si>
  <si>
    <t>QA Tech</t>
  </si>
  <si>
    <t>Enrique Ramos</t>
  </si>
  <si>
    <t>Ana Mendoza</t>
  </si>
  <si>
    <t>LT - Pinky Finger</t>
  </si>
  <si>
    <t>Loin Tail Puller</t>
  </si>
  <si>
    <t>Rafael Piceno</t>
  </si>
  <si>
    <t xml:space="preserve">RT - Rib </t>
  </si>
  <si>
    <t>2nd Top Flanker</t>
  </si>
  <si>
    <t>LT - Hand - Nose - &amp; Neck</t>
  </si>
  <si>
    <t xml:space="preserve">Morgan Branning </t>
  </si>
  <si>
    <t>Gullet Bagger</t>
  </si>
  <si>
    <t>Awkward Posture</t>
  </si>
  <si>
    <t>Noe Frage Ruiz</t>
  </si>
  <si>
    <t>Jesse De La Torre</t>
  </si>
  <si>
    <t>Both - Middle Fingers</t>
  </si>
  <si>
    <t>Jesus Valadez</t>
  </si>
  <si>
    <t>Head Trimmer</t>
  </si>
  <si>
    <t xml:space="preserve">X-Ray Op. </t>
  </si>
  <si>
    <t>Frank Padilla</t>
  </si>
  <si>
    <t>Michael Rocha</t>
  </si>
  <si>
    <t>Hector Raya</t>
  </si>
  <si>
    <t>LT - Middle &amp; Index Finger</t>
  </si>
  <si>
    <t>Both - Hands</t>
  </si>
  <si>
    <t>Jose Barajas</t>
  </si>
  <si>
    <t>Sorter</t>
  </si>
  <si>
    <t>Both - Eyes</t>
  </si>
  <si>
    <t>Guilbert Beltran</t>
  </si>
  <si>
    <t>Front Mark Pattern</t>
  </si>
  <si>
    <t>Ox Tail Packer</t>
  </si>
  <si>
    <t>Jose Miranda</t>
  </si>
  <si>
    <t>Sergio De Jesus</t>
  </si>
  <si>
    <t xml:space="preserve">Reaction </t>
  </si>
  <si>
    <t>Natividad Galicia</t>
  </si>
  <si>
    <t>Air Knife Sharpener</t>
  </si>
  <si>
    <t>LT - Foot</t>
  </si>
  <si>
    <t>Jonathan Ramirez</t>
  </si>
  <si>
    <t>Rosalba Oseguera Mendez</t>
  </si>
  <si>
    <t>2nd Hock Cutter</t>
  </si>
  <si>
    <t>James Entrocaso</t>
  </si>
  <si>
    <t>Knife Room Lead</t>
  </si>
  <si>
    <t>Brando Gonzalez</t>
  </si>
  <si>
    <t>Upper Butt - LT Shinn</t>
  </si>
  <si>
    <t>LT - Shoulder Blade, Shoulder, Upper Arm, Forearm, Hand + LT Upper Back, Center Mid Back, and Center Lower Back.</t>
  </si>
  <si>
    <t>Cesar Mendoza</t>
  </si>
  <si>
    <t>Brisket Dropper</t>
  </si>
  <si>
    <t>RT - Shoulder &amp; Index Finger</t>
  </si>
  <si>
    <t>Tednderloin Puller</t>
  </si>
  <si>
    <t xml:space="preserve">RT - Palm  </t>
  </si>
  <si>
    <t>Mapreet Singn</t>
  </si>
  <si>
    <t>Maury Gillian</t>
  </si>
  <si>
    <t>Trimmer Top Butt</t>
  </si>
  <si>
    <t>Lower Back &amp; Both Sides</t>
  </si>
  <si>
    <t>Juan Maravilla</t>
  </si>
  <si>
    <t>Valerena Begay</t>
  </si>
  <si>
    <t>FSQA Lab Tech</t>
  </si>
  <si>
    <t>Gabriela Martinez</t>
  </si>
  <si>
    <t>Jose R. Medina</t>
  </si>
  <si>
    <t>Kamran Tavagar</t>
  </si>
  <si>
    <t>Manpreet Singh</t>
  </si>
  <si>
    <t>Loin Puller</t>
  </si>
  <si>
    <t>LT - Side Chest</t>
  </si>
  <si>
    <t>Eden Segoviano</t>
  </si>
  <si>
    <t>Karina Torres</t>
  </si>
  <si>
    <t>Kidney Remover</t>
  </si>
  <si>
    <t>Eduardo Peres</t>
  </si>
  <si>
    <t>Francisco Lopez</t>
  </si>
  <si>
    <t>Six Shooter</t>
  </si>
  <si>
    <t>Gerardo Ibarra</t>
  </si>
  <si>
    <t xml:space="preserve">Chisler </t>
  </si>
  <si>
    <t>Trimmer - Upgrade</t>
  </si>
  <si>
    <t>RT - Knee &amp; Elbow</t>
  </si>
  <si>
    <t>Paul Estrada</t>
  </si>
  <si>
    <t>RT - Ankle &amp; Wrist</t>
  </si>
  <si>
    <t>LT - Upper Back, Mid Back, &amp; Lower Back</t>
  </si>
  <si>
    <t>Alex Vargas</t>
  </si>
  <si>
    <t>Butt &amp; Lower Back (All)</t>
  </si>
  <si>
    <t>Ricardo Lopez</t>
  </si>
  <si>
    <t>Eartagger</t>
  </si>
  <si>
    <t>RT - Foot (Toes)</t>
  </si>
  <si>
    <t>Lowbacker</t>
  </si>
  <si>
    <t>Oscar Torres</t>
  </si>
  <si>
    <t>Yvonne Matinez</t>
  </si>
  <si>
    <t>NA - Stress</t>
  </si>
  <si>
    <t>Salvador Gutierez</t>
  </si>
  <si>
    <t>Forklift Op</t>
  </si>
  <si>
    <t xml:space="preserve">LT - Shoulder, Hip, &amp; Cheek. </t>
  </si>
  <si>
    <t>Alejandro Pantoja</t>
  </si>
  <si>
    <t>Hang Heart &amp; Liver</t>
  </si>
  <si>
    <t>LT - Middle &amp; Ring Finger</t>
  </si>
  <si>
    <t>Sandra Arrendondo</t>
  </si>
  <si>
    <t>Fajitas</t>
  </si>
  <si>
    <t>LT - Knee, Hip, Elbow</t>
  </si>
  <si>
    <t>Juan Espinoza</t>
  </si>
  <si>
    <t>2nd Hang Off</t>
  </si>
  <si>
    <t>(blank)</t>
  </si>
  <si>
    <t>Luis Flores</t>
  </si>
  <si>
    <t>Brian Camacho</t>
  </si>
  <si>
    <t>RT - Lower Back &amp; Pinky</t>
  </si>
  <si>
    <t>Rosalba Aseguero</t>
  </si>
  <si>
    <t>RT - Forearm &amp; Bilateral Facial (L &amp; R)</t>
  </si>
  <si>
    <t>Lower Back</t>
  </si>
  <si>
    <t>Justin Briggs</t>
  </si>
  <si>
    <t>Lowrator</t>
  </si>
  <si>
    <t xml:space="preserve">LT - Shoulder &amp; Shoulder Blade. </t>
  </si>
  <si>
    <t>LT - Wrist, Back of Neck, &amp; Nose</t>
  </si>
  <si>
    <t>Marly Delgado</t>
  </si>
  <si>
    <t>RT - Shoulder Blade &amp; Mid Back (center)</t>
  </si>
  <si>
    <t>Abraham Gonzales</t>
  </si>
  <si>
    <t>Udder Remover</t>
  </si>
  <si>
    <t>Tomasa Quinonez</t>
  </si>
  <si>
    <t>Pinch Point - Caught In</t>
  </si>
  <si>
    <t xml:space="preserve">Miguel Sandoval </t>
  </si>
  <si>
    <t>Deffect Trimmer (Inner)</t>
  </si>
  <si>
    <t>Balwinder Kaur</t>
  </si>
  <si>
    <t xml:space="preserve">LT - Shoulder Blade  </t>
  </si>
  <si>
    <t>LT - Middle, Ring, &amp; Pinky Finger &amp; RT - Ring Finger</t>
  </si>
  <si>
    <t>RT - Chest &amp; Shoulder</t>
  </si>
  <si>
    <t>Jose Rivas</t>
  </si>
  <si>
    <t>Celso Avendano</t>
  </si>
  <si>
    <t xml:space="preserve">RT - Forearm   </t>
  </si>
  <si>
    <t>Nicole Machuca</t>
  </si>
  <si>
    <t xml:space="preserve">Meat Master Op. </t>
  </si>
  <si>
    <t>Jose Vazquez</t>
  </si>
  <si>
    <t xml:space="preserve">Foreign Object </t>
  </si>
  <si>
    <t>Bilateral - Eyes</t>
  </si>
  <si>
    <t>Luis Llamas</t>
  </si>
  <si>
    <t>Cooler Clean Up</t>
  </si>
  <si>
    <t>Bilateral - Lower Back</t>
  </si>
  <si>
    <t>Jose Madrigal</t>
  </si>
  <si>
    <t>NA - Subtask</t>
  </si>
  <si>
    <t>RT - Forearm &amp; LT - Calf</t>
  </si>
  <si>
    <t>Jayden Acosta</t>
  </si>
  <si>
    <t>Back of Head &amp; Lower Back</t>
  </si>
  <si>
    <t>Albert Ramos</t>
  </si>
  <si>
    <t>Bilateral Hands &amp; Mid Back</t>
  </si>
  <si>
    <t>Maricela Ruiz</t>
  </si>
  <si>
    <t>Round Strip Trimmer</t>
  </si>
  <si>
    <t>Juan Rivera</t>
  </si>
  <si>
    <t>Buildings &amp; Grounds</t>
  </si>
  <si>
    <t>B&amp;G</t>
  </si>
  <si>
    <t>Maintenance Lead</t>
  </si>
  <si>
    <t>Pablo de la Cruz</t>
  </si>
  <si>
    <t xml:space="preserve">RT - Hip </t>
  </si>
  <si>
    <t>Angel Campas</t>
  </si>
  <si>
    <t>Bilateral - Pinky Fingers</t>
  </si>
  <si>
    <t>Daniel Hernandez</t>
  </si>
  <si>
    <t>LT - Toes</t>
  </si>
  <si>
    <t>RT - Obdominal</t>
  </si>
  <si>
    <t>Insect Bite/ Sting</t>
  </si>
  <si>
    <t xml:space="preserve">Back of Head  </t>
  </si>
  <si>
    <t>Osbaldo Santiago</t>
  </si>
  <si>
    <t>LT - Wrist &amp; Hand</t>
  </si>
  <si>
    <t>Steven Aceves</t>
  </si>
  <si>
    <t>Frederick Garcia</t>
  </si>
  <si>
    <t>Bung Capper</t>
  </si>
  <si>
    <t>Juan Carlos Martinez</t>
  </si>
  <si>
    <t>Aaron Ching</t>
  </si>
  <si>
    <t>Vilma de Jesus</t>
  </si>
  <si>
    <t>Juan Ceballos</t>
  </si>
  <si>
    <t>Lebrado Avila</t>
  </si>
  <si>
    <t>Trim Roamer</t>
  </si>
  <si>
    <t>Claudia Estrada Cruz</t>
  </si>
  <si>
    <t>RT - Forearm &amp; Hand &amp; LT - Hand</t>
  </si>
  <si>
    <t>Tail Cut Hang</t>
  </si>
  <si>
    <t>1st Gutter</t>
  </si>
  <si>
    <t>Cooler Lead</t>
  </si>
  <si>
    <t>Cooler Coordinator</t>
  </si>
  <si>
    <t>Victoria Vazquez</t>
  </si>
  <si>
    <t>Chest</t>
  </si>
  <si>
    <t>Adolfo Aguilera</t>
  </si>
  <si>
    <t>RT - Thumb Area</t>
  </si>
  <si>
    <t>Sopheap Pos</t>
  </si>
  <si>
    <t>Tender Trimmer</t>
  </si>
  <si>
    <t>No Injury</t>
  </si>
  <si>
    <t>Jasmine Gonzalez</t>
  </si>
  <si>
    <t>Whizzard Knife Operator</t>
  </si>
  <si>
    <t>Rosalba Osguera</t>
  </si>
  <si>
    <t>2nd Shank Cutter</t>
  </si>
  <si>
    <t>Roman Morales</t>
  </si>
  <si>
    <t>Split Saw Operator</t>
  </si>
  <si>
    <t>Angel Estrada</t>
  </si>
  <si>
    <t>FAB Maintenance Lead</t>
  </si>
  <si>
    <t>Apolinar Basilio</t>
  </si>
  <si>
    <t>Glue Boxer</t>
  </si>
  <si>
    <t>Vilma De Jesus Gomez</t>
  </si>
  <si>
    <t>Housekeeping</t>
  </si>
  <si>
    <t>Cheek Deboner</t>
  </si>
  <si>
    <t>Offal Floater</t>
  </si>
  <si>
    <t>Mason Ojeda</t>
  </si>
  <si>
    <t>Michael Montelongo</t>
  </si>
  <si>
    <t>New York Boner</t>
  </si>
  <si>
    <t>Pisperema Amaya</t>
  </si>
  <si>
    <t>Department</t>
  </si>
  <si>
    <t>Rudy Gallegos</t>
  </si>
  <si>
    <t>Cooler Pack Off</t>
  </si>
  <si>
    <t xml:space="preserve">RT - Lower Back  </t>
  </si>
  <si>
    <t>110</t>
  </si>
  <si>
    <t>Falling Objects</t>
  </si>
  <si>
    <t>Struck by Equipment</t>
  </si>
  <si>
    <t>Struck by against object</t>
  </si>
  <si>
    <t>Metric</t>
  </si>
  <si>
    <t>Value</t>
  </si>
  <si>
    <t>Total current-year incidents</t>
  </si>
  <si>
    <t>Recordable incidents</t>
  </si>
  <si>
    <t>FA incidents</t>
  </si>
  <si>
    <t>RPO incidents</t>
  </si>
  <si>
    <t>Latest month incidents</t>
  </si>
  <si>
    <t>Average incidents/month</t>
  </si>
  <si>
    <t>Total master rows</t>
  </si>
  <si>
    <t>Incidents</t>
  </si>
  <si>
    <t>Recordable</t>
  </si>
  <si>
    <t>Total Incidents</t>
  </si>
  <si>
    <t>Latest Month</t>
  </si>
  <si>
    <t>KEY FINDINGS</t>
  </si>
  <si>
    <t>Status</t>
  </si>
  <si>
    <t>RT - Heel</t>
  </si>
  <si>
    <t>Hector Razo</t>
  </si>
  <si>
    <t>B&amp;G Maintenace</t>
  </si>
  <si>
    <t>Cranial (Front)</t>
  </si>
  <si>
    <t>Carlos Roman</t>
  </si>
  <si>
    <t>Juan Murillo</t>
  </si>
  <si>
    <t>Utilility - Maintenance</t>
  </si>
  <si>
    <t>Top Supervisor</t>
  </si>
  <si>
    <t>Injury Type</t>
  </si>
  <si>
    <t>Recordables</t>
  </si>
  <si>
    <t>Share</t>
  </si>
  <si>
    <t>Top Area</t>
  </si>
  <si>
    <t>Name</t>
  </si>
  <si>
    <t>YTD</t>
  </si>
  <si>
    <t>Jan</t>
  </si>
  <si>
    <t>Feb</t>
  </si>
  <si>
    <t>Mar</t>
  </si>
  <si>
    <t>Apr</t>
  </si>
  <si>
    <t>Jun</t>
  </si>
  <si>
    <t>Jul</t>
  </si>
  <si>
    <t>EXECUTIVE TAKEAWAYS</t>
  </si>
  <si>
    <t>Total 2026</t>
  </si>
  <si>
    <t>Top Pair</t>
  </si>
  <si>
    <t>July Change</t>
  </si>
  <si>
    <t>ADVANCED AREA RISK SCORE — TOP 10</t>
  </si>
  <si>
    <t>Peak</t>
  </si>
  <si>
    <t>Peak Ct</t>
  </si>
  <si>
    <t>Δ</t>
  </si>
  <si>
    <t>Recent 2 Mo</t>
  </si>
  <si>
    <t>Volatility</t>
  </si>
  <si>
    <t>Risk Score</t>
  </si>
  <si>
    <t>ADVANCED SUPERVISOR RISK SCORE — TOP 10</t>
  </si>
  <si>
    <t>SUPERVISOR × AREA INTERSECTION MATRIX — TOP 8 × TOP 8</t>
  </si>
  <si>
    <t>Top-8 Total</t>
  </si>
  <si>
    <t>TOP SUPERVISOR-AREA PAIRS</t>
  </si>
  <si>
    <t>RECOMMENDED NEXT QUESTIONS</t>
  </si>
  <si>
    <t>1. Should we drill into the top supervisor-area pair and identify the specific JTP/tasks driving those incidents?</t>
  </si>
  <si>
    <t>2. Should risk score be adjusted for exposure, such as employee count, hours worked, or production volume by area?</t>
  </si>
  <si>
    <t>3. Should we split severity into Recordable, RPO, and FA to distinguish frequency hotspots from severity hotspots?</t>
  </si>
  <si>
    <t>Christopher Diaz</t>
  </si>
  <si>
    <t>Stacker</t>
  </si>
  <si>
    <t>Chuck Boner</t>
  </si>
  <si>
    <t>Notes</t>
  </si>
  <si>
    <t>Count</t>
  </si>
  <si>
    <t>Rec.</t>
  </si>
  <si>
    <t>Jonny Garcia</t>
  </si>
  <si>
    <t>RT - Calf/ Shin</t>
  </si>
  <si>
    <t>RT - Index Finger &amp; Elbow</t>
  </si>
  <si>
    <t>RT - Shin/ Calf</t>
  </si>
  <si>
    <t>Rudy Ramos</t>
  </si>
  <si>
    <t>Irma Ortega</t>
  </si>
  <si>
    <t>,.//</t>
  </si>
  <si>
    <t>Struck By Equipment</t>
  </si>
  <si>
    <t>Struck By/Against Object</t>
  </si>
  <si>
    <t>WORKPLACE SAFETY — DATA ENGINE</t>
  </si>
  <si>
    <t>Last refreshed</t>
  </si>
  <si>
    <t>Focus Year</t>
  </si>
  <si>
    <t>Compare Year</t>
  </si>
  <si>
    <t>YTD 2026</t>
  </si>
  <si>
    <t>FY 2025</t>
  </si>
  <si>
    <t>YTD 2025 (Jan-Jul)</t>
  </si>
  <si>
    <t>Delta YTD</t>
  </si>
  <si>
    <t>All ESI statuses</t>
  </si>
  <si>
    <t>Recordable Incidents</t>
  </si>
  <si>
    <t>ESI=RECORDABLE or Flag=Yes</t>
  </si>
  <si>
    <t>First Aid (FA)</t>
  </si>
  <si>
    <t>RPO / Modified Duty</t>
  </si>
  <si>
    <t>Recordable % of Total</t>
  </si>
  <si>
    <t>Count-based rate</t>
  </si>
  <si>
    <t>Days Since Last Recordable</t>
  </si>
  <si>
    <t>From TODAY()</t>
  </si>
  <si>
    <t>Leading Injury Type</t>
  </si>
  <si>
    <t>Top Department</t>
  </si>
  <si>
    <t>Latest Incident Date</t>
  </si>
  <si>
    <t>Last Recordable Date</t>
  </si>
  <si>
    <t>Safety Risk Status</t>
  </si>
  <si>
    <t>Based on recordable rate + recency</t>
  </si>
  <si>
    <t>DEPARTMENT (2026 YTD)</t>
  </si>
  <si>
    <t>% of Total</t>
  </si>
  <si>
    <t>ESI STATUS (2026 YTD)</t>
  </si>
  <si>
    <t>%</t>
  </si>
  <si>
    <t>TOP INJURY / ILLNESS TYPES (2026)</t>
  </si>
  <si>
    <t>TOP AREAS (2026)</t>
  </si>
  <si>
    <t>TOP SUPERVISORS (2026)</t>
  </si>
  <si>
    <t>TOP JTPs / JOBS (2026)</t>
  </si>
  <si>
    <t>JTP</t>
  </si>
  <si>
    <t>MONTHLY INCIDENT TREND</t>
  </si>
  <si>
    <t>#</t>
  </si>
  <si>
    <t>2025 Incidents</t>
  </si>
  <si>
    <t>2026 Incidents</t>
  </si>
  <si>
    <t>2025 Recordable</t>
  </si>
  <si>
    <t>2026 Recordable</t>
  </si>
  <si>
    <t>Aug</t>
  </si>
  <si>
    <t>Sep</t>
  </si>
  <si>
    <t>Oct</t>
  </si>
  <si>
    <t>Nov</t>
  </si>
  <si>
    <t>Dec</t>
  </si>
  <si>
    <t>SORTED DEPTS</t>
  </si>
  <si>
    <t>SORTED INJURIES</t>
  </si>
  <si>
    <t>SORTED AREAS</t>
  </si>
  <si>
    <t>SORTED SUPS</t>
  </si>
  <si>
    <t>CHART Top8 Injuries</t>
  </si>
  <si>
    <t>Injury</t>
  </si>
  <si>
    <t>CHART Depts</t>
  </si>
  <si>
    <t>CHART ESI</t>
  </si>
  <si>
    <t>CHART Areas</t>
  </si>
  <si>
    <t>CHART Supervisors</t>
  </si>
  <si>
    <t>INSIGHT HELPERS</t>
  </si>
  <si>
    <t>Latest Mo Count</t>
  </si>
  <si>
    <t>Prior Mo Count</t>
  </si>
  <si>
    <t>MoM Change</t>
  </si>
  <si>
    <t>Fab Share</t>
  </si>
  <si>
    <t>YTD vs Prior %</t>
  </si>
  <si>
    <t>FINDING1</t>
  </si>
  <si>
    <t>FINDING2</t>
  </si>
  <si>
    <t>FINDING3</t>
  </si>
  <si>
    <t>FINDING4</t>
  </si>
  <si>
    <t>FINDING5</t>
  </si>
  <si>
    <t>HOT_DEPTS</t>
  </si>
  <si>
    <t>HOT_AREAS</t>
  </si>
  <si>
    <t>HOT_SUPS</t>
  </si>
  <si>
    <t>CHART JTPs</t>
  </si>
  <si>
    <t>SORTED JTPs</t>
  </si>
  <si>
    <t>SAFETY STATUS</t>
  </si>
  <si>
    <t>YTD RECORDABLE RATE</t>
  </si>
  <si>
    <t>TOTAL INCIDENTS YTD</t>
  </si>
  <si>
    <t>FIRST AID (FA)</t>
  </si>
  <si>
    <t>RPO / MOD DUTY</t>
  </si>
  <si>
    <t>RECORDABLE RATE</t>
  </si>
  <si>
    <t>DAYS W/O RECORDABLE</t>
  </si>
  <si>
    <t>LEADING INJURY</t>
  </si>
  <si>
    <t>TOP DEPARTMENT</t>
  </si>
  <si>
    <t>PERFORMANCE VISUALS</t>
  </si>
  <si>
    <t>2026 YTD</t>
  </si>
  <si>
    <t>2025 YTD</t>
  </si>
  <si>
    <t>First Aid</t>
  </si>
  <si>
    <t>Rec. Rate</t>
  </si>
  <si>
    <t>DAYS SINCE LAST REC.</t>
  </si>
  <si>
    <t>Depts</t>
  </si>
  <si>
    <t>Areas</t>
  </si>
  <si>
    <t>Supers</t>
  </si>
  <si>
    <t>TOP JTPs</t>
  </si>
  <si>
    <t>Job</t>
  </si>
  <si>
    <t>Slicers → PivotCache</t>
  </si>
  <si>
    <t>YTD COMPARISON</t>
  </si>
  <si>
    <t>TOP SUPERVISORS</t>
  </si>
  <si>
    <t>Ramon Garcia</t>
  </si>
  <si>
    <t>2nd Hock Hang Off</t>
  </si>
  <si>
    <t>Arrow Incidents</t>
  </si>
  <si>
    <t>Arrow Recordable</t>
  </si>
  <si>
    <t>Arrow Rate</t>
  </si>
  <si>
    <t>Arrow MoM</t>
  </si>
  <si>
    <t>Color Incidents</t>
  </si>
  <si>
    <t>Sub Total</t>
  </si>
  <si>
    <t>Sub Rec</t>
  </si>
  <si>
    <t>Sub FA</t>
  </si>
  <si>
    <t>Sub RPO</t>
  </si>
  <si>
    <t>Sub Rate</t>
  </si>
  <si>
    <t>Sub Days</t>
  </si>
  <si>
    <t>Sub Injury</t>
  </si>
  <si>
    <t>Sub Dept</t>
  </si>
  <si>
    <t>Severity Score</t>
  </si>
  <si>
    <t>Severity Label</t>
  </si>
  <si>
    <t>EXEC BRIEF</t>
  </si>
  <si>
    <t>ChgLbl1</t>
  </si>
  <si>
    <t>ChgLbl2</t>
  </si>
  <si>
    <t>ChgLbl3</t>
  </si>
  <si>
    <t>ChgLbl4</t>
  </si>
  <si>
    <t>ChgLbl5</t>
  </si>
  <si>
    <t>Bar Fab</t>
  </si>
  <si>
    <t>Bar Rate</t>
  </si>
  <si>
    <t>ACTION REC</t>
  </si>
  <si>
    <t>Focus Yr</t>
  </si>
  <si>
    <t>Trend</t>
  </si>
  <si>
    <t>EXECUTIVE BRIEF</t>
  </si>
  <si>
    <t>ChartTitle Monthly</t>
  </si>
  <si>
    <t>ChartTitle ESI</t>
  </si>
  <si>
    <t>ChartTitle Dept</t>
  </si>
  <si>
    <t>ChartTitle Injury</t>
  </si>
  <si>
    <t>══ AUTOMATIONS ══</t>
  </si>
  <si>
    <t>══ CHART TITLES ══</t>
  </si>
  <si>
    <t>Pivot cache</t>
  </si>
  <si>
    <t>WORKPLACE SAFETY DASHBOARD — GUIDE</t>
  </si>
  <si>
    <t>SHEET MAP</t>
  </si>
  <si>
    <t>Dashboard — Executive KPIs, findings, charts, slicers</t>
  </si>
  <si>
    <t>Data — Engine + year dropdowns (B3 focus, B4 compare)</t>
  </si>
  <si>
    <t>Master_List_Of_Injuries — Source table (append rows here)</t>
  </si>
  <si>
    <t>PivotCache — Pivots for slicers</t>
  </si>
  <si>
    <t>Notes — This guide</t>
  </si>
  <si>
    <t>HOW TO UPDATE</t>
  </si>
  <si>
    <t>1. Add incidents to the master list table.</t>
  </si>
  <si>
    <t>2. Set Data!B3 (focus year) and Data!B4 (compare year).</t>
  </si>
  <si>
    <t>3. Dashboard refreshes automatically.</t>
  </si>
  <si>
    <t>4. Slicers filter PivotCache only; KPIs stay full YTD.</t>
  </si>
  <si>
    <t>AUTOMATIONS</t>
  </si>
  <si>
    <t>Trend arrows, severity score, status badge</t>
  </si>
  <si>
    <t>Auto findings, ACTION line, executive brief</t>
  </si>
  <si>
    <t>Data bars, year dropdowns, dynamic chart titles</t>
  </si>
  <si>
    <t>DEFINITIONS</t>
  </si>
  <si>
    <t>Recordable = RECORDABLE status or Flag Yes</t>
  </si>
  <si>
    <t>Rate = recordables / total incidents (count-based)</t>
  </si>
  <si>
    <t>TRENDING</t>
  </si>
  <si>
    <t>InjuryType</t>
  </si>
  <si>
    <t>BodyLocation</t>
  </si>
  <si>
    <t>ESI</t>
  </si>
  <si>
    <t>Dept list</t>
  </si>
  <si>
    <t>Supervisor list</t>
  </si>
  <si>
    <t>InjuryType list</t>
  </si>
  <si>
    <t>ESI list</t>
  </si>
  <si>
    <t>Recordable list</t>
  </si>
  <si>
    <t>Year list</t>
  </si>
  <si>
    <t>Area list (cascading)</t>
  </si>
  <si>
    <t>Min DOI</t>
  </si>
  <si>
    <t>Max DOI</t>
  </si>
  <si>
    <t>From offset (slider)</t>
  </si>
  <si>
    <t>To offset (slider)</t>
  </si>
  <si>
    <t>(All)</t>
  </si>
  <si>
    <t>AND</t>
  </si>
  <si>
    <t>Filter mask</t>
  </si>
  <si>
    <t>FILTERS</t>
  </si>
  <si>
    <t>Search (name/JTP)</t>
  </si>
  <si>
    <t>DOI From</t>
  </si>
  <si>
    <t>DOI To</t>
  </si>
  <si>
    <t>Match mode</t>
  </si>
  <si>
    <t>(AND / OR)</t>
  </si>
  <si>
    <t>RECORDS SHOWN</t>
  </si>
  <si>
    <t>% OF TOTAL</t>
  </si>
  <si>
    <t>RECORDABLE (Yes)</t>
  </si>
  <si>
    <t>RECORDABLE (ESI)</t>
  </si>
  <si>
    <t>SETUP  (one-time, ~2 min)</t>
  </si>
  <si>
    <t>1)  SLIDERS:  Developer ▸ Insert ▸ Scroll Bar (Form Control). Draw two next to DOI From/To. Right-click ▸ Format Control ▸ Cell link: Filter_Lists!$V$3 (From) and Filter_Lists!$V$4 (To). Min 0, Max 565.</t>
  </si>
  <si>
    <t>Yellow cells are editable inputs. Area cascades from Department. Set Match mode = OR for any-match logic.</t>
  </si>
  <si>
    <t>Filtered Count</t>
  </si>
  <si>
    <t>FILTERED RESULTS</t>
  </si>
  <si>
    <t>Close</t>
  </si>
  <si>
    <t>Rene Canas</t>
  </si>
  <si>
    <t xml:space="preserve">Chine Saw </t>
  </si>
  <si>
    <t>Open</t>
  </si>
  <si>
    <t>Bone Packer</t>
  </si>
  <si>
    <t>Total YTD</t>
  </si>
  <si>
    <t>HELPERS (focus year drives all SI calcs)</t>
  </si>
  <si>
    <t xml:space="preserve"> Area &amp; Supervisor Incidents Report</t>
  </si>
  <si>
    <t>Week Start</t>
  </si>
  <si>
    <t>ChartTitle Weekly</t>
  </si>
  <si>
    <t>Week End (excl.)</t>
  </si>
  <si>
    <t>RECONCILIATION</t>
  </si>
  <si>
    <t>Weekly incidents (sum)</t>
  </si>
  <si>
    <t>Data engine YTD incidents</t>
  </si>
  <si>
    <t>Weekly recordables (sum)</t>
  </si>
  <si>
    <t>Data engine YTD recordables</t>
  </si>
  <si>
    <t>Gaps/overlaps in week grid</t>
  </si>
  <si>
    <t>Focus year</t>
  </si>
  <si>
    <t>Week Label</t>
  </si>
  <si>
    <t>Active filters (0 = none)</t>
  </si>
  <si>
    <t>Check (0 = tied, unfiltered only)</t>
  </si>
  <si>
    <t>WEEKLY TREND — ACTIVE FILTERS</t>
  </si>
  <si>
    <t>Change these on the 'Filter Dashboard' sheet — the weekly chart below updates automatically.</t>
  </si>
  <si>
    <t>Ref date (data engine)</t>
  </si>
  <si>
    <t>Preset</t>
  </si>
  <si>
    <t>From</t>
  </si>
  <si>
    <t>To</t>
  </si>
  <si>
    <t>(All dates)</t>
  </si>
  <si>
    <t>Last 7 days</t>
  </si>
  <si>
    <t>Last 30 days</t>
  </si>
  <si>
    <t>Last 90 days</t>
  </si>
  <si>
    <t>2)  CLEAR BUTTON:  Added — red "CLEAR ALL FILTERS" button sits right of the filter panel. To make it live: right-click it ▸ Assign Macro ▸ ClearAllFilters (macro code in chat). Until then, ask Claude to reset filters.</t>
  </si>
  <si>
    <t>INCIDENTS RECORDS  —  FILTER DASHBOARD</t>
  </si>
  <si>
    <t>marilyn herrera</t>
  </si>
  <si>
    <t>Ceasar Saldana</t>
  </si>
  <si>
    <t>LT - Hand &amp; Forearm</t>
  </si>
  <si>
    <t>JULY 2026 DAILY INCIDENTS</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</si>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</sst>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
    <numFmt numFmtId="167" formatCode="mmm\ dd\,\ yyyy"/>
    <numFmt numFmtId="168" formatCode="\+0.0%;\-0.0%;0.0%"/>
    <numFmt numFmtId="169" formatCode="\+0.0%;\-0.0%;0%"/>
    <numFmt numFmtId="170" formatCode="mm/dd/yyyy"/>
    <numFmt numFmtId="171" formatCode="mm/dd"/>
  </numFmts>
  <fonts count="75" x14ac:knownFonts="1">
    <font>
      <sz val="11"/>
      <color theme="1"/>
      <name val="Century Schoolbook"/>
      <family val="2"/>
      <scheme val="minor"/>
    </font>
    <font>
      <sz val="8"/>
      <name val="Century Schoolbook"/>
      <family val="2"/>
      <scheme val="minor"/>
    </font>
    <font>
      <b/>
      <sz val="11"/>
      <color rgb="FFFFFFFF"/>
      <name val="Century Schoolbook"/>
      <family val="2"/>
      <scheme val="minor"/>
    </font>
    <font>
      <b/>
      <sz val="18"/>
      <color rgb="FFFFFFFF"/>
      <name val="Century Schoolbook"/>
      <family val="2"/>
      <scheme val="minor"/>
    </font>
    <font>
      <b/>
      <sz val="11"/>
      <color rgb="FF17365D"/>
      <name val="Century Schoolbook"/>
      <family val="2"/>
      <scheme val="minor"/>
    </font>
    <font>
      <b/>
      <sz val="14"/>
      <color rgb="FF17365D"/>
      <name val="Century Schoolbook"/>
      <family val="2"/>
      <scheme val="minor"/>
    </font>
    <font>
      <i/>
      <sz val="11"/>
      <color rgb="FF666666"/>
      <name val="Century Schoolbook"/>
      <scheme val="minor"/>
    </font>
    <font>
      <b/>
      <sz val="14"/>
      <color rgb="FF17365D"/>
      <name val="Century Schoolbook"/>
      <scheme val="minor"/>
    </font>
    <font>
      <sz val="11"/>
      <color rgb="FFE8EEF7"/>
      <name val="Century Schoolbook"/>
      <family val="2"/>
      <scheme val="minor"/>
    </font>
    <font>
      <sz val="11"/>
      <color rgb="FFE8EEF7"/>
      <name val="Calibri"/>
    </font>
    <font>
      <b/>
      <sz val="14"/>
      <color rgb="FF5EB3F6"/>
      <name val="Calibri"/>
    </font>
    <font>
      <sz val="11"/>
      <color rgb="FF5B9CF5"/>
      <name val="Calibri"/>
    </font>
    <font>
      <b/>
      <sz val="11"/>
      <color rgb="FFFFFFFF"/>
      <name val="Calibri"/>
    </font>
    <font>
      <b/>
      <sz val="11"/>
      <color rgb="FF5EB3F6"/>
      <name val="Calibri"/>
    </font>
    <font>
      <b/>
      <sz val="11"/>
      <color rgb="FF5EB3F6"/>
      <name val="Century Schoolbook"/>
      <family val="2"/>
      <scheme val="minor"/>
    </font>
    <font>
      <sz val="11"/>
      <color rgb="FF5EB3F6"/>
      <name val="Calibri"/>
    </font>
    <font>
      <sz val="11"/>
      <color rgb="FF1F2937"/>
      <name val="Century Schoolbook"/>
      <family val="2"/>
      <scheme val="minor"/>
    </font>
    <font>
      <b/>
      <sz val="11"/>
      <color rgb="FF5EB3F6"/>
      <name val="Segoe UI"/>
    </font>
    <font>
      <b/>
      <sz val="18"/>
      <color rgb="FFFFFFFF"/>
      <name val="Segoe UI"/>
    </font>
    <font>
      <sz val="11"/>
      <color rgb="FFFFFFFF"/>
      <name val="Segoe UI"/>
    </font>
    <font>
      <sz val="12"/>
      <color rgb="FFFFFFFF"/>
      <name val="Segoe UI"/>
    </font>
    <font>
      <sz val="10"/>
      <color rgb="FFFFFFFF"/>
      <name val="Segoe UI"/>
    </font>
    <font>
      <sz val="11"/>
      <color rgb="FF1F2937"/>
      <name val="Segoe UI"/>
    </font>
    <font>
      <b/>
      <sz val="9"/>
      <color rgb="FF64748B"/>
      <name val="Segoe UI"/>
    </font>
    <font>
      <b/>
      <sz val="9"/>
      <color rgb="FF1F2937"/>
      <name val="Segoe UI"/>
    </font>
    <font>
      <b/>
      <sz val="18"/>
      <color rgb="FF1F2937"/>
      <name val="Segoe UI"/>
    </font>
    <font>
      <b/>
      <sz val="16"/>
      <color rgb="FFFFFFFF"/>
      <name val="Segoe UI"/>
    </font>
    <font>
      <b/>
      <sz val="20"/>
      <color rgb="FF1F2937"/>
      <name val="Segoe UI"/>
    </font>
    <font>
      <sz val="9"/>
      <color rgb="FF64748B"/>
      <name val="Segoe UI"/>
    </font>
    <font>
      <b/>
      <sz val="11"/>
      <color rgb="FFFFFFFF"/>
      <name val="Segoe UI"/>
    </font>
    <font>
      <sz val="10"/>
      <color rgb="FF1F2937"/>
      <name val="Segoe UI"/>
    </font>
    <font>
      <sz val="10"/>
      <color rgb="FF64748B"/>
      <name val="Segoe UI"/>
    </font>
    <font>
      <b/>
      <sz val="11"/>
      <color rgb="FF334155"/>
      <name val="Segoe UI"/>
    </font>
    <font>
      <b/>
      <sz val="11"/>
      <color rgb="FFD97706"/>
      <name val="Segoe UI"/>
    </font>
    <font>
      <b/>
      <sz val="11"/>
      <color rgb="FF0284C7"/>
      <name val="Segoe UI"/>
    </font>
    <font>
      <b/>
      <sz val="11"/>
      <color rgb="FFDB2777"/>
      <name val="Segoe UI"/>
    </font>
    <font>
      <b/>
      <sz val="11"/>
      <color rgb="FF1F2937"/>
      <name val="Segoe UI"/>
    </font>
    <font>
      <sz val="10"/>
      <color rgb="FF475569"/>
      <name val="Segoe UI"/>
    </font>
    <font>
      <b/>
      <sz val="14"/>
      <color rgb="FF1D4ED8"/>
      <name val="Segoe UI"/>
    </font>
    <font>
      <b/>
      <sz val="22"/>
      <color rgb="FF1F4E78"/>
      <name val="Segoe UI"/>
    </font>
    <font>
      <b/>
      <sz val="22"/>
      <color rgb="FF059669"/>
      <name val="Segoe UI"/>
    </font>
    <font>
      <b/>
      <sz val="15"/>
      <color rgb="FFFFFFFF"/>
      <name val="Segoe UI"/>
    </font>
    <font>
      <b/>
      <sz val="22"/>
      <color rgb="FF0F172A"/>
      <name val="Segoe UI"/>
    </font>
    <font>
      <b/>
      <sz val="10"/>
      <color rgb="FF1F2937"/>
      <name val="Segoe UI"/>
    </font>
    <font>
      <b/>
      <sz val="10"/>
      <color rgb="FF1E3A5F"/>
      <name val="Segoe UI"/>
    </font>
    <font>
      <b/>
      <sz val="12"/>
      <color rgb="FF1E3A5F"/>
      <name val="Segoe UI"/>
    </font>
    <font>
      <sz val="10"/>
      <color rgb="FF2563EB"/>
      <name val="Consolas"/>
    </font>
    <font>
      <sz val="11"/>
      <color rgb="FF0B1426"/>
      <name val="Calibri"/>
    </font>
    <font>
      <sz val="11"/>
      <color rgb="FF64748B"/>
      <name val="Century Schoolbook"/>
      <family val="2"/>
      <scheme val="minor"/>
    </font>
    <font>
      <sz val="11"/>
      <color theme="1"/>
      <name val="Segoe UI"/>
    </font>
    <font>
      <b/>
      <sz val="16"/>
      <color rgb="FF1E3A5F"/>
      <name val="Segoe UI"/>
    </font>
    <font>
      <b/>
      <sz val="11"/>
      <color rgb="FF1E3A5F"/>
      <name val="Segoe UI"/>
    </font>
    <font>
      <sz val="11"/>
      <color rgb="FF0000FF"/>
      <name val="Century Schoolbook"/>
      <family val="2"/>
      <scheme val="minor"/>
    </font>
    <font>
      <sz val="9"/>
      <color theme="1"/>
      <name val="Segoe UI"/>
    </font>
    <font>
      <b/>
      <sz val="20"/>
      <color rgb="FFFFFFFF"/>
      <name val="Segoe UI"/>
    </font>
    <font>
      <b/>
      <sz val="10"/>
      <color rgb="FFFFFFFF"/>
      <name val="Segoe UI"/>
    </font>
    <font>
      <sz val="9"/>
      <color rgb="FF3A3A3A"/>
      <name val="Segoe UI"/>
    </font>
    <font>
      <sz val="10"/>
      <color theme="1"/>
      <name val="Segoe UI"/>
    </font>
    <font>
      <sz val="10.5"/>
      <color rgb="FF33475B"/>
      <name val="Segoe UI"/>
    </font>
    <font>
      <b/>
      <sz val="9.5"/>
      <color rgb="FF5B6B7B"/>
      <name val="Segoe UI"/>
    </font>
    <font>
      <b/>
      <sz val="10"/>
      <color rgb="FF1F4E79"/>
      <name val="Segoe UI"/>
    </font>
    <font>
      <i/>
      <sz val="9"/>
      <color rgb="FF8A97A6"/>
      <name val="Segoe UI"/>
    </font>
    <font>
      <b/>
      <sz val="8.5"/>
      <color rgb="FF64748B"/>
      <name val="Segoe UI"/>
    </font>
    <font>
      <b/>
      <sz val="24"/>
      <color rgb="FF1F2D3D"/>
      <name val="Segoe UI"/>
    </font>
    <font>
      <b/>
      <sz val="11"/>
      <color rgb="FF33475B"/>
      <name val="Segoe UI"/>
    </font>
    <font>
      <sz val="11"/>
      <color rgb="FFE8EEF7"/>
      <name val="Century Schoolbook"/>
      <scheme val="minor"/>
    </font>
    <font>
      <sz val="11"/>
      <color rgb="FF006600"/>
      <name val="Century Schoolbook"/>
      <family val="2"/>
      <scheme val="minor"/>
    </font>
    <font>
      <b/>
      <sz val="14"/>
      <color rgb="FF006600"/>
      <name val="Century Schoolbook"/>
      <scheme val="minor"/>
    </font>
    <font>
      <b/>
      <sz val="9"/>
      <color rgb="FF666666"/>
      <name val="Century Schoolbook"/>
      <family val="2"/>
      <scheme val="minor"/>
    </font>
    <font>
      <b/>
      <sz val="11"/>
      <color theme="1"/>
      <name val="Century Schoolbook"/>
      <family val="2"/>
      <scheme val="minor"/>
    </font>
    <font>
      <b/>
      <sz val="10"/>
      <color rgb="FF1F4E79"/>
      <name val="Century Schoolbook"/>
      <family val="2"/>
      <scheme val="minor"/>
    </font>
    <font>
      <sz val="9"/>
      <color rgb="FF1F2937"/>
      <name val="Century Schoolbook"/>
      <family val="2"/>
      <scheme val="minor"/>
    </font>
    <font>
      <i/>
      <sz val="8"/>
      <color rgb="FF808080"/>
      <name val="Century Schoolbook"/>
      <family val="2"/>
      <scheme val="minor"/>
    </font>
    <font>
      <b/>
      <sz val="11"/>
      <color rgb="FFFFFFFF"/>
      <name val="Century Schoolbook"/>
      <scheme val="minor"/>
    </font>
    <font>
      <sz val="11"/>
      <color theme="1"/>
      <name val="Century Schoolbook"/>
      <scheme val="minor"/>
    </font>
  </fonts>
  <fills count="33">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5B9BD5"/>
        <bgColor indexed="64"/>
      </patternFill>
    </fill>
    <fill>
      <patternFill patternType="solid">
        <fgColor rgb="FF70AD47"/>
        <bgColor indexed="64"/>
      </patternFill>
    </fill>
    <fill>
      <patternFill patternType="solid">
        <fgColor rgb="FF17365D"/>
        <bgColor indexed="64"/>
      </patternFill>
    </fill>
    <fill>
      <patternFill patternType="solid">
        <fgColor rgb="FFFFFFFF"/>
        <bgColor indexed="64"/>
      </patternFill>
    </fill>
    <fill>
      <patternFill patternType="solid">
        <fgColor rgb="FF0B1426"/>
        <bgColor indexed="64"/>
      </patternFill>
    </fill>
    <fill>
      <patternFill patternType="solid">
        <fgColor rgb="FF1A2744"/>
        <bgColor indexed="64"/>
      </patternFill>
    </fill>
    <fill>
      <patternFill patternType="solid">
        <fgColor rgb="FF1E3A5F"/>
        <bgColor indexed="64"/>
      </patternFill>
    </fill>
    <fill>
      <patternFill patternType="solid">
        <fgColor rgb="FFD97706"/>
        <bgColor indexed="64"/>
      </patternFill>
    </fill>
    <fill>
      <patternFill patternType="solid">
        <fgColor rgb="FFF8FAFC"/>
        <bgColor indexed="64"/>
      </patternFill>
    </fill>
    <fill>
      <patternFill patternType="solid">
        <fgColor rgb="FFE2E8F0"/>
        <bgColor indexed="64"/>
      </patternFill>
    </fill>
    <fill>
      <patternFill patternType="solid">
        <fgColor rgb="FFDBEAFE"/>
        <bgColor indexed="64"/>
      </patternFill>
    </fill>
    <fill>
      <patternFill patternType="solid">
        <fgColor rgb="FFF1F5F9"/>
        <bgColor indexed="64"/>
      </patternFill>
    </fill>
    <fill>
      <patternFill patternType="solid">
        <fgColor rgb="FFEFF6FF"/>
        <bgColor indexed="64"/>
      </patternFill>
    </fill>
    <fill>
      <patternFill patternType="solid">
        <fgColor rgb="FF2563EB"/>
        <bgColor indexed="64"/>
      </patternFill>
    </fill>
    <fill>
      <patternFill patternType="solid">
        <fgColor rgb="FFDC2626"/>
        <bgColor indexed="64"/>
      </patternFill>
    </fill>
    <fill>
      <patternFill patternType="solid">
        <fgColor rgb="FF16A34A"/>
        <bgColor indexed="64"/>
      </patternFill>
    </fill>
    <fill>
      <patternFill patternType="solid">
        <fgColor rgb="FF7C3AED"/>
        <bgColor indexed="64"/>
      </patternFill>
    </fill>
    <fill>
      <patternFill patternType="solid">
        <fgColor rgb="FF059669"/>
        <bgColor indexed="64"/>
      </patternFill>
    </fill>
    <fill>
      <patternFill patternType="solid">
        <fgColor rgb="FFDB2777"/>
        <bgColor indexed="64"/>
      </patternFill>
    </fill>
    <fill>
      <patternFill patternType="solid">
        <fgColor rgb="FF0284C7"/>
        <bgColor indexed="64"/>
      </patternFill>
    </fill>
    <fill>
      <patternFill patternType="solid">
        <fgColor theme="0" tint="0.79998168889431442"/>
        <bgColor indexed="64"/>
      </patternFill>
    </fill>
    <fill>
      <patternFill patternType="solid">
        <fgColor rgb="FF1F3864"/>
        <bgColor indexed="64"/>
      </patternFill>
    </fill>
    <fill>
      <patternFill patternType="solid">
        <fgColor rgb="FFF2F2F2"/>
        <bgColor indexed="64"/>
      </patternFill>
    </fill>
    <fill>
      <patternFill patternType="solid">
        <fgColor rgb="FFEAF1FB"/>
        <bgColor indexed="64"/>
      </patternFill>
    </fill>
    <fill>
      <patternFill patternType="solid">
        <fgColor rgb="FFEEF2F6"/>
        <bgColor indexed="64"/>
      </patternFill>
    </fill>
    <fill>
      <patternFill patternType="solid">
        <fgColor rgb="FF1F2D3D"/>
        <bgColor indexed="64"/>
      </patternFill>
    </fill>
    <fill>
      <patternFill patternType="solid">
        <fgColor rgb="FFE4E9F0"/>
        <bgColor indexed="64"/>
      </patternFill>
    </fill>
    <fill>
      <patternFill patternType="solid">
        <fgColor rgb="FF33475B"/>
        <bgColor indexed="64"/>
      </patternFill>
    </fill>
    <fill>
      <patternFill patternType="solid">
        <fgColor rgb="FFE6F0FA"/>
        <bgColor indexed="64"/>
      </patternFill>
    </fill>
  </fills>
  <borders count="44">
    <border>
      <left/>
      <right/>
      <top/>
      <bottom/>
      <diagonal/>
    </border>
    <border>
      <left style="thin">
        <color rgb="FFD9E2F3"/>
      </left>
      <right style="thin">
        <color rgb="FFD9E2F3"/>
      </right>
      <top style="thin">
        <color rgb="FFD9E2F3"/>
      </top>
      <bottom style="thin">
        <color rgb="FFD9E2F3"/>
      </bottom>
      <diagonal/>
    </border>
    <border>
      <left style="thin">
        <color rgb="FFCBD5E1"/>
      </left>
      <right/>
      <top style="thin">
        <color rgb="FFCBD5E1"/>
      </top>
      <bottom/>
      <diagonal/>
    </border>
    <border>
      <left style="thin">
        <color rgb="FFCBD5E1"/>
      </left>
      <right/>
      <top/>
      <bottom/>
      <diagonal/>
    </border>
    <border>
      <left style="thin">
        <color rgb="FFCBD5E1"/>
      </left>
      <right/>
      <top/>
      <bottom style="thin">
        <color rgb="FFCBD5E1"/>
      </bottom>
      <diagonal/>
    </border>
    <border>
      <left/>
      <right style="thin">
        <color rgb="FFCBD5E1"/>
      </right>
      <top style="thin">
        <color rgb="FFCBD5E1"/>
      </top>
      <bottom/>
      <diagonal/>
    </border>
    <border>
      <left/>
      <right style="thin">
        <color rgb="FFCBD5E1"/>
      </right>
      <top/>
      <bottom/>
      <diagonal/>
    </border>
    <border>
      <left/>
      <right style="thin">
        <color rgb="FFCBD5E1"/>
      </right>
      <top/>
      <bottom style="thin">
        <color rgb="FFCBD5E1"/>
      </bottom>
      <diagonal/>
    </border>
    <border>
      <left/>
      <right/>
      <top style="thin">
        <color rgb="FFCBD5E1"/>
      </top>
      <bottom/>
      <diagonal/>
    </border>
    <border>
      <left/>
      <right/>
      <top/>
      <bottom style="thin">
        <color rgb="FFCBD5E1"/>
      </bottom>
      <diagonal/>
    </border>
    <border>
      <left/>
      <right/>
      <top style="thin">
        <color auto="1"/>
      </top>
      <bottom/>
      <diagonal/>
    </border>
    <border>
      <left/>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bottom style="thick">
        <color rgb="FF3E7CB1"/>
      </bottom>
      <diagonal/>
    </border>
    <border>
      <left/>
      <right/>
      <top style="thin">
        <color rgb="FFC9D2DC"/>
      </top>
      <bottom/>
      <diagonal/>
    </border>
    <border>
      <left/>
      <right/>
      <top/>
      <bottom style="thin">
        <color rgb="FFC9D2DC"/>
      </bottom>
      <diagonal/>
    </border>
    <border>
      <left style="thin">
        <color rgb="FFC9D2DC"/>
      </left>
      <right/>
      <top style="thin">
        <color rgb="FFC9D2DC"/>
      </top>
      <bottom/>
      <diagonal/>
    </border>
    <border>
      <left style="thin">
        <color rgb="FFC9D2DC"/>
      </left>
      <right/>
      <top/>
      <bottom/>
      <diagonal/>
    </border>
    <border>
      <left style="thin">
        <color rgb="FFC9D2DC"/>
      </left>
      <right/>
      <top/>
      <bottom style="thin">
        <color rgb="FFC9D2DC"/>
      </bottom>
      <diagonal/>
    </border>
    <border>
      <left/>
      <right style="thin">
        <color rgb="FFC9D2DC"/>
      </right>
      <top style="thin">
        <color rgb="FFC9D2DC"/>
      </top>
      <bottom/>
      <diagonal/>
    </border>
    <border>
      <left/>
      <right style="thin">
        <color rgb="FFC9D2DC"/>
      </right>
      <top/>
      <bottom style="thin">
        <color rgb="FFC9D2DC"/>
      </bottom>
      <diagonal/>
    </border>
    <border>
      <left style="thin">
        <color rgb="FFC4D2E2"/>
      </left>
      <right/>
      <top style="thin">
        <color rgb="FFC4D2E2"/>
      </top>
      <bottom style="thin">
        <color rgb="FFC4D2E2"/>
      </bottom>
      <diagonal/>
    </border>
    <border>
      <left/>
      <right style="thin">
        <color rgb="FFC4D2E2"/>
      </right>
      <top style="thin">
        <color rgb="FFC4D2E2"/>
      </top>
      <bottom style="thin">
        <color rgb="FFC4D2E2"/>
      </bottom>
      <diagonal/>
    </border>
    <border>
      <left style="thin">
        <color rgb="FFC9D2DC"/>
      </left>
      <right/>
      <top style="thick">
        <color rgb="FF3E7CB1"/>
      </top>
      <bottom/>
      <diagonal/>
    </border>
    <border>
      <left/>
      <right/>
      <top style="thick">
        <color rgb="FF3E7CB1"/>
      </top>
      <bottom/>
      <diagonal/>
    </border>
    <border>
      <left style="thin">
        <color rgb="FFC9D2DC"/>
      </left>
      <right/>
      <top style="thick">
        <color rgb="FFB4453C"/>
      </top>
      <bottom/>
      <diagonal/>
    </border>
    <border>
      <left/>
      <right/>
      <top style="thick">
        <color rgb="FFB4453C"/>
      </top>
      <bottom/>
      <diagonal/>
    </border>
    <border>
      <left style="thin">
        <color rgb="FFC9D2DC"/>
      </left>
      <right/>
      <top style="thick">
        <color rgb="FF4F7A4E"/>
      </top>
      <bottom/>
      <diagonal/>
    </border>
    <border>
      <left/>
      <right/>
      <top style="thick">
        <color rgb="FF4F7A4E"/>
      </top>
      <bottom/>
      <diagonal/>
    </border>
    <border>
      <left style="thin">
        <color rgb="FFC9D2DC"/>
      </left>
      <right/>
      <top style="thick">
        <color rgb="FFC08A2E"/>
      </top>
      <bottom/>
      <diagonal/>
    </border>
    <border>
      <left/>
      <right/>
      <top style="thick">
        <color rgb="FFC08A2E"/>
      </top>
      <bottom/>
      <diagonal/>
    </border>
    <border>
      <left style="thin">
        <color rgb="FFC9D2DC"/>
      </left>
      <right/>
      <top style="thick">
        <color rgb="FF6B5B95"/>
      </top>
      <bottom/>
      <diagonal/>
    </border>
    <border>
      <left/>
      <right style="thin">
        <color rgb="FFC9D2DC"/>
      </right>
      <top style="thick">
        <color rgb="FF6B5B95"/>
      </top>
      <bottom/>
      <diagonal/>
    </border>
    <border>
      <left/>
      <right/>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diagonal/>
    </border>
    <border>
      <left style="thin">
        <color rgb="FFD9E2F3"/>
      </left>
      <right style="thin">
        <color rgb="FFD9E2F3"/>
      </right>
      <top/>
      <bottom style="thin">
        <color rgb="FFD9E2F3"/>
      </bottom>
      <diagonal/>
    </border>
    <border>
      <left/>
      <right style="thin">
        <color rgb="FFD9E2F3"/>
      </right>
      <top style="thin">
        <color rgb="FFD9E2F3"/>
      </top>
      <bottom/>
      <diagonal/>
    </border>
  </borders>
  <cellStyleXfs count="1">
    <xf numFmtId="0" fontId="0" fillId="0" borderId="0"/>
  </cellStyleXfs>
  <cellXfs count="21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indent="1"/>
    </xf>
    <xf numFmtId="14" fontId="0" fillId="0" borderId="0" xfId="0" applyNumberFormat="1" applyAlignment="1">
      <alignment horizontal="left"/>
    </xf>
    <xf numFmtId="0" fontId="2" fillId="2" borderId="0" xfId="0" applyFont="1" applyFill="1"/>
    <xf numFmtId="3" fontId="0" fillId="0" borderId="0" xfId="0" applyNumberFormat="1"/>
    <xf numFmtId="14" fontId="2" fillId="2" borderId="0" xfId="0" applyNumberFormat="1" applyFont="1" applyFill="1"/>
    <xf numFmtId="1" fontId="2" fillId="2" borderId="0" xfId="0" applyNumberFormat="1" applyFont="1" applyFill="1"/>
    <xf numFmtId="1" fontId="0" fillId="0" borderId="0" xfId="0" applyNumberFormat="1"/>
    <xf numFmtId="0" fontId="0" fillId="0" borderId="1" xfId="0" applyBorder="1"/>
    <xf numFmtId="3" fontId="0" fillId="0" borderId="1" xfId="0" applyNumberFormat="1" applyBorder="1"/>
    <xf numFmtId="164" fontId="0" fillId="0" borderId="1" xfId="0" applyNumberFormat="1" applyBorder="1"/>
    <xf numFmtId="0" fontId="2" fillId="6" borderId="1" xfId="0" applyFont="1" applyFill="1" applyBorder="1" applyAlignment="1">
      <alignment horizontal="center"/>
    </xf>
    <xf numFmtId="0" fontId="0" fillId="8" borderId="0" xfId="0" applyFill="1"/>
    <xf numFmtId="0" fontId="8" fillId="8" borderId="0" xfId="0" applyFont="1" applyFill="1"/>
    <xf numFmtId="0" fontId="9" fillId="8" borderId="0" xfId="0" applyFont="1" applyFill="1"/>
    <xf numFmtId="0" fontId="10" fillId="8" borderId="0" xfId="0" applyFont="1" applyFill="1"/>
    <xf numFmtId="167" fontId="9" fillId="8" borderId="0" xfId="0" applyNumberFormat="1" applyFont="1" applyFill="1"/>
    <xf numFmtId="0" fontId="11" fillId="9" borderId="0" xfId="0" applyFont="1" applyFill="1"/>
    <xf numFmtId="0" fontId="12" fillId="2" borderId="0" xfId="0" applyFont="1" applyFill="1"/>
    <xf numFmtId="164" fontId="9" fillId="8" borderId="0" xfId="0" applyNumberFormat="1" applyFont="1" applyFill="1"/>
    <xf numFmtId="14" fontId="9" fillId="8" borderId="0" xfId="0" applyNumberFormat="1" applyFont="1" applyFill="1"/>
    <xf numFmtId="168" fontId="9" fillId="8" borderId="0" xfId="0" applyNumberFormat="1" applyFont="1" applyFill="1"/>
    <xf numFmtId="3" fontId="9" fillId="8" borderId="0" xfId="0" applyNumberFormat="1" applyFont="1" applyFill="1"/>
    <xf numFmtId="1" fontId="9" fillId="8" borderId="0" xfId="0" applyNumberFormat="1" applyFont="1" applyFill="1"/>
    <xf numFmtId="0" fontId="13" fillId="8" borderId="0" xfId="0" applyFont="1" applyFill="1"/>
    <xf numFmtId="0" fontId="14" fillId="8" borderId="0" xfId="0" applyFont="1" applyFill="1"/>
    <xf numFmtId="164" fontId="8" fillId="8" borderId="0" xfId="0" applyNumberFormat="1" applyFont="1" applyFill="1"/>
    <xf numFmtId="1" fontId="8" fillId="8" borderId="0" xfId="0" applyNumberFormat="1" applyFont="1" applyFill="1"/>
    <xf numFmtId="0" fontId="15" fillId="8" borderId="0" xfId="0" applyFont="1" applyFill="1"/>
    <xf numFmtId="169" fontId="9" fillId="8" borderId="0" xfId="0" applyNumberFormat="1" applyFont="1" applyFill="1"/>
    <xf numFmtId="0" fontId="17" fillId="8" borderId="0" xfId="0" applyFont="1" applyFill="1"/>
    <xf numFmtId="0" fontId="18" fillId="2" borderId="0" xfId="0" applyFont="1" applyFill="1" applyAlignment="1">
      <alignment horizontal="centerContinuous"/>
    </xf>
    <xf numFmtId="0" fontId="19" fillId="2" borderId="0" xfId="0" applyFont="1" applyFill="1" applyAlignment="1">
      <alignment horizontal="centerContinuous"/>
    </xf>
    <xf numFmtId="0" fontId="19" fillId="2" borderId="0" xfId="0" applyFont="1" applyFill="1"/>
    <xf numFmtId="0" fontId="20" fillId="2" borderId="0" xfId="0" applyFont="1" applyFill="1" applyAlignment="1">
      <alignment horizontal="centerContinuous"/>
    </xf>
    <xf numFmtId="0" fontId="22" fillId="7" borderId="0" xfId="0" applyFont="1" applyFill="1"/>
    <xf numFmtId="0" fontId="23" fillId="7" borderId="0" xfId="0" applyFont="1" applyFill="1"/>
    <xf numFmtId="0" fontId="30" fillId="12" borderId="0" xfId="0" applyFont="1" applyFill="1" applyAlignment="1">
      <alignment wrapText="1"/>
    </xf>
    <xf numFmtId="0" fontId="31" fillId="12" borderId="0" xfId="0" applyFont="1" applyFill="1"/>
    <xf numFmtId="0" fontId="22" fillId="12" borderId="0" xfId="0" applyFont="1" applyFill="1"/>
    <xf numFmtId="0" fontId="32" fillId="13" borderId="0" xfId="0" applyFont="1" applyFill="1" applyAlignment="1">
      <alignment horizontal="center"/>
    </xf>
    <xf numFmtId="0" fontId="33" fillId="12" borderId="0" xfId="0" applyFont="1" applyFill="1"/>
    <xf numFmtId="0" fontId="30" fillId="12" borderId="0" xfId="0" applyFont="1" applyFill="1"/>
    <xf numFmtId="0" fontId="34" fillId="12" borderId="0" xfId="0" applyFont="1" applyFill="1"/>
    <xf numFmtId="0" fontId="35" fillId="12" borderId="0" xfId="0" applyFont="1" applyFill="1"/>
    <xf numFmtId="0" fontId="36" fillId="14" borderId="0" xfId="0" applyFont="1" applyFill="1" applyAlignment="1">
      <alignment horizontal="center"/>
    </xf>
    <xf numFmtId="0" fontId="36" fillId="14" borderId="0" xfId="0" applyFont="1" applyFill="1"/>
    <xf numFmtId="1" fontId="36" fillId="14" borderId="0" xfId="0" applyNumberFormat="1" applyFont="1" applyFill="1" applyAlignment="1">
      <alignment horizontal="center"/>
    </xf>
    <xf numFmtId="0" fontId="22" fillId="7" borderId="0" xfId="0" applyFont="1" applyFill="1" applyAlignment="1">
      <alignment horizontal="center"/>
    </xf>
    <xf numFmtId="1" fontId="22" fillId="7" borderId="0" xfId="0" applyNumberFormat="1" applyFont="1" applyFill="1" applyAlignment="1">
      <alignment horizontal="center"/>
    </xf>
    <xf numFmtId="0" fontId="28" fillId="7" borderId="0" xfId="0" applyFont="1" applyFill="1" applyAlignment="1">
      <alignment wrapText="1"/>
    </xf>
    <xf numFmtId="0" fontId="22" fillId="12" borderId="0" xfId="0" applyFont="1" applyFill="1" applyAlignment="1">
      <alignment horizontal="center"/>
    </xf>
    <xf numFmtId="1" fontId="22" fillId="12" borderId="0" xfId="0" applyNumberFormat="1" applyFont="1" applyFill="1" applyAlignment="1">
      <alignment horizontal="center"/>
    </xf>
    <xf numFmtId="0" fontId="32" fillId="13" borderId="0" xfId="0" applyFont="1" applyFill="1"/>
    <xf numFmtId="0" fontId="36" fillId="7" borderId="0" xfId="0" applyFont="1" applyFill="1"/>
    <xf numFmtId="164" fontId="39" fillId="7" borderId="0" xfId="0" applyNumberFormat="1" applyFont="1" applyFill="1"/>
    <xf numFmtId="0" fontId="22" fillId="17" borderId="0" xfId="0" applyFont="1" applyFill="1"/>
    <xf numFmtId="0" fontId="22" fillId="18" borderId="0" xfId="0" applyFont="1" applyFill="1"/>
    <xf numFmtId="0" fontId="22" fillId="19" borderId="0" xfId="0" applyFont="1" applyFill="1"/>
    <xf numFmtId="0" fontId="22" fillId="11" borderId="0" xfId="0" applyFont="1" applyFill="1"/>
    <xf numFmtId="0" fontId="22" fillId="20" borderId="0" xfId="0" applyFont="1" applyFill="1"/>
    <xf numFmtId="0" fontId="22" fillId="21" borderId="0" xfId="0" applyFont="1" applyFill="1"/>
    <xf numFmtId="0" fontId="22" fillId="22" borderId="0" xfId="0" applyFont="1" applyFill="1"/>
    <xf numFmtId="0" fontId="22" fillId="23" borderId="0" xfId="0" applyFont="1" applyFill="1"/>
    <xf numFmtId="0" fontId="29" fillId="10" borderId="0" xfId="0" applyFont="1" applyFill="1"/>
    <xf numFmtId="0" fontId="29" fillId="10" borderId="0" xfId="0" applyFont="1" applyFill="1" applyAlignment="1">
      <alignment wrapText="1"/>
    </xf>
    <xf numFmtId="0" fontId="22" fillId="16" borderId="0" xfId="0" applyFont="1" applyFill="1"/>
    <xf numFmtId="0" fontId="44" fillId="16" borderId="0" xfId="0" applyFont="1" applyFill="1" applyAlignment="1">
      <alignment wrapText="1"/>
    </xf>
    <xf numFmtId="3" fontId="30" fillId="12" borderId="0" xfId="0" applyNumberFormat="1" applyFont="1" applyFill="1" applyAlignment="1">
      <alignment horizontal="center"/>
    </xf>
    <xf numFmtId="164" fontId="30" fillId="12" borderId="0" xfId="0" applyNumberFormat="1" applyFont="1" applyFill="1" applyAlignment="1">
      <alignment horizontal="center"/>
    </xf>
    <xf numFmtId="3" fontId="43" fillId="12" borderId="0" xfId="0" applyNumberFormat="1" applyFont="1" applyFill="1" applyAlignment="1">
      <alignment horizontal="center"/>
    </xf>
    <xf numFmtId="169" fontId="43" fillId="12" borderId="0" xfId="0" applyNumberFormat="1" applyFont="1" applyFill="1" applyAlignment="1">
      <alignment horizontal="center"/>
    </xf>
    <xf numFmtId="1" fontId="22" fillId="10" borderId="0" xfId="0" applyNumberFormat="1" applyFont="1" applyFill="1" applyAlignment="1">
      <alignment horizontal="center"/>
    </xf>
    <xf numFmtId="0" fontId="22" fillId="10" borderId="0" xfId="0" applyFont="1" applyFill="1"/>
    <xf numFmtId="0" fontId="45" fillId="7" borderId="0" xfId="0" applyFont="1" applyFill="1" applyAlignment="1">
      <alignment wrapText="1"/>
    </xf>
    <xf numFmtId="0" fontId="28" fillId="12" borderId="0" xfId="0" applyFont="1" applyFill="1"/>
    <xf numFmtId="0" fontId="46" fillId="12" borderId="0" xfId="0" applyFont="1" applyFill="1"/>
    <xf numFmtId="0" fontId="16" fillId="0" borderId="0" xfId="0" applyFont="1"/>
    <xf numFmtId="0" fontId="37" fillId="15" borderId="0" xfId="0" applyFont="1" applyFill="1" applyAlignment="1">
      <alignment horizontal="left"/>
    </xf>
    <xf numFmtId="1" fontId="37" fillId="12" borderId="0" xfId="0" applyNumberFormat="1" applyFont="1" applyFill="1" applyAlignment="1">
      <alignment horizontal="center"/>
    </xf>
    <xf numFmtId="0" fontId="47" fillId="8" borderId="0" xfId="0" applyFont="1" applyFill="1"/>
    <xf numFmtId="0" fontId="48" fillId="0" borderId="0" xfId="0" applyFont="1"/>
    <xf numFmtId="0" fontId="49" fillId="0" borderId="0" xfId="0" applyFont="1"/>
    <xf numFmtId="0" fontId="50" fillId="0" borderId="0" xfId="0" applyFont="1"/>
    <xf numFmtId="0" fontId="51" fillId="0" borderId="0" xfId="0" applyFont="1"/>
    <xf numFmtId="0" fontId="21" fillId="24" borderId="0" xfId="0" applyFont="1" applyFill="1" applyAlignment="1">
      <alignment horizontal="centerContinuous"/>
    </xf>
    <xf numFmtId="0" fontId="19" fillId="24" borderId="0" xfId="0" applyFont="1" applyFill="1" applyAlignment="1">
      <alignment horizontal="centerContinuous"/>
    </xf>
    <xf numFmtId="0" fontId="19" fillId="24" borderId="0" xfId="0" applyFont="1" applyFill="1"/>
    <xf numFmtId="0" fontId="0" fillId="24" borderId="0" xfId="0" applyFill="1"/>
    <xf numFmtId="0" fontId="22" fillId="15" borderId="0" xfId="0" applyFont="1" applyFill="1" applyAlignment="1">
      <alignment horizontal="left"/>
    </xf>
    <xf numFmtId="0" fontId="28" fillId="15" borderId="0" xfId="0" applyFont="1" applyFill="1" applyAlignment="1">
      <alignment horizontal="left"/>
    </xf>
    <xf numFmtId="0" fontId="38" fillId="14" borderId="0" xfId="0" applyFont="1" applyFill="1" applyAlignment="1">
      <alignment horizontal="left"/>
    </xf>
    <xf numFmtId="170" fontId="49" fillId="0" borderId="0" xfId="0" applyNumberFormat="1" applyFont="1"/>
    <xf numFmtId="0" fontId="57" fillId="0" borderId="0" xfId="0" applyFont="1" applyAlignment="1">
      <alignment horizontal="left"/>
    </xf>
    <xf numFmtId="170" fontId="57" fillId="0" borderId="0" xfId="0" applyNumberFormat="1" applyFont="1" applyAlignment="1">
      <alignment horizontal="center"/>
    </xf>
    <xf numFmtId="0" fontId="57" fillId="0" borderId="0" xfId="0" applyFont="1" applyAlignment="1">
      <alignment horizontal="center"/>
    </xf>
    <xf numFmtId="1" fontId="57" fillId="0" borderId="0" xfId="0" applyNumberFormat="1" applyFont="1" applyAlignment="1">
      <alignment horizontal="center"/>
    </xf>
    <xf numFmtId="0" fontId="49" fillId="28" borderId="0" xfId="0" applyFont="1" applyFill="1"/>
    <xf numFmtId="0" fontId="49" fillId="7" borderId="20" xfId="0" applyFont="1" applyFill="1" applyBorder="1"/>
    <xf numFmtId="0" fontId="55" fillId="31" borderId="24" xfId="0" applyFont="1" applyFill="1" applyBorder="1"/>
    <xf numFmtId="0" fontId="49" fillId="7" borderId="25" xfId="0" applyFont="1" applyFill="1" applyBorder="1"/>
    <xf numFmtId="0" fontId="59" fillId="7" borderId="22" xfId="0" applyFont="1" applyFill="1" applyBorder="1" applyAlignment="1">
      <alignment horizontal="right" vertical="center"/>
    </xf>
    <xf numFmtId="0" fontId="59" fillId="7" borderId="23" xfId="0" applyFont="1" applyFill="1" applyBorder="1" applyAlignment="1">
      <alignment horizontal="right" vertical="center"/>
    </xf>
    <xf numFmtId="0" fontId="59" fillId="7" borderId="0" xfId="0" applyFont="1" applyFill="1" applyAlignment="1">
      <alignment horizontal="right" vertical="center"/>
    </xf>
    <xf numFmtId="0" fontId="59" fillId="7" borderId="20" xfId="0" applyFont="1" applyFill="1" applyBorder="1" applyAlignment="1">
      <alignment horizontal="right" vertical="center"/>
    </xf>
    <xf numFmtId="0" fontId="61" fillId="7" borderId="20" xfId="0" applyFont="1" applyFill="1" applyBorder="1" applyAlignment="1">
      <alignment horizontal="right" vertical="center"/>
    </xf>
    <xf numFmtId="0" fontId="64" fillId="28" borderId="0" xfId="0" applyFont="1" applyFill="1"/>
    <xf numFmtId="0" fontId="55" fillId="29" borderId="18" xfId="0" applyFont="1" applyFill="1" applyBorder="1" applyAlignment="1">
      <alignment horizontal="center" vertical="center"/>
    </xf>
    <xf numFmtId="0" fontId="65" fillId="8" borderId="0" xfId="0" applyFont="1" applyFill="1"/>
    <xf numFmtId="166" fontId="0" fillId="0" borderId="1" xfId="0" applyNumberFormat="1" applyBorder="1"/>
    <xf numFmtId="0" fontId="57" fillId="0" borderId="0" xfId="0" applyFont="1" applyAlignment="1">
      <alignment horizontal="left" wrapText="1"/>
    </xf>
    <xf numFmtId="0" fontId="9" fillId="8" borderId="0" xfId="0" applyFont="1" applyFill="1" applyAlignment="1">
      <alignment wrapText="1"/>
    </xf>
    <xf numFmtId="0" fontId="52" fillId="32" borderId="0" xfId="0" applyFont="1" applyFill="1"/>
    <xf numFmtId="0" fontId="66" fillId="0" borderId="1" xfId="0" applyFont="1" applyBorder="1"/>
    <xf numFmtId="3" fontId="66" fillId="0" borderId="1" xfId="0" applyNumberFormat="1" applyFont="1" applyBorder="1"/>
    <xf numFmtId="0" fontId="68" fillId="0" borderId="0" xfId="0" applyFont="1"/>
    <xf numFmtId="3" fontId="42" fillId="12" borderId="3" xfId="0" applyNumberFormat="1" applyFont="1" applyFill="1" applyBorder="1" applyAlignment="1">
      <alignment horizontal="center" vertical="center"/>
    </xf>
    <xf numFmtId="3" fontId="27" fillId="12" borderId="0" xfId="0" applyNumberFormat="1" applyFont="1" applyFill="1" applyAlignment="1">
      <alignment horizontal="center" vertical="center"/>
    </xf>
    <xf numFmtId="3" fontId="27" fillId="12" borderId="3" xfId="0" applyNumberFormat="1" applyFont="1" applyFill="1" applyBorder="1" applyAlignment="1">
      <alignment horizontal="center" vertical="center"/>
    </xf>
    <xf numFmtId="0" fontId="28" fillId="12" borderId="4" xfId="0" applyFont="1" applyFill="1" applyBorder="1" applyAlignment="1">
      <alignment horizontal="center" wrapText="1"/>
    </xf>
    <xf numFmtId="0" fontId="22" fillId="12" borderId="9" xfId="0" applyFont="1" applyFill="1" applyBorder="1"/>
    <xf numFmtId="0" fontId="23" fillId="7" borderId="0" xfId="0" applyFont="1" applyFill="1" applyAlignment="1">
      <alignment horizontal="center"/>
    </xf>
    <xf numFmtId="0" fontId="24" fillId="7" borderId="0" xfId="0" applyFont="1" applyFill="1" applyAlignment="1">
      <alignment horizontal="center"/>
    </xf>
    <xf numFmtId="0" fontId="41" fillId="11" borderId="0" xfId="0" applyFont="1" applyFill="1" applyAlignment="1">
      <alignment horizontal="center"/>
    </xf>
    <xf numFmtId="0" fontId="26" fillId="11" borderId="0" xfId="0" applyFont="1" applyFill="1" applyAlignment="1">
      <alignment horizontal="center"/>
    </xf>
    <xf numFmtId="0" fontId="23" fillId="12" borderId="2" xfId="0" applyFont="1" applyFill="1" applyBorder="1" applyAlignment="1">
      <alignment horizontal="center"/>
    </xf>
    <xf numFmtId="0" fontId="22" fillId="12" borderId="5" xfId="0" applyFont="1" applyFill="1" applyBorder="1"/>
    <xf numFmtId="0" fontId="42" fillId="12" borderId="3" xfId="0" applyFont="1" applyFill="1" applyBorder="1" applyAlignment="1">
      <alignment horizontal="center" vertical="center"/>
    </xf>
    <xf numFmtId="0" fontId="27" fillId="12" borderId="6" xfId="0" applyFont="1" applyFill="1" applyBorder="1" applyAlignment="1">
      <alignment horizontal="center" vertical="center"/>
    </xf>
    <xf numFmtId="0" fontId="27" fillId="12" borderId="3" xfId="0" applyFont="1" applyFill="1" applyBorder="1" applyAlignment="1">
      <alignment horizontal="center" vertical="center"/>
    </xf>
    <xf numFmtId="0" fontId="22" fillId="12" borderId="7" xfId="0" applyFont="1" applyFill="1" applyBorder="1"/>
    <xf numFmtId="0" fontId="22" fillId="12" borderId="8" xfId="0" applyFont="1" applyFill="1" applyBorder="1"/>
    <xf numFmtId="164" fontId="42" fillId="12" borderId="3" xfId="0" applyNumberFormat="1" applyFont="1" applyFill="1" applyBorder="1" applyAlignment="1">
      <alignment horizontal="center" vertical="center"/>
    </xf>
    <xf numFmtId="164" fontId="27" fillId="12" borderId="0" xfId="0" applyNumberFormat="1" applyFont="1" applyFill="1" applyAlignment="1">
      <alignment horizontal="center" vertical="center"/>
    </xf>
    <xf numFmtId="164" fontId="27" fillId="12" borderId="3" xfId="0" applyNumberFormat="1" applyFont="1" applyFill="1" applyBorder="1" applyAlignment="1">
      <alignment horizontal="center" vertical="center"/>
    </xf>
    <xf numFmtId="1" fontId="42" fillId="12" borderId="3" xfId="0" applyNumberFormat="1" applyFont="1" applyFill="1" applyBorder="1" applyAlignment="1">
      <alignment horizontal="center" vertical="center"/>
    </xf>
    <xf numFmtId="1" fontId="27" fillId="12" borderId="0" xfId="0" applyNumberFormat="1" applyFont="1" applyFill="1" applyAlignment="1">
      <alignment horizontal="center" vertical="center"/>
    </xf>
    <xf numFmtId="1" fontId="27" fillId="12" borderId="3" xfId="0" applyNumberFormat="1" applyFont="1" applyFill="1" applyBorder="1" applyAlignment="1">
      <alignment horizontal="center" vertical="center"/>
    </xf>
    <xf numFmtId="0" fontId="29" fillId="10" borderId="0" xfId="0" applyFont="1" applyFill="1"/>
    <xf numFmtId="0" fontId="23" fillId="7" borderId="0" xfId="0" applyFont="1" applyFill="1" applyAlignment="1">
      <alignment wrapText="1"/>
    </xf>
    <xf numFmtId="0" fontId="24" fillId="7" borderId="0" xfId="0" applyFont="1" applyFill="1"/>
    <xf numFmtId="0" fontId="40" fillId="7" borderId="0" xfId="0" applyFont="1" applyFill="1"/>
    <xf numFmtId="0" fontId="25" fillId="7" borderId="0" xfId="0" applyFont="1" applyFill="1"/>
    <xf numFmtId="0" fontId="27" fillId="12" borderId="0" xfId="0" applyFont="1" applyFill="1" applyAlignment="1">
      <alignment horizontal="center" vertical="center"/>
    </xf>
    <xf numFmtId="0" fontId="55" fillId="25" borderId="12" xfId="0" applyFont="1" applyFill="1" applyBorder="1"/>
    <xf numFmtId="0" fontId="49" fillId="0" borderId="10" xfId="0" applyFont="1" applyBorder="1"/>
    <xf numFmtId="0" fontId="49" fillId="0" borderId="15" xfId="0" applyFont="1" applyBorder="1"/>
    <xf numFmtId="0" fontId="56" fillId="26" borderId="13" xfId="0" applyFont="1" applyFill="1" applyBorder="1" applyAlignment="1">
      <alignment vertical="top" wrapText="1"/>
    </xf>
    <xf numFmtId="0" fontId="53" fillId="26" borderId="0" xfId="0" applyFont="1" applyFill="1" applyAlignment="1">
      <alignment vertical="top" wrapText="1"/>
    </xf>
    <xf numFmtId="0" fontId="53" fillId="26" borderId="16" xfId="0" applyFont="1" applyFill="1" applyBorder="1" applyAlignment="1">
      <alignment vertical="top" wrapText="1"/>
    </xf>
    <xf numFmtId="0" fontId="53" fillId="26" borderId="14" xfId="0" applyFont="1" applyFill="1" applyBorder="1" applyAlignment="1">
      <alignment vertical="top" wrapText="1"/>
    </xf>
    <xf numFmtId="0" fontId="53" fillId="26" borderId="11" xfId="0" applyFont="1" applyFill="1" applyBorder="1" applyAlignment="1">
      <alignment vertical="top" wrapText="1"/>
    </xf>
    <xf numFmtId="0" fontId="53" fillId="26" borderId="17" xfId="0" applyFont="1" applyFill="1" applyBorder="1" applyAlignment="1">
      <alignment vertical="top" wrapText="1"/>
    </xf>
    <xf numFmtId="0" fontId="63" fillId="7" borderId="23" xfId="0" applyFont="1" applyFill="1" applyBorder="1" applyAlignment="1">
      <alignment horizontal="center" vertical="center"/>
    </xf>
    <xf numFmtId="0" fontId="63" fillId="7" borderId="20" xfId="0" applyFont="1" applyFill="1" applyBorder="1" applyAlignment="1">
      <alignment horizontal="center" vertical="center"/>
    </xf>
    <xf numFmtId="164" fontId="63" fillId="7" borderId="23" xfId="0" applyNumberFormat="1" applyFont="1" applyFill="1" applyBorder="1" applyAlignment="1">
      <alignment horizontal="center" vertical="center"/>
    </xf>
    <xf numFmtId="0" fontId="63" fillId="7" borderId="25" xfId="0" applyFont="1" applyFill="1" applyBorder="1" applyAlignment="1">
      <alignment horizontal="center" vertical="center"/>
    </xf>
    <xf numFmtId="0" fontId="62" fillId="7" borderId="28" xfId="0" applyFont="1" applyFill="1" applyBorder="1" applyAlignment="1">
      <alignment horizontal="center" vertical="center"/>
    </xf>
    <xf numFmtId="0" fontId="62" fillId="7" borderId="29" xfId="0" applyFont="1" applyFill="1" applyBorder="1" applyAlignment="1">
      <alignment horizontal="center" vertical="center"/>
    </xf>
    <xf numFmtId="0" fontId="62" fillId="7" borderId="30" xfId="0" applyFont="1" applyFill="1" applyBorder="1" applyAlignment="1">
      <alignment horizontal="center" vertical="center"/>
    </xf>
    <xf numFmtId="0" fontId="62" fillId="7" borderId="31" xfId="0" applyFont="1" applyFill="1" applyBorder="1" applyAlignment="1">
      <alignment horizontal="center" vertical="center"/>
    </xf>
    <xf numFmtId="0" fontId="62" fillId="7" borderId="32" xfId="0" applyFont="1" applyFill="1" applyBorder="1" applyAlignment="1">
      <alignment horizontal="center" vertical="center"/>
    </xf>
    <xf numFmtId="0" fontId="62" fillId="7" borderId="33" xfId="0" applyFont="1" applyFill="1" applyBorder="1" applyAlignment="1">
      <alignment horizontal="center" vertical="center"/>
    </xf>
    <xf numFmtId="0" fontId="62" fillId="7" borderId="34" xfId="0" applyFont="1" applyFill="1" applyBorder="1" applyAlignment="1">
      <alignment horizontal="center" vertical="center"/>
    </xf>
    <xf numFmtId="0" fontId="62" fillId="7" borderId="35" xfId="0" applyFont="1" applyFill="1" applyBorder="1" applyAlignment="1">
      <alignment horizontal="center" vertical="center"/>
    </xf>
    <xf numFmtId="0" fontId="62" fillId="7" borderId="36" xfId="0" applyFont="1" applyFill="1" applyBorder="1" applyAlignment="1">
      <alignment horizontal="center" vertical="center"/>
    </xf>
    <xf numFmtId="0" fontId="62" fillId="7" borderId="37" xfId="0" applyFont="1" applyFill="1" applyBorder="1" applyAlignment="1">
      <alignment horizontal="center" vertical="center"/>
    </xf>
    <xf numFmtId="0" fontId="60" fillId="27" borderId="26" xfId="0" applyFont="1" applyFill="1" applyBorder="1" applyAlignment="1">
      <alignment horizontal="left" vertical="center"/>
    </xf>
    <xf numFmtId="0" fontId="60" fillId="27" borderId="27" xfId="0" applyFont="1" applyFill="1" applyBorder="1" applyAlignment="1">
      <alignment horizontal="left" vertical="center"/>
    </xf>
    <xf numFmtId="170" fontId="60" fillId="27" borderId="26" xfId="0" applyNumberFormat="1" applyFont="1" applyFill="1" applyBorder="1" applyAlignment="1">
      <alignment horizontal="left" vertical="center"/>
    </xf>
    <xf numFmtId="170" fontId="60" fillId="27" borderId="27" xfId="0" applyNumberFormat="1" applyFont="1" applyFill="1" applyBorder="1" applyAlignment="1">
      <alignment horizontal="left" vertical="center"/>
    </xf>
    <xf numFmtId="0" fontId="54" fillId="29" borderId="18" xfId="0" applyFont="1" applyFill="1" applyBorder="1" applyAlignment="1">
      <alignment vertical="center"/>
    </xf>
    <xf numFmtId="0" fontId="54" fillId="29" borderId="18" xfId="0" applyFont="1" applyFill="1" applyBorder="1"/>
    <xf numFmtId="0" fontId="58" fillId="30" borderId="0" xfId="0" applyFont="1" applyFill="1" applyAlignment="1">
      <alignment vertical="center"/>
    </xf>
    <xf numFmtId="0" fontId="58" fillId="30" borderId="0" xfId="0" applyFont="1" applyFill="1"/>
    <xf numFmtId="0" fontId="55" fillId="31" borderId="21" xfId="0" applyFont="1" applyFill="1" applyBorder="1" applyAlignment="1">
      <alignment horizontal="left"/>
    </xf>
    <xf numFmtId="0" fontId="55" fillId="31" borderId="19" xfId="0" applyFont="1" applyFill="1" applyBorder="1"/>
    <xf numFmtId="0" fontId="0" fillId="0" borderId="0" xfId="0" applyAlignment="1">
      <alignment wrapText="1"/>
    </xf>
    <xf numFmtId="0" fontId="0" fillId="0" borderId="0" xfId="0"/>
    <xf numFmtId="166" fontId="67" fillId="3" borderId="0" xfId="0" applyNumberFormat="1" applyFont="1" applyFill="1" applyAlignment="1">
      <alignment vertical="center" wrapText="1"/>
    </xf>
    <xf numFmtId="166" fontId="7" fillId="3" borderId="0" xfId="0" applyNumberFormat="1" applyFont="1" applyFill="1" applyAlignment="1">
      <alignment vertical="center" wrapText="1"/>
    </xf>
    <xf numFmtId="0" fontId="2" fillId="5" borderId="38" xfId="0" applyFont="1" applyFill="1" applyBorder="1" applyAlignment="1">
      <alignment vertical="center" wrapText="1"/>
    </xf>
    <xf numFmtId="0" fontId="2" fillId="5" borderId="0" xfId="0" applyFont="1" applyFill="1" applyAlignment="1">
      <alignment vertical="center" wrapText="1"/>
    </xf>
    <xf numFmtId="0" fontId="0" fillId="0" borderId="0" xfId="0" applyAlignment="1">
      <alignment vertical="center" wrapText="1"/>
    </xf>
    <xf numFmtId="0" fontId="4" fillId="3" borderId="0" xfId="0" applyFont="1" applyFill="1" applyAlignment="1">
      <alignment vertical="center" wrapText="1"/>
    </xf>
    <xf numFmtId="3" fontId="67" fillId="3" borderId="0" xfId="0" applyNumberFormat="1" applyFont="1" applyFill="1" applyAlignment="1">
      <alignment vertical="center" wrapText="1"/>
    </xf>
    <xf numFmtId="3" fontId="7" fillId="3" borderId="0" xfId="0" applyNumberFormat="1" applyFont="1" applyFill="1" applyAlignment="1">
      <alignment vertical="center" wrapText="1"/>
    </xf>
    <xf numFmtId="0" fontId="7" fillId="3" borderId="0" xfId="0" applyFont="1" applyFill="1" applyAlignment="1">
      <alignment vertical="center" wrapText="1"/>
    </xf>
    <xf numFmtId="0" fontId="5" fillId="3" borderId="0" xfId="0" applyFont="1" applyFill="1" applyAlignment="1">
      <alignment vertical="center" wrapText="1"/>
    </xf>
    <xf numFmtId="0" fontId="3" fillId="6" borderId="0" xfId="0" applyFont="1" applyFill="1" applyAlignment="1">
      <alignment vertical="center" wrapText="1"/>
    </xf>
    <xf numFmtId="0" fontId="6" fillId="0" borderId="0" xfId="0" applyFont="1" applyAlignment="1">
      <alignment vertical="center" wrapText="1"/>
    </xf>
    <xf numFmtId="0" fontId="2" fillId="4" borderId="0" xfId="0" applyFont="1" applyFill="1" applyAlignment="1">
      <alignment vertical="center" wrapText="1"/>
    </xf>
    <xf numFmtId="0" fontId="69" fillId="0" borderId="0" xfId="0" applyFont="1"/>
    <xf numFmtId="171" fontId="0" fillId="0" borderId="0" xfId="0" applyNumberFormat="1"/>
    <xf numFmtId="3" fontId="69" fillId="0" borderId="0" xfId="0" applyNumberFormat="1" applyFont="1"/>
    <xf numFmtId="0" fontId="70" fillId="0" borderId="0" xfId="0" applyFont="1"/>
    <xf numFmtId="0" fontId="71" fillId="0" borderId="0" xfId="0" applyFont="1"/>
    <xf numFmtId="0" fontId="72" fillId="0" borderId="0" xfId="0" applyFont="1"/>
    <xf numFmtId="170" fontId="0" fillId="0" borderId="0" xfId="0" applyNumberFormat="1"/>
    <xf numFmtId="0" fontId="0" fillId="0" borderId="0" xfId="0" applyNumberFormat="1"/>
    <xf numFmtId="165" fontId="0" fillId="0" borderId="1" xfId="0" applyNumberFormat="1" applyFill="1" applyBorder="1"/>
    <xf numFmtId="0" fontId="2" fillId="6" borderId="39" xfId="0" applyFont="1" applyFill="1" applyBorder="1" applyAlignment="1">
      <alignment horizontal="center"/>
    </xf>
    <xf numFmtId="3" fontId="0" fillId="0" borderId="39" xfId="0" applyNumberFormat="1" applyBorder="1"/>
    <xf numFmtId="0" fontId="2" fillId="6" borderId="40" xfId="0" applyFont="1" applyFill="1" applyBorder="1" applyAlignment="1">
      <alignment horizontal="center"/>
    </xf>
    <xf numFmtId="0" fontId="0" fillId="0" borderId="40" xfId="0" applyBorder="1"/>
    <xf numFmtId="165" fontId="74" fillId="0" borderId="1" xfId="0" applyNumberFormat="1" applyFont="1" applyBorder="1"/>
    <xf numFmtId="0" fontId="73" fillId="6" borderId="42" xfId="0" applyFont="1" applyFill="1" applyBorder="1" applyAlignment="1">
      <alignment horizontal="center"/>
    </xf>
    <xf numFmtId="0" fontId="73" fillId="5" borderId="38" xfId="0" applyFont="1" applyFill="1" applyBorder="1" applyAlignment="1">
      <alignment vertical="center" wrapText="1"/>
    </xf>
    <xf numFmtId="165" fontId="74" fillId="0" borderId="41" xfId="0" applyNumberFormat="1" applyFont="1" applyBorder="1"/>
    <xf numFmtId="0" fontId="0" fillId="0" borderId="43" xfId="0" applyBorder="1"/>
    <xf numFmtId="0" fontId="66" fillId="0" borderId="1" xfId="0" applyFont="1" applyBorder="1" applyAlignment="1">
      <alignment horizontal="left"/>
    </xf>
    <xf numFmtId="0" fontId="0" fillId="0" borderId="0" xfId="0" applyNumberFormat="1" applyAlignment="1">
      <alignment wrapText="1"/>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color rgb="FFFFFFFF"/>
      </font>
      <fill>
        <patternFill patternType="solid">
          <fgColor indexed="64"/>
          <bgColor rgb="FF059669"/>
        </patternFill>
      </fill>
    </dxf>
    <dxf>
      <font>
        <color rgb="FFFFFFFF"/>
      </font>
      <fill>
        <patternFill patternType="solid">
          <fgColor indexed="64"/>
          <bgColor rgb="FFD97706"/>
        </patternFill>
      </fill>
    </dxf>
    <dxf>
      <font>
        <color rgb="FFFFFFFF"/>
      </font>
      <fill>
        <patternFill patternType="solid">
          <fgColor indexed="64"/>
          <bgColor rgb="FFDC2626"/>
        </patternFill>
      </fill>
    </dxf>
    <dxf>
      <font>
        <color rgb="FFB91C1C"/>
      </font>
      <fill>
        <patternFill patternType="solid">
          <fgColor indexed="64"/>
          <bgColor rgb="FFFEE2E2"/>
        </patternFill>
      </fill>
    </dxf>
    <dxf>
      <font>
        <color rgb="FF047857"/>
      </font>
      <fill>
        <patternFill patternType="solid">
          <fgColor indexed="64"/>
          <bgColor rgb="FFD1FAE5"/>
        </patternFill>
      </fill>
    </dxf>
    <dxf>
      <fill>
        <patternFill patternType="solid">
          <fgColor indexed="64"/>
          <bgColor rgb="FFEAF1FB"/>
        </patternFill>
      </fill>
    </dxf>
    <dxf>
      <font>
        <b/>
        <color rgb="FFFFFFFF"/>
      </font>
      <fill>
        <patternFill patternType="solid">
          <fgColor indexed="64"/>
          <bgColor rgb="FF1F4E78"/>
        </patternFill>
      </fill>
    </dxf>
  </dxfs>
  <tableStyles count="0" defaultTableStyle="TableStyleMedium2" defaultPivotStyle="PivotStyleLight16"/>
  <colors>
    <mruColors>
      <color rgb="FFFFFFFF"/>
      <color rgb="FFE56353"/>
      <color rgb="FF0FFF50"/>
      <color rgb="FFFCD462"/>
      <color rgb="FFCECFC9"/>
      <color rgb="FFC9C7C3"/>
      <color rgb="FF27A2DB"/>
      <color rgb="FF64798A"/>
      <color rgb="FF54595C"/>
      <color rgb="FF6961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7.xml"/><Relationship Id="rId3" Type="http://schemas.openxmlformats.org/officeDocument/2006/relationships/worksheet" Target="worksheets/sheet3.xml"/><Relationship Id="rId21" Type="http://schemas.microsoft.com/office/2007/relationships/slicerCache" Target="slicerCaches/slicerCache2.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6.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microsoft.com/office/2007/relationships/slicerCache" Target="slicerCaches/slicerCache9.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microsoft.com/office/2007/relationships/slicerCache" Target="slicerCaches/slicerCache8.xml"/><Relationship Id="rId30" Type="http://schemas.openxmlformats.org/officeDocument/2006/relationships/connections" Target="connection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F172A"/>
                </a:solidFill>
                <a:latin typeface="Segoe UI"/>
                <a:ea typeface="Segoe UI"/>
                <a:cs typeface="Segoe UI"/>
              </a:defRPr>
            </a:pPr>
            <a:r>
              <a:rPr lang="en-US"/>
              <a:t>Monthly Trend · 2025 vs 2026</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F172A"/>
              </a:solidFill>
              <a:latin typeface="Segoe UI"/>
              <a:ea typeface="Segoe UI"/>
              <a:cs typeface="Segoe UI"/>
            </a:defRPr>
          </a:pPr>
          <a:endParaRPr lang="en-US"/>
        </a:p>
      </c:txPr>
    </c:title>
    <c:autoTitleDeleted val="0"/>
    <c:plotArea>
      <c:layout/>
      <c:lineChart>
        <c:grouping val="standard"/>
        <c:varyColors val="0"/>
        <c:ser>
          <c:idx val="0"/>
          <c:order val="0"/>
          <c:tx>
            <c:strRef>
              <c:f>Data!$B$36</c:f>
              <c:strCache>
                <c:ptCount val="1"/>
                <c:pt idx="0">
                  <c:v>2025</c:v>
                </c:pt>
              </c:strCache>
            </c:strRef>
          </c:tx>
          <c:spPr>
            <a:ln w="28575" cap="rnd">
              <a:solidFill>
                <a:srgbClr val="94A3B8"/>
              </a:solidFill>
              <a:prstDash val="solid"/>
              <a:round/>
            </a:ln>
            <a:effectLst/>
          </c:spPr>
          <c:marker>
            <c:symbol val="circle"/>
            <c:size val="5"/>
            <c:spPr>
              <a:solidFill>
                <a:schemeClr val="accent1"/>
              </a:solidFill>
              <a:ln w="9525">
                <a:solidFill>
                  <a:schemeClr val="accent1"/>
                </a:solidFill>
              </a:ln>
              <a:effectLst/>
            </c:spPr>
          </c:marker>
          <c:dLbls>
            <c:dLbl>
              <c:idx val="4"/>
              <c:layout>
                <c:manualLayout>
                  <c:x val="-2.174603403727067E-2"/>
                  <c:y val="-6.6606225951704789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1.8814010495953996E-2"/>
                      <c:h val="6.3879114687894423E-2"/>
                    </c:manualLayout>
                  </c15:layout>
                </c:ext>
                <c:ext xmlns:c16="http://schemas.microsoft.com/office/drawing/2014/chart" uri="{C3380CC4-5D6E-409C-BE32-E72D297353CC}">
                  <c16:uniqueId val="{00000003-91C8-4DAB-B2F6-5369DF9420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Data!$A$37:$A$43</c:f>
              <c:strCache>
                <c:ptCount val="7"/>
                <c:pt idx="0">
                  <c:v>Jan</c:v>
                </c:pt>
                <c:pt idx="1">
                  <c:v>Feb</c:v>
                </c:pt>
                <c:pt idx="2">
                  <c:v>Mar</c:v>
                </c:pt>
                <c:pt idx="3">
                  <c:v>Apr</c:v>
                </c:pt>
                <c:pt idx="4">
                  <c:v>May</c:v>
                </c:pt>
                <c:pt idx="5">
                  <c:v>Jun</c:v>
                </c:pt>
                <c:pt idx="6">
                  <c:v>Jul</c:v>
                </c:pt>
              </c:strCache>
            </c:strRef>
          </c:cat>
          <c:val>
            <c:numRef>
              <c:f>Data!$B$37:$B$43</c:f>
              <c:numCache>
                <c:formatCode>General</c:formatCode>
                <c:ptCount val="7"/>
                <c:pt idx="0">
                  <c:v>23</c:v>
                </c:pt>
                <c:pt idx="1">
                  <c:v>19</c:v>
                </c:pt>
                <c:pt idx="2">
                  <c:v>24</c:v>
                </c:pt>
                <c:pt idx="3">
                  <c:v>17</c:v>
                </c:pt>
                <c:pt idx="4">
                  <c:v>22</c:v>
                </c:pt>
                <c:pt idx="5">
                  <c:v>21</c:v>
                </c:pt>
                <c:pt idx="6">
                  <c:v>15</c:v>
                </c:pt>
              </c:numCache>
            </c:numRef>
          </c:val>
          <c:smooth val="0"/>
          <c:extLst>
            <c:ext xmlns:c16="http://schemas.microsoft.com/office/drawing/2014/chart" uri="{C3380CC4-5D6E-409C-BE32-E72D297353CC}">
              <c16:uniqueId val="{00000000-91C8-4DAB-B2F6-5369DF9420D8}"/>
            </c:ext>
          </c:extLst>
        </c:ser>
        <c:ser>
          <c:idx val="1"/>
          <c:order val="1"/>
          <c:tx>
            <c:strRef>
              <c:f>Data!$C$36</c:f>
              <c:strCache>
                <c:ptCount val="1"/>
                <c:pt idx="0">
                  <c:v>2026</c:v>
                </c:pt>
              </c:strCache>
            </c:strRef>
          </c:tx>
          <c:spPr>
            <a:ln w="28575" cap="rnd">
              <a:solidFill>
                <a:srgbClr val="2563EB"/>
              </a:solidFill>
              <a:prstDash val="solid"/>
              <a:round/>
            </a:ln>
            <a:effectLst/>
          </c:spPr>
          <c:marker>
            <c:symbol val="circle"/>
            <c:size val="5"/>
            <c:spPr>
              <a:solidFill>
                <a:schemeClr val="accent2"/>
              </a:solidFill>
              <a:ln w="9525">
                <a:solidFill>
                  <a:schemeClr val="accent2"/>
                </a:solidFill>
              </a:ln>
              <a:effectLst/>
            </c:spPr>
          </c:marker>
          <c:dLbls>
            <c:dLbl>
              <c:idx val="4"/>
              <c:layout>
                <c:manualLayout>
                  <c:x val="5.8164862501077982E-4"/>
                  <c:y val="-4.34951135465331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1C8-4DAB-B2F6-5369DF9420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Data!$A$37:$A$43</c:f>
              <c:strCache>
                <c:ptCount val="7"/>
                <c:pt idx="0">
                  <c:v>Jan</c:v>
                </c:pt>
                <c:pt idx="1">
                  <c:v>Feb</c:v>
                </c:pt>
                <c:pt idx="2">
                  <c:v>Mar</c:v>
                </c:pt>
                <c:pt idx="3">
                  <c:v>Apr</c:v>
                </c:pt>
                <c:pt idx="4">
                  <c:v>May</c:v>
                </c:pt>
                <c:pt idx="5">
                  <c:v>Jun</c:v>
                </c:pt>
                <c:pt idx="6">
                  <c:v>Jul</c:v>
                </c:pt>
              </c:strCache>
            </c:strRef>
          </c:cat>
          <c:val>
            <c:numRef>
              <c:f>Data!$C$37:$C$43</c:f>
              <c:numCache>
                <c:formatCode>General</c:formatCode>
                <c:ptCount val="7"/>
                <c:pt idx="0">
                  <c:v>28</c:v>
                </c:pt>
                <c:pt idx="1">
                  <c:v>44</c:v>
                </c:pt>
                <c:pt idx="2">
                  <c:v>31</c:v>
                </c:pt>
                <c:pt idx="3">
                  <c:v>48</c:v>
                </c:pt>
                <c:pt idx="4">
                  <c:v>25</c:v>
                </c:pt>
                <c:pt idx="5">
                  <c:v>56</c:v>
                </c:pt>
                <c:pt idx="6">
                  <c:v>43</c:v>
                </c:pt>
              </c:numCache>
            </c:numRef>
          </c:val>
          <c:smooth val="0"/>
          <c:extLst>
            <c:ext xmlns:c16="http://schemas.microsoft.com/office/drawing/2014/chart" uri="{C3380CC4-5D6E-409C-BE32-E72D297353CC}">
              <c16:uniqueId val="{00000001-91C8-4DAB-B2F6-5369DF9420D8}"/>
            </c:ext>
          </c:extLst>
        </c:ser>
        <c:dLbls>
          <c:showLegendKey val="0"/>
          <c:showVal val="0"/>
          <c:showCatName val="0"/>
          <c:showSerName val="0"/>
          <c:showPercent val="0"/>
          <c:showBubbleSize val="0"/>
        </c:dLbls>
        <c:marker val="1"/>
        <c:smooth val="0"/>
        <c:axId val="384665551"/>
        <c:axId val="384666511"/>
      </c:lineChart>
      <c:catAx>
        <c:axId val="38466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384666511"/>
        <c:crosses val="autoZero"/>
        <c:auto val="1"/>
        <c:lblAlgn val="ctr"/>
        <c:lblOffset val="100"/>
        <c:noMultiLvlLbl val="0"/>
      </c:catAx>
      <c:valAx>
        <c:axId val="3846665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384665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F172A"/>
                </a:solidFill>
                <a:latin typeface="Segoe UI"/>
                <a:ea typeface="Segoe UI"/>
                <a:cs typeface="Segoe UI"/>
              </a:defRPr>
            </a:pPr>
            <a:r>
              <a:rPr lang="en-US"/>
              <a:t>ESI Mix · 2026 YTD (273 incidents)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F172A"/>
              </a:solidFill>
              <a:latin typeface="Segoe UI"/>
              <a:ea typeface="Segoe UI"/>
              <a:cs typeface="Segoe UI"/>
            </a:defRPr>
          </a:pPr>
          <a:endParaRPr lang="en-US"/>
        </a:p>
      </c:txPr>
    </c:title>
    <c:autoTitleDeleted val="0"/>
    <c:plotArea>
      <c:layout/>
      <c:doughnutChart>
        <c:varyColors val="1"/>
        <c:ser>
          <c:idx val="0"/>
          <c:order val="0"/>
          <c:tx>
            <c:strRef>
              <c:f>Data!$H$52</c:f>
              <c:strCache>
                <c:ptCount val="1"/>
                <c:pt idx="0">
                  <c:v>Count</c:v>
                </c:pt>
              </c:strCache>
            </c:strRef>
          </c:tx>
          <c:dPt>
            <c:idx val="0"/>
            <c:bubble3D val="0"/>
            <c:spPr>
              <a:solidFill>
                <a:srgbClr val="22C55E"/>
              </a:solidFill>
              <a:ln w="19050">
                <a:solidFill>
                  <a:schemeClr val="lt1"/>
                </a:solidFill>
              </a:ln>
              <a:effectLst/>
            </c:spPr>
            <c:extLst>
              <c:ext xmlns:c16="http://schemas.microsoft.com/office/drawing/2014/chart" uri="{C3380CC4-5D6E-409C-BE32-E72D297353CC}">
                <c16:uniqueId val="{00000001-E206-41F5-98E5-5F2EB7524F39}"/>
              </c:ext>
            </c:extLst>
          </c:dPt>
          <c:dPt>
            <c:idx val="1"/>
            <c:bubble3D val="0"/>
            <c:spPr>
              <a:solidFill>
                <a:srgbClr val="F59E0B"/>
              </a:solidFill>
              <a:ln w="19050">
                <a:solidFill>
                  <a:schemeClr val="lt1"/>
                </a:solidFill>
              </a:ln>
              <a:effectLst/>
            </c:spPr>
            <c:extLst>
              <c:ext xmlns:c16="http://schemas.microsoft.com/office/drawing/2014/chart" uri="{C3380CC4-5D6E-409C-BE32-E72D297353CC}">
                <c16:uniqueId val="{00000002-E206-41F5-98E5-5F2EB7524F39}"/>
              </c:ext>
            </c:extLst>
          </c:dPt>
          <c:dPt>
            <c:idx val="2"/>
            <c:bubble3D val="0"/>
            <c:spPr>
              <a:solidFill>
                <a:srgbClr val="EF4444"/>
              </a:solidFill>
              <a:ln w="19050">
                <a:solidFill>
                  <a:schemeClr val="lt1"/>
                </a:solidFill>
              </a:ln>
              <a:effectLst/>
            </c:spPr>
            <c:extLst>
              <c:ext xmlns:c16="http://schemas.microsoft.com/office/drawing/2014/chart" uri="{C3380CC4-5D6E-409C-BE32-E72D297353CC}">
                <c16:uniqueId val="{00000003-E206-41F5-98E5-5F2EB7524F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Data!$G$53:$G$55</c:f>
              <c:strCache>
                <c:ptCount val="3"/>
                <c:pt idx="0">
                  <c:v>FA</c:v>
                </c:pt>
                <c:pt idx="1">
                  <c:v>RPO</c:v>
                </c:pt>
                <c:pt idx="2">
                  <c:v>RECORDABLE</c:v>
                </c:pt>
              </c:strCache>
            </c:strRef>
          </c:cat>
          <c:val>
            <c:numRef>
              <c:f>Data!$H$53:$H$55</c:f>
              <c:numCache>
                <c:formatCode>General</c:formatCode>
                <c:ptCount val="3"/>
                <c:pt idx="0">
                  <c:v>228</c:v>
                </c:pt>
                <c:pt idx="1">
                  <c:v>40</c:v>
                </c:pt>
                <c:pt idx="2">
                  <c:v>7</c:v>
                </c:pt>
              </c:numCache>
            </c:numRef>
          </c:val>
          <c:extLst>
            <c:ext xmlns:c16="http://schemas.microsoft.com/office/drawing/2014/chart" uri="{C3380CC4-5D6E-409C-BE32-E72D297353CC}">
              <c16:uniqueId val="{00000000-E206-41F5-98E5-5F2EB7524F39}"/>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F172A"/>
                </a:solidFill>
                <a:latin typeface="Segoe UI"/>
                <a:ea typeface="Segoe UI"/>
                <a:cs typeface="Segoe UI"/>
              </a:defRPr>
            </a:pPr>
            <a:r>
              <a:rPr lang="en-US"/>
              <a:t>Departments · 2026 · Leader: Fabrication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F172A"/>
              </a:solidFill>
              <a:latin typeface="Segoe UI"/>
              <a:ea typeface="Segoe UI"/>
              <a:cs typeface="Segoe UI"/>
            </a:defRPr>
          </a:pPr>
          <a:endParaRPr lang="en-US"/>
        </a:p>
      </c:txPr>
    </c:title>
    <c:autoTitleDeleted val="0"/>
    <c:plotArea>
      <c:layout/>
      <c:barChart>
        <c:barDir val="bar"/>
        <c:grouping val="clustered"/>
        <c:varyColors val="0"/>
        <c:ser>
          <c:idx val="0"/>
          <c:order val="0"/>
          <c:tx>
            <c:strRef>
              <c:f>Data!$E$52</c:f>
              <c:strCache>
                <c:ptCount val="1"/>
                <c:pt idx="0">
                  <c:v>Incidents</c:v>
                </c:pt>
              </c:strCache>
            </c:strRef>
          </c:tx>
          <c:spPr>
            <a:solidFill>
              <a:srgbClr val="2563E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F2937"/>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Data!$D$53:$D$60</c:f>
              <c:strCache>
                <c:ptCount val="8"/>
                <c:pt idx="0">
                  <c:v>Fabrication</c:v>
                </c:pt>
                <c:pt idx="1">
                  <c:v>Harvest</c:v>
                </c:pt>
                <c:pt idx="2">
                  <c:v>Maintenance</c:v>
                </c:pt>
                <c:pt idx="3">
                  <c:v>Corrals</c:v>
                </c:pt>
                <c:pt idx="4">
                  <c:v>Warehouse</c:v>
                </c:pt>
                <c:pt idx="5">
                  <c:v>Buildings &amp; Grounds</c:v>
                </c:pt>
                <c:pt idx="6">
                  <c:v>Outside Clean Up</c:v>
                </c:pt>
                <c:pt idx="7">
                  <c:v>Loading Dock</c:v>
                </c:pt>
              </c:strCache>
            </c:strRef>
          </c:cat>
          <c:val>
            <c:numRef>
              <c:f>Data!$E$53:$E$60</c:f>
              <c:numCache>
                <c:formatCode>General</c:formatCode>
                <c:ptCount val="8"/>
                <c:pt idx="0">
                  <c:v>132</c:v>
                </c:pt>
                <c:pt idx="1">
                  <c:v>106</c:v>
                </c:pt>
                <c:pt idx="2">
                  <c:v>10</c:v>
                </c:pt>
                <c:pt idx="3">
                  <c:v>8</c:v>
                </c:pt>
                <c:pt idx="4">
                  <c:v>6</c:v>
                </c:pt>
                <c:pt idx="5">
                  <c:v>4</c:v>
                </c:pt>
                <c:pt idx="6">
                  <c:v>3</c:v>
                </c:pt>
                <c:pt idx="7">
                  <c:v>3</c:v>
                </c:pt>
              </c:numCache>
            </c:numRef>
          </c:val>
          <c:extLst>
            <c:ext xmlns:c16="http://schemas.microsoft.com/office/drawing/2014/chart" uri="{C3380CC4-5D6E-409C-BE32-E72D297353CC}">
              <c16:uniqueId val="{00000000-77D2-4A1C-98B9-D7A8AAF09681}"/>
            </c:ext>
          </c:extLst>
        </c:ser>
        <c:dLbls>
          <c:showLegendKey val="0"/>
          <c:showVal val="0"/>
          <c:showCatName val="0"/>
          <c:showSerName val="0"/>
          <c:showPercent val="0"/>
          <c:showBubbleSize val="0"/>
        </c:dLbls>
        <c:gapWidth val="182"/>
        <c:axId val="1723817087"/>
        <c:axId val="1723819967"/>
      </c:barChart>
      <c:catAx>
        <c:axId val="1723817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1723819967"/>
        <c:crosses val="autoZero"/>
        <c:auto val="1"/>
        <c:lblAlgn val="ctr"/>
        <c:lblOffset val="100"/>
        <c:noMultiLvlLbl val="0"/>
      </c:catAx>
      <c:valAx>
        <c:axId val="1723819967"/>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172381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F172A"/>
                </a:solidFill>
                <a:latin typeface="Segoe UI"/>
                <a:ea typeface="Segoe UI"/>
                <a:cs typeface="Segoe UI"/>
              </a:defRPr>
            </a:pPr>
            <a:r>
              <a:rPr lang="en-US"/>
              <a:t>Injury Types · Leader: Strain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F172A"/>
              </a:solidFill>
              <a:latin typeface="Segoe UI"/>
              <a:ea typeface="Segoe UI"/>
              <a:cs typeface="Segoe UI"/>
            </a:defRPr>
          </a:pPr>
          <a:endParaRPr lang="en-US"/>
        </a:p>
      </c:txPr>
    </c:title>
    <c:autoTitleDeleted val="0"/>
    <c:plotArea>
      <c:layout/>
      <c:barChart>
        <c:barDir val="bar"/>
        <c:grouping val="clustered"/>
        <c:varyColors val="0"/>
        <c:ser>
          <c:idx val="0"/>
          <c:order val="0"/>
          <c:tx>
            <c:strRef>
              <c:f>Data!$B$52</c:f>
              <c:strCache>
                <c:ptCount val="1"/>
                <c:pt idx="0">
                  <c:v>Count</c:v>
                </c:pt>
              </c:strCache>
            </c:strRef>
          </c:tx>
          <c:spPr>
            <a:solidFill>
              <a:srgbClr val="7C3AE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F2937"/>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Data!$A$53:$A$60</c:f>
              <c:strCache>
                <c:ptCount val="8"/>
                <c:pt idx="0">
                  <c:v>Strain</c:v>
                </c:pt>
                <c:pt idx="1">
                  <c:v>Slip, Trip, &amp; Fall</c:v>
                </c:pt>
                <c:pt idx="2">
                  <c:v>Puncture</c:v>
                </c:pt>
                <c:pt idx="3">
                  <c:v>Rash</c:v>
                </c:pt>
                <c:pt idx="4">
                  <c:v>Burn</c:v>
                </c:pt>
                <c:pt idx="5">
                  <c:v>Abrasion</c:v>
                </c:pt>
                <c:pt idx="6">
                  <c:v>Laceration</c:v>
                </c:pt>
                <c:pt idx="7">
                  <c:v>Struck By Cattle</c:v>
                </c:pt>
              </c:strCache>
            </c:strRef>
          </c:cat>
          <c:val>
            <c:numRef>
              <c:f>Data!$B$53:$B$60</c:f>
              <c:numCache>
                <c:formatCode>General</c:formatCode>
                <c:ptCount val="8"/>
                <c:pt idx="0">
                  <c:v>97</c:v>
                </c:pt>
                <c:pt idx="1">
                  <c:v>26</c:v>
                </c:pt>
                <c:pt idx="2">
                  <c:v>25</c:v>
                </c:pt>
                <c:pt idx="3">
                  <c:v>14</c:v>
                </c:pt>
                <c:pt idx="4">
                  <c:v>12</c:v>
                </c:pt>
                <c:pt idx="5">
                  <c:v>9</c:v>
                </c:pt>
                <c:pt idx="6">
                  <c:v>8</c:v>
                </c:pt>
                <c:pt idx="7">
                  <c:v>7</c:v>
                </c:pt>
              </c:numCache>
            </c:numRef>
          </c:val>
          <c:extLst>
            <c:ext xmlns:c16="http://schemas.microsoft.com/office/drawing/2014/chart" uri="{C3380CC4-5D6E-409C-BE32-E72D297353CC}">
              <c16:uniqueId val="{00000000-5FF2-423E-A478-5ECF49C47A76}"/>
            </c:ext>
          </c:extLst>
        </c:ser>
        <c:dLbls>
          <c:showLegendKey val="0"/>
          <c:showVal val="0"/>
          <c:showCatName val="0"/>
          <c:showSerName val="0"/>
          <c:showPercent val="0"/>
          <c:showBubbleSize val="0"/>
        </c:dLbls>
        <c:gapWidth val="182"/>
        <c:axId val="353980271"/>
        <c:axId val="353977391"/>
      </c:barChart>
      <c:catAx>
        <c:axId val="35398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353977391"/>
        <c:crosses val="autoZero"/>
        <c:auto val="1"/>
        <c:lblAlgn val="ctr"/>
        <c:lblOffset val="100"/>
        <c:noMultiLvlLbl val="0"/>
      </c:catAx>
      <c:valAx>
        <c:axId val="353977391"/>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35398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F172A"/>
                </a:solidFill>
                <a:latin typeface="Segoe UI"/>
                <a:ea typeface="Segoe UI"/>
                <a:cs typeface="Segoe UI"/>
              </a:defRPr>
            </a:pPr>
            <a:r>
              <a:rPr lang="en-US"/>
              <a:t>Top Areas Contributing to Incidents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F172A"/>
              </a:solidFill>
              <a:latin typeface="Segoe UI"/>
              <a:ea typeface="Segoe UI"/>
              <a:cs typeface="Segoe UI"/>
            </a:defRPr>
          </a:pPr>
          <a:endParaRPr lang="en-US"/>
        </a:p>
      </c:txPr>
    </c:title>
    <c:autoTitleDeleted val="0"/>
    <c:plotArea>
      <c:layout/>
      <c:barChart>
        <c:barDir val="col"/>
        <c:grouping val="clustered"/>
        <c:varyColors val="0"/>
        <c:ser>
          <c:idx val="0"/>
          <c:order val="0"/>
          <c:tx>
            <c:strRef>
              <c:f>Data!$J$52</c:f>
              <c:strCache>
                <c:ptCount val="1"/>
                <c:pt idx="0">
                  <c:v>Area</c:v>
                </c:pt>
              </c:strCache>
            </c:strRef>
          </c:tx>
          <c:spPr>
            <a:solidFill>
              <a:srgbClr val="0284C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F2937"/>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Data!$J$53:$J$60</c:f>
              <c:numCache>
                <c:formatCode>General</c:formatCode>
                <c:ptCount val="8"/>
                <c:pt idx="0">
                  <c:v>102</c:v>
                </c:pt>
                <c:pt idx="1">
                  <c:v>410</c:v>
                </c:pt>
                <c:pt idx="2">
                  <c:v>420</c:v>
                </c:pt>
                <c:pt idx="3">
                  <c:v>400</c:v>
                </c:pt>
                <c:pt idx="4">
                  <c:v>405</c:v>
                </c:pt>
                <c:pt idx="5">
                  <c:v>109</c:v>
                </c:pt>
                <c:pt idx="6">
                  <c:v>101</c:v>
                </c:pt>
                <c:pt idx="7">
                  <c:v>429</c:v>
                </c:pt>
              </c:numCache>
            </c:numRef>
          </c:val>
          <c:extLst>
            <c:ext xmlns:c16="http://schemas.microsoft.com/office/drawing/2014/chart" uri="{C3380CC4-5D6E-409C-BE32-E72D297353CC}">
              <c16:uniqueId val="{00000000-8BCE-4EED-8204-F346455AE64F}"/>
            </c:ext>
          </c:extLst>
        </c:ser>
        <c:ser>
          <c:idx val="1"/>
          <c:order val="1"/>
          <c:tx>
            <c:strRef>
              <c:f>Data!$K$52</c:f>
              <c:strCache>
                <c:ptCount val="1"/>
                <c:pt idx="0">
                  <c:v>Count</c:v>
                </c:pt>
              </c:strCache>
            </c:strRef>
          </c:tx>
          <c:spPr>
            <a:solidFill>
              <a:schemeClr val="accent2"/>
            </a:solidFill>
            <a:ln>
              <a:noFill/>
            </a:ln>
            <a:effectLst/>
          </c:spPr>
          <c:invertIfNegative val="0"/>
          <c:val>
            <c:numRef>
              <c:f>Data!$K$53:$K$60</c:f>
              <c:numCache>
                <c:formatCode>General</c:formatCode>
                <c:ptCount val="8"/>
                <c:pt idx="0">
                  <c:v>32</c:v>
                </c:pt>
                <c:pt idx="1">
                  <c:v>23</c:v>
                </c:pt>
                <c:pt idx="2">
                  <c:v>22</c:v>
                </c:pt>
                <c:pt idx="3">
                  <c:v>21</c:v>
                </c:pt>
                <c:pt idx="4">
                  <c:v>20</c:v>
                </c:pt>
                <c:pt idx="5">
                  <c:v>16</c:v>
                </c:pt>
                <c:pt idx="6">
                  <c:v>16</c:v>
                </c:pt>
                <c:pt idx="7">
                  <c:v>15</c:v>
                </c:pt>
              </c:numCache>
            </c:numRef>
          </c:val>
          <c:extLst>
            <c:ext xmlns:c16="http://schemas.microsoft.com/office/drawing/2014/chart" uri="{C3380CC4-5D6E-409C-BE32-E72D297353CC}">
              <c16:uniqueId val="{00000001-8BCE-4EED-8204-F346455AE64F}"/>
            </c:ext>
          </c:extLst>
        </c:ser>
        <c:dLbls>
          <c:showLegendKey val="0"/>
          <c:showVal val="0"/>
          <c:showCatName val="0"/>
          <c:showSerName val="0"/>
          <c:showPercent val="0"/>
          <c:showBubbleSize val="0"/>
        </c:dLbls>
        <c:gapWidth val="219"/>
        <c:overlap val="-27"/>
        <c:axId val="1432648623"/>
        <c:axId val="1432649103"/>
      </c:barChart>
      <c:catAx>
        <c:axId val="14326486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1432649103"/>
        <c:crosses val="autoZero"/>
        <c:auto val="1"/>
        <c:lblAlgn val="ctr"/>
        <c:lblOffset val="100"/>
        <c:noMultiLvlLbl val="0"/>
      </c:catAx>
      <c:valAx>
        <c:axId val="1432649103"/>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143264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F172A"/>
                </a:solidFill>
                <a:latin typeface="Segoe UI"/>
                <a:ea typeface="Segoe UI"/>
                <a:cs typeface="Segoe UI"/>
              </a:defRPr>
            </a:pPr>
            <a:r>
              <a:rPr lang="en-US"/>
              <a:t>Supervisor Trending (Top 8)</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F172A"/>
              </a:solidFill>
              <a:latin typeface="Segoe UI"/>
              <a:ea typeface="Segoe UI"/>
              <a:cs typeface="Segoe UI"/>
            </a:defRPr>
          </a:pPr>
          <a:endParaRPr lang="en-US"/>
        </a:p>
      </c:txPr>
    </c:title>
    <c:autoTitleDeleted val="0"/>
    <c:plotArea>
      <c:layout/>
      <c:barChart>
        <c:barDir val="bar"/>
        <c:grouping val="clustered"/>
        <c:varyColors val="0"/>
        <c:ser>
          <c:idx val="0"/>
          <c:order val="0"/>
          <c:tx>
            <c:strRef>
              <c:f>Data!$N$52</c:f>
              <c:strCache>
                <c:ptCount val="1"/>
                <c:pt idx="0">
                  <c:v>Incidents</c:v>
                </c:pt>
              </c:strCache>
            </c:strRef>
          </c:tx>
          <c:spPr>
            <a:solidFill>
              <a:srgbClr val="DB277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F2937"/>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Data!$M$53:$M$60</c:f>
              <c:strCache>
                <c:ptCount val="8"/>
                <c:pt idx="0">
                  <c:v>Samuel Sierra</c:v>
                </c:pt>
                <c:pt idx="1">
                  <c:v>Elizabeth Neufeld</c:v>
                </c:pt>
                <c:pt idx="2">
                  <c:v>Juan Ramirez</c:v>
                </c:pt>
                <c:pt idx="3">
                  <c:v>Ovidio Sanchez</c:v>
                </c:pt>
                <c:pt idx="4">
                  <c:v>Alex Vargas</c:v>
                </c:pt>
                <c:pt idx="5">
                  <c:v>Diego Soria</c:v>
                </c:pt>
                <c:pt idx="6">
                  <c:v>Christian Lopez</c:v>
                </c:pt>
                <c:pt idx="7">
                  <c:v>Chadu Moua</c:v>
                </c:pt>
              </c:strCache>
            </c:strRef>
          </c:cat>
          <c:val>
            <c:numRef>
              <c:f>Data!$N$53:$N$60</c:f>
              <c:numCache>
                <c:formatCode>General</c:formatCode>
                <c:ptCount val="8"/>
                <c:pt idx="0">
                  <c:v>24</c:v>
                </c:pt>
                <c:pt idx="1">
                  <c:v>23</c:v>
                </c:pt>
                <c:pt idx="2">
                  <c:v>21</c:v>
                </c:pt>
                <c:pt idx="3">
                  <c:v>21</c:v>
                </c:pt>
                <c:pt idx="4">
                  <c:v>19</c:v>
                </c:pt>
                <c:pt idx="5">
                  <c:v>18</c:v>
                </c:pt>
                <c:pt idx="6">
                  <c:v>15</c:v>
                </c:pt>
                <c:pt idx="7">
                  <c:v>15</c:v>
                </c:pt>
              </c:numCache>
            </c:numRef>
          </c:val>
          <c:extLst>
            <c:ext xmlns:c16="http://schemas.microsoft.com/office/drawing/2014/chart" uri="{C3380CC4-5D6E-409C-BE32-E72D297353CC}">
              <c16:uniqueId val="{00000000-5299-4D2A-BC31-10E9E0114298}"/>
            </c:ext>
          </c:extLst>
        </c:ser>
        <c:dLbls>
          <c:showLegendKey val="0"/>
          <c:showVal val="0"/>
          <c:showCatName val="0"/>
          <c:showSerName val="0"/>
          <c:showPercent val="0"/>
          <c:showBubbleSize val="0"/>
        </c:dLbls>
        <c:gapWidth val="182"/>
        <c:axId val="1724127135"/>
        <c:axId val="1724128095"/>
      </c:barChart>
      <c:catAx>
        <c:axId val="1724127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1724128095"/>
        <c:crosses val="autoZero"/>
        <c:auto val="1"/>
        <c:lblAlgn val="ctr"/>
        <c:lblOffset val="100"/>
        <c:noMultiLvlLbl val="0"/>
      </c:catAx>
      <c:valAx>
        <c:axId val="1724128095"/>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172412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F172A"/>
                </a:solidFill>
                <a:latin typeface="Segoe UI"/>
                <a:ea typeface="Segoe UI"/>
                <a:cs typeface="Segoe UI"/>
              </a:defRPr>
            </a:pPr>
            <a:r>
              <a:rPr lang="en-US"/>
              <a:t>Top Jobs / JTPs by Incidents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F172A"/>
              </a:solidFill>
              <a:latin typeface="Segoe UI"/>
              <a:ea typeface="Segoe UI"/>
              <a:cs typeface="Segoe UI"/>
            </a:defRPr>
          </a:pPr>
          <a:endParaRPr lang="en-US"/>
        </a:p>
      </c:txPr>
    </c:title>
    <c:autoTitleDeleted val="0"/>
    <c:plotArea>
      <c:layout/>
      <c:barChart>
        <c:barDir val="bar"/>
        <c:grouping val="clustered"/>
        <c:varyColors val="0"/>
        <c:ser>
          <c:idx val="0"/>
          <c:order val="0"/>
          <c:tx>
            <c:strRef>
              <c:f>Data!$Q$52</c:f>
              <c:strCache>
                <c:ptCount val="1"/>
                <c:pt idx="0">
                  <c:v>Count</c:v>
                </c:pt>
              </c:strCache>
            </c:strRef>
          </c:tx>
          <c:spPr>
            <a:solidFill>
              <a:srgbClr val="D9770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F2937"/>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Data!$P$53:$P$60</c:f>
              <c:strCache>
                <c:ptCount val="8"/>
                <c:pt idx="0">
                  <c:v>Tender Puller</c:v>
                </c:pt>
                <c:pt idx="1">
                  <c:v>Plate Boner</c:v>
                </c:pt>
                <c:pt idx="2">
                  <c:v>Intestine Stripper</c:v>
                </c:pt>
                <c:pt idx="3">
                  <c:v>Whizzard Knife Op.</c:v>
                </c:pt>
                <c:pt idx="4">
                  <c:v>Wax Papper Remover</c:v>
                </c:pt>
                <c:pt idx="5">
                  <c:v>Cattle Pusher</c:v>
                </c:pt>
                <c:pt idx="6">
                  <c:v>Herdsman</c:v>
                </c:pt>
                <c:pt idx="7">
                  <c:v>Maintenance</c:v>
                </c:pt>
              </c:strCache>
            </c:strRef>
          </c:cat>
          <c:val>
            <c:numRef>
              <c:f>Data!$Q$53:$Q$60</c:f>
              <c:numCache>
                <c:formatCode>General</c:formatCode>
                <c:ptCount val="8"/>
                <c:pt idx="0">
                  <c:v>8</c:v>
                </c:pt>
                <c:pt idx="1">
                  <c:v>6</c:v>
                </c:pt>
                <c:pt idx="2">
                  <c:v>6</c:v>
                </c:pt>
                <c:pt idx="3">
                  <c:v>5</c:v>
                </c:pt>
                <c:pt idx="4">
                  <c:v>5</c:v>
                </c:pt>
                <c:pt idx="5">
                  <c:v>5</c:v>
                </c:pt>
                <c:pt idx="6">
                  <c:v>5</c:v>
                </c:pt>
                <c:pt idx="7">
                  <c:v>1</c:v>
                </c:pt>
              </c:numCache>
            </c:numRef>
          </c:val>
          <c:extLst>
            <c:ext xmlns:c16="http://schemas.microsoft.com/office/drawing/2014/chart" uri="{C3380CC4-5D6E-409C-BE32-E72D297353CC}">
              <c16:uniqueId val="{00000000-33D3-41A5-BFF8-213181590AC0}"/>
            </c:ext>
          </c:extLst>
        </c:ser>
        <c:dLbls>
          <c:showLegendKey val="0"/>
          <c:showVal val="0"/>
          <c:showCatName val="0"/>
          <c:showSerName val="0"/>
          <c:showPercent val="0"/>
          <c:showBubbleSize val="0"/>
        </c:dLbls>
        <c:gapWidth val="182"/>
        <c:axId val="380849455"/>
        <c:axId val="380849935"/>
      </c:barChart>
      <c:catAx>
        <c:axId val="38084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380849935"/>
        <c:crosses val="autoZero"/>
        <c:auto val="1"/>
        <c:lblAlgn val="ctr"/>
        <c:lblOffset val="100"/>
        <c:noMultiLvlLbl val="0"/>
      </c:catAx>
      <c:valAx>
        <c:axId val="380849935"/>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38084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Weekly Trend · 2026 · Incidents vs Recordables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Data'!$B$14</c:f>
              <c:strCache>
                <c:ptCount val="1"/>
                <c:pt idx="0">
                  <c:v>Incidents</c:v>
                </c:pt>
              </c:strCache>
            </c:strRef>
          </c:tx>
          <c:spPr>
            <a:solidFill>
              <a:srgbClr val="2E75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Data'!$E$15:$E$45</c:f>
              <c:strCache>
                <c:ptCount val="31"/>
                <c:pt idx="0">
                  <c:v>1/1–1/4</c:v>
                </c:pt>
                <c:pt idx="1">
                  <c:v>1/5–1/11</c:v>
                </c:pt>
                <c:pt idx="2">
                  <c:v>1/12–1/18</c:v>
                </c:pt>
                <c:pt idx="3">
                  <c:v>1/19–1/25</c:v>
                </c:pt>
                <c:pt idx="4">
                  <c:v>1/26–2/1</c:v>
                </c:pt>
                <c:pt idx="5">
                  <c:v>2/2–2/8</c:v>
                </c:pt>
                <c:pt idx="6">
                  <c:v>2/9–2/15</c:v>
                </c:pt>
                <c:pt idx="7">
                  <c:v>2/16–2/22</c:v>
                </c:pt>
                <c:pt idx="8">
                  <c:v>2/23–3/1</c:v>
                </c:pt>
                <c:pt idx="9">
                  <c:v>3/2–3/8</c:v>
                </c:pt>
                <c:pt idx="10">
                  <c:v>3/9–3/15</c:v>
                </c:pt>
                <c:pt idx="11">
                  <c:v>3/16–3/22</c:v>
                </c:pt>
                <c:pt idx="12">
                  <c:v>3/23–3/29</c:v>
                </c:pt>
                <c:pt idx="13">
                  <c:v>3/30–4/5</c:v>
                </c:pt>
                <c:pt idx="14">
                  <c:v>4/6–4/12</c:v>
                </c:pt>
                <c:pt idx="15">
                  <c:v>4/13–4/19</c:v>
                </c:pt>
                <c:pt idx="16">
                  <c:v>4/20–4/26</c:v>
                </c:pt>
                <c:pt idx="17">
                  <c:v>4/27–5/3</c:v>
                </c:pt>
                <c:pt idx="18">
                  <c:v>5/4–5/10</c:v>
                </c:pt>
                <c:pt idx="19">
                  <c:v>5/11–5/17</c:v>
                </c:pt>
                <c:pt idx="20">
                  <c:v>5/18–5/24</c:v>
                </c:pt>
                <c:pt idx="21">
                  <c:v>5/25–5/31</c:v>
                </c:pt>
                <c:pt idx="22">
                  <c:v>6/1–6/7</c:v>
                </c:pt>
                <c:pt idx="23">
                  <c:v>6/8–6/14</c:v>
                </c:pt>
                <c:pt idx="24">
                  <c:v>6/15–6/21</c:v>
                </c:pt>
                <c:pt idx="25">
                  <c:v>6/22–6/28</c:v>
                </c:pt>
                <c:pt idx="26">
                  <c:v>6/29–7/5</c:v>
                </c:pt>
                <c:pt idx="27">
                  <c:v>7/6–7/12</c:v>
                </c:pt>
                <c:pt idx="28">
                  <c:v>7/13–7/19</c:v>
                </c:pt>
                <c:pt idx="29">
                  <c:v>7/20–7/26</c:v>
                </c:pt>
                <c:pt idx="30">
                  <c:v>7/27–8/2</c:v>
                </c:pt>
              </c:strCache>
            </c:strRef>
          </c:cat>
          <c:val>
            <c:numRef>
              <c:f>'Dashboard Data'!$B$15:$B$45</c:f>
              <c:numCache>
                <c:formatCode>General</c:formatCode>
                <c:ptCount val="31"/>
                <c:pt idx="0">
                  <c:v>0</c:v>
                </c:pt>
                <c:pt idx="1">
                  <c:v>5</c:v>
                </c:pt>
                <c:pt idx="2">
                  <c:v>7</c:v>
                </c:pt>
                <c:pt idx="3">
                  <c:v>10</c:v>
                </c:pt>
                <c:pt idx="4">
                  <c:v>6</c:v>
                </c:pt>
                <c:pt idx="5">
                  <c:v>10</c:v>
                </c:pt>
                <c:pt idx="6">
                  <c:v>8</c:v>
                </c:pt>
                <c:pt idx="7">
                  <c:v>10</c:v>
                </c:pt>
                <c:pt idx="8">
                  <c:v>16</c:v>
                </c:pt>
                <c:pt idx="9">
                  <c:v>12</c:v>
                </c:pt>
                <c:pt idx="10">
                  <c:v>3</c:v>
                </c:pt>
                <c:pt idx="11">
                  <c:v>9</c:v>
                </c:pt>
                <c:pt idx="12">
                  <c:v>4</c:v>
                </c:pt>
                <c:pt idx="13">
                  <c:v>9</c:v>
                </c:pt>
                <c:pt idx="14">
                  <c:v>15</c:v>
                </c:pt>
                <c:pt idx="15">
                  <c:v>10</c:v>
                </c:pt>
                <c:pt idx="16">
                  <c:v>14</c:v>
                </c:pt>
                <c:pt idx="17">
                  <c:v>4</c:v>
                </c:pt>
                <c:pt idx="18">
                  <c:v>5</c:v>
                </c:pt>
                <c:pt idx="19">
                  <c:v>7</c:v>
                </c:pt>
                <c:pt idx="20">
                  <c:v>3</c:v>
                </c:pt>
                <c:pt idx="21">
                  <c:v>9</c:v>
                </c:pt>
                <c:pt idx="22">
                  <c:v>9</c:v>
                </c:pt>
                <c:pt idx="23">
                  <c:v>11</c:v>
                </c:pt>
                <c:pt idx="24">
                  <c:v>10</c:v>
                </c:pt>
                <c:pt idx="25">
                  <c:v>19</c:v>
                </c:pt>
                <c:pt idx="26">
                  <c:v>19</c:v>
                </c:pt>
                <c:pt idx="27">
                  <c:v>16</c:v>
                </c:pt>
                <c:pt idx="28">
                  <c:v>7</c:v>
                </c:pt>
                <c:pt idx="29">
                  <c:v>8</c:v>
                </c:pt>
                <c:pt idx="30">
                  <c:v>0</c:v>
                </c:pt>
              </c:numCache>
            </c:numRef>
          </c:val>
          <c:extLst>
            <c:ext xmlns:c16="http://schemas.microsoft.com/office/drawing/2014/chart" uri="{C3380CC4-5D6E-409C-BE32-E72D297353CC}">
              <c16:uniqueId val="{00000000-DF7F-4E2D-BFC9-293F1C6FB20B}"/>
            </c:ext>
          </c:extLst>
        </c:ser>
        <c:dLbls>
          <c:dLblPos val="inEnd"/>
          <c:showLegendKey val="0"/>
          <c:showVal val="1"/>
          <c:showCatName val="0"/>
          <c:showSerName val="0"/>
          <c:showPercent val="0"/>
          <c:showBubbleSize val="0"/>
        </c:dLbls>
        <c:gapWidth val="40"/>
        <c:overlap val="100"/>
        <c:axId val="539831792"/>
        <c:axId val="539817872"/>
      </c:barChart>
      <c:lineChart>
        <c:grouping val="standard"/>
        <c:varyColors val="0"/>
        <c:ser>
          <c:idx val="1"/>
          <c:order val="1"/>
          <c:tx>
            <c:strRef>
              <c:f>'Dashboard Data'!$C$14</c:f>
              <c:strCache>
                <c:ptCount val="1"/>
                <c:pt idx="0">
                  <c:v>Recordable</c:v>
                </c:pt>
              </c:strCache>
            </c:strRef>
          </c:tx>
          <c:spPr>
            <a:ln w="25400" cap="rnd">
              <a:solidFill>
                <a:srgbClr val="C00000"/>
              </a:solidFill>
              <a:prstDash val="solid"/>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Data'!$E$15:$E$45</c:f>
              <c:strCache>
                <c:ptCount val="31"/>
                <c:pt idx="0">
                  <c:v>1/1–1/4</c:v>
                </c:pt>
                <c:pt idx="1">
                  <c:v>1/5–1/11</c:v>
                </c:pt>
                <c:pt idx="2">
                  <c:v>1/12–1/18</c:v>
                </c:pt>
                <c:pt idx="3">
                  <c:v>1/19–1/25</c:v>
                </c:pt>
                <c:pt idx="4">
                  <c:v>1/26–2/1</c:v>
                </c:pt>
                <c:pt idx="5">
                  <c:v>2/2–2/8</c:v>
                </c:pt>
                <c:pt idx="6">
                  <c:v>2/9–2/15</c:v>
                </c:pt>
                <c:pt idx="7">
                  <c:v>2/16–2/22</c:v>
                </c:pt>
                <c:pt idx="8">
                  <c:v>2/23–3/1</c:v>
                </c:pt>
                <c:pt idx="9">
                  <c:v>3/2–3/8</c:v>
                </c:pt>
                <c:pt idx="10">
                  <c:v>3/9–3/15</c:v>
                </c:pt>
                <c:pt idx="11">
                  <c:v>3/16–3/22</c:v>
                </c:pt>
                <c:pt idx="12">
                  <c:v>3/23–3/29</c:v>
                </c:pt>
                <c:pt idx="13">
                  <c:v>3/30–4/5</c:v>
                </c:pt>
                <c:pt idx="14">
                  <c:v>4/6–4/12</c:v>
                </c:pt>
                <c:pt idx="15">
                  <c:v>4/13–4/19</c:v>
                </c:pt>
                <c:pt idx="16">
                  <c:v>4/20–4/26</c:v>
                </c:pt>
                <c:pt idx="17">
                  <c:v>4/27–5/3</c:v>
                </c:pt>
                <c:pt idx="18">
                  <c:v>5/4–5/10</c:v>
                </c:pt>
                <c:pt idx="19">
                  <c:v>5/11–5/17</c:v>
                </c:pt>
                <c:pt idx="20">
                  <c:v>5/18–5/24</c:v>
                </c:pt>
                <c:pt idx="21">
                  <c:v>5/25–5/31</c:v>
                </c:pt>
                <c:pt idx="22">
                  <c:v>6/1–6/7</c:v>
                </c:pt>
                <c:pt idx="23">
                  <c:v>6/8–6/14</c:v>
                </c:pt>
                <c:pt idx="24">
                  <c:v>6/15–6/21</c:v>
                </c:pt>
                <c:pt idx="25">
                  <c:v>6/22–6/28</c:v>
                </c:pt>
                <c:pt idx="26">
                  <c:v>6/29–7/5</c:v>
                </c:pt>
                <c:pt idx="27">
                  <c:v>7/6–7/12</c:v>
                </c:pt>
                <c:pt idx="28">
                  <c:v>7/13–7/19</c:v>
                </c:pt>
                <c:pt idx="29">
                  <c:v>7/20–7/26</c:v>
                </c:pt>
                <c:pt idx="30">
                  <c:v>7/27–8/2</c:v>
                </c:pt>
              </c:strCache>
            </c:strRef>
          </c:cat>
          <c:val>
            <c:numRef>
              <c:f>'Dashboard Data'!$C$15:$C$45</c:f>
              <c:numCache>
                <c:formatCode>General</c:formatCode>
                <c:ptCount val="31"/>
                <c:pt idx="0">
                  <c:v>0</c:v>
                </c:pt>
                <c:pt idx="1">
                  <c:v>1</c:v>
                </c:pt>
                <c:pt idx="2">
                  <c:v>0</c:v>
                </c:pt>
                <c:pt idx="3">
                  <c:v>0</c:v>
                </c:pt>
                <c:pt idx="4">
                  <c:v>0</c:v>
                </c:pt>
                <c:pt idx="5">
                  <c:v>0</c:v>
                </c:pt>
                <c:pt idx="6">
                  <c:v>0</c:v>
                </c:pt>
                <c:pt idx="7">
                  <c:v>0</c:v>
                </c:pt>
                <c:pt idx="8">
                  <c:v>0</c:v>
                </c:pt>
                <c:pt idx="9">
                  <c:v>1</c:v>
                </c:pt>
                <c:pt idx="10">
                  <c:v>0</c:v>
                </c:pt>
                <c:pt idx="11">
                  <c:v>0</c:v>
                </c:pt>
                <c:pt idx="12">
                  <c:v>0</c:v>
                </c:pt>
                <c:pt idx="13">
                  <c:v>1</c:v>
                </c:pt>
                <c:pt idx="14">
                  <c:v>0</c:v>
                </c:pt>
                <c:pt idx="15">
                  <c:v>0</c:v>
                </c:pt>
                <c:pt idx="16">
                  <c:v>0</c:v>
                </c:pt>
                <c:pt idx="17">
                  <c:v>0</c:v>
                </c:pt>
                <c:pt idx="18">
                  <c:v>0</c:v>
                </c:pt>
                <c:pt idx="19">
                  <c:v>1</c:v>
                </c:pt>
                <c:pt idx="20">
                  <c:v>0</c:v>
                </c:pt>
                <c:pt idx="21">
                  <c:v>0</c:v>
                </c:pt>
                <c:pt idx="22">
                  <c:v>0</c:v>
                </c:pt>
                <c:pt idx="23">
                  <c:v>1</c:v>
                </c:pt>
                <c:pt idx="24">
                  <c:v>1</c:v>
                </c:pt>
                <c:pt idx="25">
                  <c:v>0</c:v>
                </c:pt>
                <c:pt idx="26">
                  <c:v>1</c:v>
                </c:pt>
                <c:pt idx="27">
                  <c:v>0</c:v>
                </c:pt>
                <c:pt idx="28">
                  <c:v>0</c:v>
                </c:pt>
                <c:pt idx="29">
                  <c:v>0</c:v>
                </c:pt>
                <c:pt idx="30">
                  <c:v>0</c:v>
                </c:pt>
              </c:numCache>
            </c:numRef>
          </c:val>
          <c:smooth val="0"/>
          <c:extLst>
            <c:ext xmlns:c16="http://schemas.microsoft.com/office/drawing/2014/chart" uri="{C3380CC4-5D6E-409C-BE32-E72D297353CC}">
              <c16:uniqueId val="{00000001-DF7F-4E2D-BFC9-293F1C6FB20B}"/>
            </c:ext>
          </c:extLst>
        </c:ser>
        <c:dLbls>
          <c:showLegendKey val="0"/>
          <c:showVal val="1"/>
          <c:showCatName val="0"/>
          <c:showSerName val="0"/>
          <c:showPercent val="0"/>
          <c:showBubbleSize val="0"/>
        </c:dLbls>
        <c:marker val="1"/>
        <c:smooth val="0"/>
        <c:axId val="539843312"/>
        <c:axId val="539841392"/>
      </c:lineChart>
      <c:catAx>
        <c:axId val="539831792"/>
        <c:scaling>
          <c:orientation val="minMax"/>
        </c:scaling>
        <c:delete val="0"/>
        <c:axPos val="b"/>
        <c:numFmt formatCode="m/d"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39817872"/>
        <c:crosses val="autoZero"/>
        <c:auto val="0"/>
        <c:lblAlgn val="ctr"/>
        <c:lblOffset val="100"/>
        <c:noMultiLvlLbl val="0"/>
      </c:catAx>
      <c:valAx>
        <c:axId val="539817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Incidents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831792"/>
        <c:crosses val="autoZero"/>
        <c:crossBetween val="between"/>
      </c:valAx>
      <c:valAx>
        <c:axId val="539841392"/>
        <c:scaling>
          <c:orientation val="minMax"/>
          <c:min val="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Recordables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843312"/>
        <c:crosses val="max"/>
        <c:crossBetween val="between"/>
      </c:valAx>
      <c:catAx>
        <c:axId val="539843312"/>
        <c:scaling>
          <c:orientation val="minMax"/>
        </c:scaling>
        <c:delete val="1"/>
        <c:axPos val="b"/>
        <c:numFmt formatCode="General" sourceLinked="1"/>
        <c:majorTickMark val="out"/>
        <c:minorTickMark val="none"/>
        <c:tickLblPos val="nextTo"/>
        <c:crossAx val="539841392"/>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[Master_List_Of_Injuries_2025_2026 (version 1).xlsx]Month!PivotTable12</c:name>
    <c:fmtId val="5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Month!$A$4:$A$8</c:f>
              <c:strCache>
                <c:ptCount val="4"/>
                <c:pt idx="0">
                  <c:v>February</c:v>
                </c:pt>
                <c:pt idx="1">
                  <c:v>April</c:v>
                </c:pt>
                <c:pt idx="2">
                  <c:v>May</c:v>
                </c:pt>
                <c:pt idx="3">
                  <c:v>June</c:v>
                </c:pt>
              </c:strCache>
            </c:strRef>
          </c:cat>
          <c:val>
            <c:numRef>
              <c:f>Month!$B$4:$B$8</c:f>
              <c:numCache>
                <c:formatCode>General</c:formatCode>
                <c:ptCount val="4"/>
                <c:pt idx="0">
                  <c:v>63</c:v>
                </c:pt>
                <c:pt idx="1">
                  <c:v>65</c:v>
                </c:pt>
                <c:pt idx="2">
                  <c:v>47</c:v>
                </c:pt>
                <c:pt idx="3">
                  <c:v>77</c:v>
                </c:pt>
              </c:numCache>
            </c:numRef>
          </c:val>
          <c:extLst>
            <c:ext xmlns:c16="http://schemas.microsoft.com/office/drawing/2014/chart" uri="{C3380CC4-5D6E-409C-BE32-E72D297353CC}">
              <c16:uniqueId val="{00000000-17E8-4E73-9FFF-23BB29C4CAF1}"/>
            </c:ext>
          </c:extLst>
        </c:ser>
        <c:dLbls>
          <c:dLblPos val="outEnd"/>
          <c:showLegendKey val="0"/>
          <c:showVal val="1"/>
          <c:showCatName val="0"/>
          <c:showSerName val="0"/>
          <c:showPercent val="0"/>
          <c:showBubbleSize val="0"/>
        </c:dLbls>
        <c:gapWidth val="219"/>
        <c:overlap val="-27"/>
        <c:axId val="523196656"/>
        <c:axId val="523194736"/>
      </c:barChart>
      <c:catAx>
        <c:axId val="52319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194736"/>
        <c:crosses val="autoZero"/>
        <c:auto val="1"/>
        <c:lblAlgn val="ctr"/>
        <c:lblOffset val="100"/>
        <c:noMultiLvlLbl val="0"/>
      </c:catAx>
      <c:valAx>
        <c:axId val="52319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19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[Master_List_Of_Injuries_2025_2026 (version 1).xlsx]FA-RPO-RECORDABLE!PivotTable2</c:name>
    <c:fmtId val="1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'FA-RPO-RECORDABLE'!$B$3:$B$4</c:f>
              <c:strCache>
                <c:ptCount val="1"/>
                <c:pt idx="0">
                  <c:v>RECORDABLE</c:v>
                </c:pt>
              </c:strCache>
            </c:strRef>
          </c:tx>
          <c:spPr>
            <a:solidFill>
              <a:schemeClr val="accent1"/>
            </a:solidFill>
            <a:ln>
              <a:noFill/>
            </a:ln>
            <a:effectLst/>
          </c:spPr>
          <c:invertIfNegative val="0"/>
          <c:cat>
            <c:multiLvlStrRef>
              <c:f>'FA-RPO-RECORDABLE'!$A$5:$A$12</c:f>
              <c:multiLvlStrCache>
                <c:ptCount val="5"/>
                <c:lvl>
                  <c:pt idx="0">
                    <c:v>February</c:v>
                  </c:pt>
                  <c:pt idx="1">
                    <c:v>June</c:v>
                  </c:pt>
                  <c:pt idx="2">
                    <c:v>April</c:v>
                  </c:pt>
                  <c:pt idx="3">
                    <c:v>May</c:v>
                  </c:pt>
                  <c:pt idx="4">
                    <c:v>June</c:v>
                  </c:pt>
                </c:lvl>
                <c:lvl>
                  <c:pt idx="0">
                    <c:v>2025</c:v>
                  </c:pt>
                  <c:pt idx="2">
                    <c:v>2026</c:v>
                  </c:pt>
                </c:lvl>
              </c:multiLvlStrCache>
            </c:multiLvlStrRef>
          </c:cat>
          <c:val>
            <c:numRef>
              <c:f>'FA-RPO-RECORDABLE'!$B$5:$B$12</c:f>
              <c:numCache>
                <c:formatCode>General</c:formatCode>
                <c:ptCount val="5"/>
                <c:pt idx="0">
                  <c:v>3</c:v>
                </c:pt>
                <c:pt idx="1">
                  <c:v>1</c:v>
                </c:pt>
                <c:pt idx="2">
                  <c:v>1</c:v>
                </c:pt>
                <c:pt idx="3">
                  <c:v>1</c:v>
                </c:pt>
                <c:pt idx="4">
                  <c:v>2</c:v>
                </c:pt>
              </c:numCache>
            </c:numRef>
          </c:val>
          <c:extLst>
            <c:ext xmlns:c16="http://schemas.microsoft.com/office/drawing/2014/chart" uri="{C3380CC4-5D6E-409C-BE32-E72D297353CC}">
              <c16:uniqueId val="{00000000-C778-4AC7-A1F1-E19BACB721B4}"/>
            </c:ext>
          </c:extLst>
        </c:ser>
        <c:dLbls>
          <c:showLegendKey val="0"/>
          <c:showVal val="0"/>
          <c:showCatName val="0"/>
          <c:showSerName val="0"/>
          <c:showPercent val="0"/>
          <c:showBubbleSize val="0"/>
        </c:dLbls>
        <c:gapWidth val="219"/>
        <c:overlap val="-27"/>
        <c:axId val="1891295488"/>
        <c:axId val="1891297408"/>
      </c:barChart>
      <c:catAx>
        <c:axId val="189129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297408"/>
        <c:crosses val="autoZero"/>
        <c:auto val="1"/>
        <c:lblAlgn val="ctr"/>
        <c:lblOffset val="100"/>
        <c:noMultiLvlLbl val="0"/>
      </c:catAx>
      <c:valAx>
        <c:axId val="189129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29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[Master_List_Of_Injuries_2025_2026 (version 1).xlsx]YEAR!PivotTable8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YEAR!$B$3</c:f>
              <c:strCache>
                <c:ptCount val="1"/>
                <c:pt idx="0">
                  <c:v>Total</c:v>
                </c:pt>
              </c:strCache>
            </c:strRef>
          </c:tx>
          <c:spPr>
            <a:solidFill>
              <a:schemeClr val="accent1"/>
            </a:solidFill>
            <a:ln>
              <a:noFill/>
            </a:ln>
            <a:effectLst/>
          </c:spPr>
          <c:invertIfNegative val="0"/>
          <c:cat>
            <c:strRef>
              <c:f>YEAR!$A$4:$A$6</c:f>
              <c:strCache>
                <c:ptCount val="2"/>
                <c:pt idx="0">
                  <c:v>2025</c:v>
                </c:pt>
                <c:pt idx="1">
                  <c:v>2026</c:v>
                </c:pt>
              </c:strCache>
            </c:strRef>
          </c:cat>
          <c:val>
            <c:numRef>
              <c:f>YEAR!$B$4:$B$6</c:f>
              <c:numCache>
                <c:formatCode>General</c:formatCode>
                <c:ptCount val="2"/>
                <c:pt idx="0">
                  <c:v>79</c:v>
                </c:pt>
                <c:pt idx="1">
                  <c:v>173</c:v>
                </c:pt>
              </c:numCache>
            </c:numRef>
          </c:val>
          <c:extLst>
            <c:ext xmlns:c16="http://schemas.microsoft.com/office/drawing/2014/chart" uri="{C3380CC4-5D6E-409C-BE32-E72D297353CC}">
              <c16:uniqueId val="{00000000-B181-4129-B95D-CB374DCD7DCB}"/>
            </c:ext>
          </c:extLst>
        </c:ser>
        <c:dLbls>
          <c:showLegendKey val="0"/>
          <c:showVal val="0"/>
          <c:showCatName val="0"/>
          <c:showSerName val="0"/>
          <c:showPercent val="0"/>
          <c:showBubbleSize val="0"/>
        </c:dLbls>
        <c:gapWidth val="219"/>
        <c:overlap val="-27"/>
        <c:axId val="1803970992"/>
        <c:axId val="1803971472"/>
      </c:barChart>
      <c:catAx>
        <c:axId val="180397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971472"/>
        <c:crosses val="autoZero"/>
        <c:auto val="1"/>
        <c:lblAlgn val="ctr"/>
        <c:lblOffset val="100"/>
        <c:noMultiLvlLbl val="0"/>
      </c:catAx>
      <c:valAx>
        <c:axId val="180397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97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[Master_List_Of_Injuries_2025_2026 (version 1).xlsx]BY DEPARTMENT!PivotTable4</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35374129097589E-2"/>
          <c:y val="0.19654358143493508"/>
          <c:w val="0.93479267106966712"/>
          <c:h val="0.62726552185435203"/>
        </c:manualLayout>
      </c:layout>
      <c:barChart>
        <c:barDir val="col"/>
        <c:grouping val="clustered"/>
        <c:varyColors val="0"/>
        <c:ser>
          <c:idx val="0"/>
          <c:order val="0"/>
          <c:tx>
            <c:strRef>
              <c:f>'BY DEPARTMENT'!$B$3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'BY DEPARTMENT'!$A$4:$A$16</c:f>
              <c:multiLvlStrCache>
                <c:ptCount val="7"/>
                <c:lvl>
                  <c:pt idx="0">
                    <c:v>2026</c:v>
                  </c:pt>
                  <c:pt idx="1">
                    <c:v>2025</c:v>
                  </c:pt>
                  <c:pt idx="2">
                    <c:v>2026</c:v>
                  </c:pt>
                  <c:pt idx="3">
                    <c:v>2025</c:v>
                  </c:pt>
                  <c:pt idx="4">
                    <c:v>2026</c:v>
                  </c:pt>
                  <c:pt idx="5">
                    <c:v>2025</c:v>
                  </c:pt>
                  <c:pt idx="6">
                    <c:v>2026</c:v>
                  </c:pt>
                </c:lvl>
                <c:lvl>
                  <c:pt idx="0">
                    <c:v>Corrals</c:v>
                  </c:pt>
                  <c:pt idx="1">
                    <c:v>Fabrication</c:v>
                  </c:pt>
                  <c:pt idx="3">
                    <c:v>Harvest</c:v>
                  </c:pt>
                  <c:pt idx="5">
                    <c:v>Maintnances</c:v>
                  </c:pt>
                  <c:pt idx="6">
                    <c:v>Outside Clean Up</c:v>
                  </c:pt>
                </c:lvl>
              </c:multiLvlStrCache>
            </c:multiLvlStrRef>
          </c:cat>
          <c:val>
            <c:numRef>
              <c:f>'BY DEPARTMENT'!$B$4:$B$16</c:f>
              <c:numCache>
                <c:formatCode>General</c:formatCode>
                <c:ptCount val="7"/>
                <c:pt idx="0">
                  <c:v>1</c:v>
                </c:pt>
                <c:pt idx="1">
                  <c:v>2</c:v>
                </c:pt>
                <c:pt idx="2">
                  <c:v>2</c:v>
                </c:pt>
                <c:pt idx="3">
                  <c:v>7</c:v>
                </c:pt>
                <c:pt idx="4">
                  <c:v>3</c:v>
                </c:pt>
                <c:pt idx="5">
                  <c:v>1</c:v>
                </c:pt>
                <c:pt idx="6">
                  <c:v>1</c:v>
                </c:pt>
              </c:numCache>
            </c:numRef>
          </c:val>
          <c:extLst>
            <c:ext xmlns:c16="http://schemas.microsoft.com/office/drawing/2014/chart" uri="{C3380CC4-5D6E-409C-BE32-E72D297353CC}">
              <c16:uniqueId val="{00000000-C4BF-4561-A4F1-289C8109F0DB}"/>
            </c:ext>
          </c:extLst>
        </c:ser>
        <c:dLbls>
          <c:dLblPos val="outEnd"/>
          <c:showLegendKey val="0"/>
          <c:showVal val="1"/>
          <c:showCatName val="0"/>
          <c:showSerName val="0"/>
          <c:showPercent val="0"/>
          <c:showBubbleSize val="0"/>
        </c:dLbls>
        <c:gapWidth val="219"/>
        <c:overlap val="-27"/>
        <c:axId val="1905065792"/>
        <c:axId val="1905066272"/>
      </c:barChart>
      <c:catAx>
        <c:axId val="190506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066272"/>
        <c:crosses val="autoZero"/>
        <c:auto val="1"/>
        <c:lblAlgn val="ctr"/>
        <c:lblOffset val="100"/>
        <c:noMultiLvlLbl val="0"/>
      </c:catAx>
      <c:valAx>
        <c:axId val="190506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06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[Master_List_Of_Injuries_2025_2026 (version 1).xlsx]ERGO!PivotTable11</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ERGO!$B$3</c:f>
              <c:strCache>
                <c:ptCount val="1"/>
                <c:pt idx="0">
                  <c:v>Total</c:v>
                </c:pt>
              </c:strCache>
            </c:strRef>
          </c:tx>
          <c:spPr>
            <a:solidFill>
              <a:schemeClr val="accent1"/>
            </a:solidFill>
            <a:ln>
              <a:noFill/>
            </a:ln>
            <a:effectLst/>
          </c:spPr>
          <c:cat>
            <c:multiLvlStrRef>
              <c:f>ERGO!$A$4:$A$108</c:f>
              <c:multiLvlStrCache>
                <c:ptCount val="96"/>
                <c:lvl>
                  <c:pt idx="0">
                    <c:v>Abrasion</c:v>
                  </c:pt>
                  <c:pt idx="1">
                    <c:v>Burn</c:v>
                  </c:pt>
                  <c:pt idx="2">
                    <c:v>Laceration</c:v>
                  </c:pt>
                  <c:pt idx="3">
                    <c:v>Pinch-Point</c:v>
                  </c:pt>
                  <c:pt idx="4">
                    <c:v>Puncture</c:v>
                  </c:pt>
                  <c:pt idx="5">
                    <c:v>Rash</c:v>
                  </c:pt>
                  <c:pt idx="6">
                    <c:v>Slip, Trip, &amp; Fall</c:v>
                  </c:pt>
                  <c:pt idx="7">
                    <c:v>Sprain</c:v>
                  </c:pt>
                  <c:pt idx="8">
                    <c:v>Strain</c:v>
                  </c:pt>
                  <c:pt idx="9">
                    <c:v>Foreign Object </c:v>
                  </c:pt>
                  <c:pt idx="10">
                    <c:v>Abrasion</c:v>
                  </c:pt>
                  <c:pt idx="11">
                    <c:v>Burn</c:v>
                  </c:pt>
                  <c:pt idx="12">
                    <c:v>Contusion </c:v>
                  </c:pt>
                  <c:pt idx="13">
                    <c:v>Inhalation</c:v>
                  </c:pt>
                  <c:pt idx="14">
                    <c:v>Inhalation / Reaction</c:v>
                  </c:pt>
                  <c:pt idx="15">
                    <c:v>Laceration</c:v>
                  </c:pt>
                  <c:pt idx="16">
                    <c:v>Puncture</c:v>
                  </c:pt>
                  <c:pt idx="17">
                    <c:v>Rash</c:v>
                  </c:pt>
                  <c:pt idx="18">
                    <c:v>Slip, Trip, &amp; Fall</c:v>
                  </c:pt>
                  <c:pt idx="19">
                    <c:v>Sprain</c:v>
                  </c:pt>
                  <c:pt idx="20">
                    <c:v>Strain</c:v>
                  </c:pt>
                  <c:pt idx="21">
                    <c:v>Struck By Cattle</c:v>
                  </c:pt>
                  <c:pt idx="22">
                    <c:v>Struck By-Against Object</c:v>
                  </c:pt>
                  <c:pt idx="23">
                    <c:v>Struck by Equipment</c:v>
                  </c:pt>
                  <c:pt idx="24">
                    <c:v>Foreign Object </c:v>
                  </c:pt>
                  <c:pt idx="25">
                    <c:v>Crush Injury </c:v>
                  </c:pt>
                  <c:pt idx="26">
                    <c:v>Laceration</c:v>
                  </c:pt>
                  <c:pt idx="27">
                    <c:v>Puncture</c:v>
                  </c:pt>
                  <c:pt idx="28">
                    <c:v>Rash</c:v>
                  </c:pt>
                  <c:pt idx="29">
                    <c:v>Slip, Trip, &amp; Fall</c:v>
                  </c:pt>
                  <c:pt idx="30">
                    <c:v>Strain</c:v>
                  </c:pt>
                  <c:pt idx="31">
                    <c:v>Struck By Cattle</c:v>
                  </c:pt>
                  <c:pt idx="32">
                    <c:v>Contact Stess</c:v>
                  </c:pt>
                  <c:pt idx="33">
                    <c:v>Struck by against object</c:v>
                  </c:pt>
                  <c:pt idx="34">
                    <c:v>Struck by Equipment</c:v>
                  </c:pt>
                  <c:pt idx="35">
                    <c:v>Strain </c:v>
                  </c:pt>
                  <c:pt idx="36">
                    <c:v>Foreign Object </c:v>
                  </c:pt>
                  <c:pt idx="37">
                    <c:v>Abrasion</c:v>
                  </c:pt>
                  <c:pt idx="38">
                    <c:v>Burn</c:v>
                  </c:pt>
                  <c:pt idx="39">
                    <c:v>Crush Injury </c:v>
                  </c:pt>
                  <c:pt idx="40">
                    <c:v>Laceration</c:v>
                  </c:pt>
                  <c:pt idx="41">
                    <c:v>Puncture</c:v>
                  </c:pt>
                  <c:pt idx="42">
                    <c:v>Rash</c:v>
                  </c:pt>
                  <c:pt idx="43">
                    <c:v>Slip, Trip, &amp; Fall</c:v>
                  </c:pt>
                  <c:pt idx="44">
                    <c:v>Sprain</c:v>
                  </c:pt>
                  <c:pt idx="45">
                    <c:v>Strain</c:v>
                  </c:pt>
                  <c:pt idx="46">
                    <c:v>Struck By Cattle</c:v>
                  </c:pt>
                  <c:pt idx="47">
                    <c:v>Contact Stess</c:v>
                  </c:pt>
                  <c:pt idx="48">
                    <c:v>Struck by - against object</c:v>
                  </c:pt>
                  <c:pt idx="49">
                    <c:v>Awkward Posture</c:v>
                  </c:pt>
                  <c:pt idx="50">
                    <c:v>Reaction </c:v>
                  </c:pt>
                  <c:pt idx="51">
                    <c:v>NA - Stress</c:v>
                  </c:pt>
                  <c:pt idx="52">
                    <c:v>Foreign Object </c:v>
                  </c:pt>
                  <c:pt idx="53">
                    <c:v>Abrasion</c:v>
                  </c:pt>
                  <c:pt idx="54">
                    <c:v>Burn</c:v>
                  </c:pt>
                  <c:pt idx="55">
                    <c:v>Crush Injury </c:v>
                  </c:pt>
                  <c:pt idx="56">
                    <c:v>Electric Shock</c:v>
                  </c:pt>
                  <c:pt idx="57">
                    <c:v>Puncture</c:v>
                  </c:pt>
                  <c:pt idx="58">
                    <c:v>Rash</c:v>
                  </c:pt>
                  <c:pt idx="59">
                    <c:v>Slip, Trip, &amp; Fall</c:v>
                  </c:pt>
                  <c:pt idx="60">
                    <c:v>Strain</c:v>
                  </c:pt>
                  <c:pt idx="61">
                    <c:v>Contact Stess</c:v>
                  </c:pt>
                  <c:pt idx="62">
                    <c:v>Struck by against object</c:v>
                  </c:pt>
                  <c:pt idx="63">
                    <c:v>Foreign Object </c:v>
                  </c:pt>
                  <c:pt idx="64">
                    <c:v>Burn</c:v>
                  </c:pt>
                  <c:pt idx="65">
                    <c:v>Crush Injury </c:v>
                  </c:pt>
                  <c:pt idx="66">
                    <c:v>Puncture</c:v>
                  </c:pt>
                  <c:pt idx="67">
                    <c:v>Rash</c:v>
                  </c:pt>
                  <c:pt idx="68">
                    <c:v>Slip, Trip, &amp; Fall</c:v>
                  </c:pt>
                  <c:pt idx="69">
                    <c:v>Sprain</c:v>
                  </c:pt>
                  <c:pt idx="70">
                    <c:v>Strain</c:v>
                  </c:pt>
                  <c:pt idx="71">
                    <c:v>Contact Stess</c:v>
                  </c:pt>
                  <c:pt idx="72">
                    <c:v>Strain </c:v>
                  </c:pt>
                  <c:pt idx="73">
                    <c:v>Struck by - against object</c:v>
                  </c:pt>
                  <c:pt idx="74">
                    <c:v>Pinch Point - Caught In</c:v>
                  </c:pt>
                  <c:pt idx="75">
                    <c:v>Foreign Object </c:v>
                  </c:pt>
                  <c:pt idx="76">
                    <c:v>Insect Bite/ Sting</c:v>
                  </c:pt>
                  <c:pt idx="77">
                    <c:v>Abrasion</c:v>
                  </c:pt>
                  <c:pt idx="78">
                    <c:v>Burn</c:v>
                  </c:pt>
                  <c:pt idx="79">
                    <c:v>Crush Injury</c:v>
                  </c:pt>
                  <c:pt idx="80">
                    <c:v>Crush Injury </c:v>
                  </c:pt>
                  <c:pt idx="81">
                    <c:v>Electric Shock</c:v>
                  </c:pt>
                  <c:pt idx="82">
                    <c:v>Inhalation / Reaction</c:v>
                  </c:pt>
                  <c:pt idx="83">
                    <c:v>Laceration</c:v>
                  </c:pt>
                  <c:pt idx="84">
                    <c:v>Puncture</c:v>
                  </c:pt>
                  <c:pt idx="85">
                    <c:v>Rash</c:v>
                  </c:pt>
                  <c:pt idx="86">
                    <c:v>Slip, Trip, &amp; Fall</c:v>
                  </c:pt>
                  <c:pt idx="87">
                    <c:v>Strain</c:v>
                  </c:pt>
                  <c:pt idx="88">
                    <c:v>Struck By Cattle</c:v>
                  </c:pt>
                  <c:pt idx="89">
                    <c:v>Struck By-Against Object</c:v>
                  </c:pt>
                  <c:pt idx="90">
                    <c:v>Struck by against object</c:v>
                  </c:pt>
                  <c:pt idx="91">
                    <c:v>Struck by Equipment</c:v>
                  </c:pt>
                  <c:pt idx="92">
                    <c:v>Foreign Object </c:v>
                  </c:pt>
                  <c:pt idx="93">
                    <c:v>Insect Bite/ Sting</c:v>
                  </c:pt>
                  <c:pt idx="94">
                    <c:v>No Injury</c:v>
                  </c:pt>
                  <c:pt idx="95">
                    <c:v>Falling Objects</c:v>
                  </c:pt>
                </c:lvl>
                <c:lvl>
                  <c:pt idx="0">
                    <c:v>January</c:v>
                  </c:pt>
                  <c:pt idx="10">
                    <c:v>February</c:v>
                  </c:pt>
                  <c:pt idx="25">
                    <c:v>March</c:v>
                  </c:pt>
                  <c:pt idx="37">
                    <c:v>April</c:v>
                  </c:pt>
                  <c:pt idx="53">
                    <c:v>May</c:v>
                  </c:pt>
                  <c:pt idx="64">
                    <c:v>June</c:v>
                  </c:pt>
                  <c:pt idx="77">
                    <c:v>July</c:v>
                  </c:pt>
                </c:lvl>
                <c:lvl>
                  <c:pt idx="0">
                    <c:v>2026</c:v>
                  </c:pt>
                </c:lvl>
              </c:multiLvlStrCache>
            </c:multiLvlStrRef>
          </c:cat>
          <c:val>
            <c:numRef>
              <c:f>ERGO!$B$4:$B$108</c:f>
              <c:numCache>
                <c:formatCode>General</c:formatCode>
                <c:ptCount val="96"/>
                <c:pt idx="0">
                  <c:v>1</c:v>
                </c:pt>
                <c:pt idx="1">
                  <c:v>1</c:v>
                </c:pt>
                <c:pt idx="2">
                  <c:v>2</c:v>
                </c:pt>
                <c:pt idx="3">
                  <c:v>1</c:v>
                </c:pt>
                <c:pt idx="4">
                  <c:v>2</c:v>
                </c:pt>
                <c:pt idx="5">
                  <c:v>2</c:v>
                </c:pt>
                <c:pt idx="6">
                  <c:v>2</c:v>
                </c:pt>
                <c:pt idx="7">
                  <c:v>1</c:v>
                </c:pt>
                <c:pt idx="8">
                  <c:v>14</c:v>
                </c:pt>
                <c:pt idx="9">
                  <c:v>2</c:v>
                </c:pt>
                <c:pt idx="10">
                  <c:v>3</c:v>
                </c:pt>
                <c:pt idx="11">
                  <c:v>1</c:v>
                </c:pt>
                <c:pt idx="12">
                  <c:v>1</c:v>
                </c:pt>
                <c:pt idx="13">
                  <c:v>2</c:v>
                </c:pt>
                <c:pt idx="14">
                  <c:v>6</c:v>
                </c:pt>
                <c:pt idx="15">
                  <c:v>2</c:v>
                </c:pt>
                <c:pt idx="16">
                  <c:v>2</c:v>
                </c:pt>
                <c:pt idx="17">
                  <c:v>3</c:v>
                </c:pt>
                <c:pt idx="18">
                  <c:v>1</c:v>
                </c:pt>
                <c:pt idx="19">
                  <c:v>1</c:v>
                </c:pt>
                <c:pt idx="20">
                  <c:v>16</c:v>
                </c:pt>
                <c:pt idx="21">
                  <c:v>3</c:v>
                </c:pt>
                <c:pt idx="22">
                  <c:v>1</c:v>
                </c:pt>
                <c:pt idx="23">
                  <c:v>1</c:v>
                </c:pt>
                <c:pt idx="24">
                  <c:v>1</c:v>
                </c:pt>
                <c:pt idx="25">
                  <c:v>2</c:v>
                </c:pt>
                <c:pt idx="26">
                  <c:v>2</c:v>
                </c:pt>
                <c:pt idx="27">
                  <c:v>2</c:v>
                </c:pt>
                <c:pt idx="28">
                  <c:v>2</c:v>
                </c:pt>
                <c:pt idx="29">
                  <c:v>2</c:v>
                </c:pt>
                <c:pt idx="30">
                  <c:v>11</c:v>
                </c:pt>
                <c:pt idx="31">
                  <c:v>1</c:v>
                </c:pt>
                <c:pt idx="32">
                  <c:v>2</c:v>
                </c:pt>
                <c:pt idx="33">
                  <c:v>2</c:v>
                </c:pt>
                <c:pt idx="34">
                  <c:v>1</c:v>
                </c:pt>
                <c:pt idx="35">
                  <c:v>1</c:v>
                </c:pt>
                <c:pt idx="36">
                  <c:v>3</c:v>
                </c:pt>
                <c:pt idx="37">
                  <c:v>3</c:v>
                </c:pt>
                <c:pt idx="38">
                  <c:v>1</c:v>
                </c:pt>
                <c:pt idx="39">
                  <c:v>1</c:v>
                </c:pt>
                <c:pt idx="40">
                  <c:v>1</c:v>
                </c:pt>
                <c:pt idx="41">
                  <c:v>11</c:v>
                </c:pt>
                <c:pt idx="42">
                  <c:v>2</c:v>
                </c:pt>
                <c:pt idx="43">
                  <c:v>2</c:v>
                </c:pt>
                <c:pt idx="44">
                  <c:v>1</c:v>
                </c:pt>
                <c:pt idx="45">
                  <c:v>14</c:v>
                </c:pt>
                <c:pt idx="46">
                  <c:v>1</c:v>
                </c:pt>
                <c:pt idx="47">
                  <c:v>2</c:v>
                </c:pt>
                <c:pt idx="48">
                  <c:v>3</c:v>
                </c:pt>
                <c:pt idx="49">
                  <c:v>1</c:v>
                </c:pt>
                <c:pt idx="50">
                  <c:v>1</c:v>
                </c:pt>
                <c:pt idx="51">
                  <c:v>1</c:v>
                </c:pt>
                <c:pt idx="52">
                  <c:v>3</c:v>
                </c:pt>
                <c:pt idx="53">
                  <c:v>1</c:v>
                </c:pt>
                <c:pt idx="54">
                  <c:v>1</c:v>
                </c:pt>
                <c:pt idx="55">
                  <c:v>1</c:v>
                </c:pt>
                <c:pt idx="56">
                  <c:v>1</c:v>
                </c:pt>
                <c:pt idx="57">
                  <c:v>2</c:v>
                </c:pt>
                <c:pt idx="58">
                  <c:v>1</c:v>
                </c:pt>
                <c:pt idx="59">
                  <c:v>6</c:v>
                </c:pt>
                <c:pt idx="60">
                  <c:v>7</c:v>
                </c:pt>
                <c:pt idx="61">
                  <c:v>3</c:v>
                </c:pt>
                <c:pt idx="62">
                  <c:v>1</c:v>
                </c:pt>
                <c:pt idx="63">
                  <c:v>1</c:v>
                </c:pt>
                <c:pt idx="64">
                  <c:v>4</c:v>
                </c:pt>
                <c:pt idx="65">
                  <c:v>1</c:v>
                </c:pt>
                <c:pt idx="66">
                  <c:v>5</c:v>
                </c:pt>
                <c:pt idx="67">
                  <c:v>3</c:v>
                </c:pt>
                <c:pt idx="68">
                  <c:v>8</c:v>
                </c:pt>
                <c:pt idx="69">
                  <c:v>1</c:v>
                </c:pt>
                <c:pt idx="70">
                  <c:v>22</c:v>
                </c:pt>
                <c:pt idx="71">
                  <c:v>3</c:v>
                </c:pt>
                <c:pt idx="72">
                  <c:v>1</c:v>
                </c:pt>
                <c:pt idx="73">
                  <c:v>2</c:v>
                </c:pt>
                <c:pt idx="74">
                  <c:v>1</c:v>
                </c:pt>
                <c:pt idx="75">
                  <c:v>4</c:v>
                </c:pt>
                <c:pt idx="76">
                  <c:v>1</c:v>
                </c:pt>
                <c:pt idx="77">
                  <c:v>1</c:v>
                </c:pt>
                <c:pt idx="78">
                  <c:v>4</c:v>
                </c:pt>
                <c:pt idx="79">
                  <c:v>1</c:v>
                </c:pt>
                <c:pt idx="80">
                  <c:v>1</c:v>
                </c:pt>
                <c:pt idx="81">
                  <c:v>1</c:v>
                </c:pt>
                <c:pt idx="82">
                  <c:v>1</c:v>
                </c:pt>
                <c:pt idx="83">
                  <c:v>1</c:v>
                </c:pt>
                <c:pt idx="84">
                  <c:v>1</c:v>
                </c:pt>
                <c:pt idx="85">
                  <c:v>1</c:v>
                </c:pt>
                <c:pt idx="86">
                  <c:v>5</c:v>
                </c:pt>
                <c:pt idx="87">
                  <c:v>13</c:v>
                </c:pt>
                <c:pt idx="88">
                  <c:v>2</c:v>
                </c:pt>
                <c:pt idx="89">
                  <c:v>2</c:v>
                </c:pt>
                <c:pt idx="90">
                  <c:v>1</c:v>
                </c:pt>
                <c:pt idx="91">
                  <c:v>1</c:v>
                </c:pt>
                <c:pt idx="92">
                  <c:v>4</c:v>
                </c:pt>
                <c:pt idx="93">
                  <c:v>1</c:v>
                </c:pt>
                <c:pt idx="94">
                  <c:v>1</c:v>
                </c:pt>
                <c:pt idx="95">
                  <c:v>1</c:v>
                </c:pt>
              </c:numCache>
            </c:numRef>
          </c:val>
          <c:extLst>
            <c:ext xmlns:c16="http://schemas.microsoft.com/office/drawing/2014/chart" uri="{C3380CC4-5D6E-409C-BE32-E72D297353CC}">
              <c16:uniqueId val="{00000000-9093-4823-B404-F3426A2E3975}"/>
            </c:ext>
          </c:extLst>
        </c:ser>
        <c:dLbls>
          <c:showLegendKey val="0"/>
          <c:showVal val="0"/>
          <c:showCatName val="0"/>
          <c:showSerName val="0"/>
          <c:showPercent val="0"/>
          <c:showBubbleSize val="0"/>
        </c:dLbls>
        <c:axId val="1805722192"/>
        <c:axId val="1805722672"/>
      </c:areaChart>
      <c:catAx>
        <c:axId val="1805722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722672"/>
        <c:crosses val="autoZero"/>
        <c:auto val="1"/>
        <c:lblAlgn val="ctr"/>
        <c:lblOffset val="100"/>
        <c:noMultiLvlLbl val="0"/>
      </c:catAx>
      <c:valAx>
        <c:axId val="180572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7221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[Master_List_Of_Injuries_2025_2026 (version 1).xlsx]FA!PivotTable2</c:name>
    <c:fmtId val="3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FA!$B$3:$B$4</c:f>
              <c:strCache>
                <c:ptCount val="1"/>
                <c:pt idx="0">
                  <c:v>FA</c:v>
                </c:pt>
              </c:strCache>
            </c:strRef>
          </c:tx>
          <c:spPr>
            <a:solidFill>
              <a:schemeClr val="accent1"/>
            </a:solidFill>
            <a:ln>
              <a:noFill/>
            </a:ln>
            <a:effectLst/>
          </c:spPr>
          <c:invertIfNegative val="0"/>
          <c:cat>
            <c:strRef>
              <c:f>FA!$A$5:$A$9</c:f>
              <c:strCache>
                <c:ptCount val="4"/>
                <c:pt idx="0">
                  <c:v>7/7/2026</c:v>
                </c:pt>
                <c:pt idx="1">
                  <c:v>7/8/2026</c:v>
                </c:pt>
                <c:pt idx="2">
                  <c:v>7/9/2026</c:v>
                </c:pt>
                <c:pt idx="3">
                  <c:v>7/10/2026</c:v>
                </c:pt>
              </c:strCache>
            </c:strRef>
          </c:cat>
          <c:val>
            <c:numRef>
              <c:f>FA!$B$5:$B$9</c:f>
              <c:numCache>
                <c:formatCode>General</c:formatCode>
                <c:ptCount val="4"/>
                <c:pt idx="0">
                  <c:v>2</c:v>
                </c:pt>
                <c:pt idx="1">
                  <c:v>2</c:v>
                </c:pt>
                <c:pt idx="2">
                  <c:v>4</c:v>
                </c:pt>
                <c:pt idx="3">
                  <c:v>2</c:v>
                </c:pt>
              </c:numCache>
            </c:numRef>
          </c:val>
          <c:extLst>
            <c:ext xmlns:c16="http://schemas.microsoft.com/office/drawing/2014/chart" uri="{C3380CC4-5D6E-409C-BE32-E72D297353CC}">
              <c16:uniqueId val="{00000000-5B69-49DE-B390-DF5F9D079031}"/>
            </c:ext>
          </c:extLst>
        </c:ser>
        <c:ser>
          <c:idx val="1"/>
          <c:order val="1"/>
          <c:tx>
            <c:strRef>
              <c:f>FA!$C$3:$C$4</c:f>
              <c:strCache>
                <c:ptCount val="1"/>
                <c:pt idx="0">
                  <c:v>RPO</c:v>
                </c:pt>
              </c:strCache>
            </c:strRef>
          </c:tx>
          <c:spPr>
            <a:solidFill>
              <a:schemeClr val="accent2"/>
            </a:solidFill>
            <a:ln>
              <a:noFill/>
            </a:ln>
            <a:effectLst/>
          </c:spPr>
          <c:invertIfNegative val="0"/>
          <c:cat>
            <c:strRef>
              <c:f>FA!$A$5:$A$9</c:f>
              <c:strCache>
                <c:ptCount val="4"/>
                <c:pt idx="0">
                  <c:v>7/7/2026</c:v>
                </c:pt>
                <c:pt idx="1">
                  <c:v>7/8/2026</c:v>
                </c:pt>
                <c:pt idx="2">
                  <c:v>7/9/2026</c:v>
                </c:pt>
                <c:pt idx="3">
                  <c:v>7/10/2026</c:v>
                </c:pt>
              </c:strCache>
            </c:strRef>
          </c:cat>
          <c:val>
            <c:numRef>
              <c:f>FA!$C$5:$C$9</c:f>
              <c:numCache>
                <c:formatCode>General</c:formatCode>
                <c:ptCount val="4"/>
                <c:pt idx="0">
                  <c:v>1</c:v>
                </c:pt>
                <c:pt idx="1">
                  <c:v>3</c:v>
                </c:pt>
                <c:pt idx="2">
                  <c:v>1</c:v>
                </c:pt>
                <c:pt idx="3">
                  <c:v>1</c:v>
                </c:pt>
              </c:numCache>
            </c:numRef>
          </c:val>
          <c:extLst>
            <c:ext xmlns:c16="http://schemas.microsoft.com/office/drawing/2014/chart" uri="{C3380CC4-5D6E-409C-BE32-E72D297353CC}">
              <c16:uniqueId val="{00000000-3B79-4A22-9C66-8015D199C660}"/>
            </c:ext>
          </c:extLst>
        </c:ser>
        <c:dLbls>
          <c:showLegendKey val="0"/>
          <c:showVal val="0"/>
          <c:showCatName val="0"/>
          <c:showSerName val="0"/>
          <c:showPercent val="0"/>
          <c:showBubbleSize val="0"/>
        </c:dLbls>
        <c:gapWidth val="219"/>
        <c:overlap val="-27"/>
        <c:axId val="1881064528"/>
        <c:axId val="1881060208"/>
      </c:barChart>
      <c:catAx>
        <c:axId val="188106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60208"/>
        <c:crosses val="autoZero"/>
        <c:auto val="1"/>
        <c:lblAlgn val="ctr"/>
        <c:lblOffset val="100"/>
        <c:noMultiLvlLbl val="0"/>
      </c:catAx>
      <c:valAx>
        <c:axId val="188106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6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Advanced Area Risk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'Supervisor Insights'!$K$15</c:f>
              <c:strCache>
                <c:ptCount val="1"/>
                <c:pt idx="0">
                  <c:v>Risk Score</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'Supervisor Insights'!$A$16:$A$25</c:f>
              <c:numCache>
                <c:formatCode>General</c:formatCode>
                <c:ptCount val="10"/>
                <c:pt idx="0">
                  <c:v>102</c:v>
                </c:pt>
                <c:pt idx="1">
                  <c:v>410</c:v>
                </c:pt>
                <c:pt idx="2">
                  <c:v>420</c:v>
                </c:pt>
                <c:pt idx="3">
                  <c:v>400</c:v>
                </c:pt>
                <c:pt idx="4">
                  <c:v>405</c:v>
                </c:pt>
                <c:pt idx="5">
                  <c:v>109</c:v>
                </c:pt>
                <c:pt idx="6">
                  <c:v>101</c:v>
                </c:pt>
                <c:pt idx="7">
                  <c:v>429</c:v>
                </c:pt>
                <c:pt idx="8">
                  <c:v>106</c:v>
                </c:pt>
                <c:pt idx="9">
                  <c:v>100</c:v>
                </c:pt>
              </c:numCache>
            </c:numRef>
          </c:cat>
          <c:val>
            <c:numRef>
              <c:f>'Supervisor Insights'!$K$16:$K$25</c:f>
              <c:numCache>
                <c:formatCode>0.0</c:formatCode>
                <c:ptCount val="10"/>
                <c:pt idx="0">
                  <c:v>39.4</c:v>
                </c:pt>
                <c:pt idx="1">
                  <c:v>27.8</c:v>
                </c:pt>
                <c:pt idx="2">
                  <c:v>20.9</c:v>
                </c:pt>
                <c:pt idx="3">
                  <c:v>25.6</c:v>
                </c:pt>
                <c:pt idx="4">
                  <c:v>22.1</c:v>
                </c:pt>
                <c:pt idx="5">
                  <c:v>17.899999999999999</c:v>
                </c:pt>
                <c:pt idx="6">
                  <c:v>21.7</c:v>
                </c:pt>
                <c:pt idx="7">
                  <c:v>19.3</c:v>
                </c:pt>
                <c:pt idx="8">
                  <c:v>16.899999999999999</c:v>
                </c:pt>
                <c:pt idx="9">
                  <c:v>19.399999999999999</c:v>
                </c:pt>
              </c:numCache>
            </c:numRef>
          </c:val>
          <c:extLst>
            <c:ext xmlns:c16="http://schemas.microsoft.com/office/drawing/2014/chart" uri="{C3380CC4-5D6E-409C-BE32-E72D297353CC}">
              <c16:uniqueId val="{00000000-6224-433C-B7C0-44786FAAEE8A}"/>
            </c:ext>
          </c:extLst>
        </c:ser>
        <c:dLbls>
          <c:showLegendKey val="0"/>
          <c:showVal val="0"/>
          <c:showCatName val="0"/>
          <c:showSerName val="0"/>
          <c:showPercent val="0"/>
          <c:showBubbleSize val="0"/>
        </c:dLbls>
        <c:gapWidth val="182"/>
        <c:axId val="1330538912"/>
        <c:axId val="1330545632"/>
      </c:barChart>
      <c:catAx>
        <c:axId val="133053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545632"/>
        <c:crosses val="autoZero"/>
        <c:auto val="1"/>
        <c:lblAlgn val="ctr"/>
        <c:lblOffset val="100"/>
        <c:noMultiLvlLbl val="0"/>
      </c:catAx>
      <c:valAx>
        <c:axId val="1330545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Risk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53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Supervisor Momentum: June vs July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'Supervisor Insights'!$F$29</c:f>
              <c:strCache>
                <c:ptCount val="1"/>
                <c:pt idx="0">
                  <c:v>June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'Supervisor Insights'!$A$30:$A$39</c:f>
              <c:strCache>
                <c:ptCount val="10"/>
                <c:pt idx="0">
                  <c:v>Samuel Sierra</c:v>
                </c:pt>
                <c:pt idx="1">
                  <c:v>Elizabeth Neufeld</c:v>
                </c:pt>
                <c:pt idx="2">
                  <c:v>Juan Ramirez</c:v>
                </c:pt>
                <c:pt idx="3">
                  <c:v>Ovidio Sanchez</c:v>
                </c:pt>
                <c:pt idx="4">
                  <c:v>Alex Vargas</c:v>
                </c:pt>
                <c:pt idx="5">
                  <c:v>Diego Soria</c:v>
                </c:pt>
                <c:pt idx="6">
                  <c:v>Christian Lopez</c:v>
                </c:pt>
                <c:pt idx="7">
                  <c:v>Chadu Moua</c:v>
                </c:pt>
                <c:pt idx="8">
                  <c:v>Richard Xiong</c:v>
                </c:pt>
                <c:pt idx="9">
                  <c:v>Rutilo Rodriguez</c:v>
                </c:pt>
              </c:strCache>
            </c:strRef>
          </c:cat>
          <c:val>
            <c:numRef>
              <c:f>'Supervisor Insights'!$F$30:$F$39</c:f>
              <c:numCache>
                <c:formatCode>#,##0</c:formatCode>
                <c:ptCount val="10"/>
                <c:pt idx="0">
                  <c:v>3</c:v>
                </c:pt>
                <c:pt idx="1">
                  <c:v>3</c:v>
                </c:pt>
                <c:pt idx="2">
                  <c:v>4</c:v>
                </c:pt>
                <c:pt idx="3">
                  <c:v>7</c:v>
                </c:pt>
                <c:pt idx="4">
                  <c:v>10</c:v>
                </c:pt>
                <c:pt idx="5">
                  <c:v>2</c:v>
                </c:pt>
                <c:pt idx="6">
                  <c:v>0</c:v>
                </c:pt>
                <c:pt idx="7">
                  <c:v>2</c:v>
                </c:pt>
                <c:pt idx="8">
                  <c:v>6</c:v>
                </c:pt>
                <c:pt idx="9">
                  <c:v>0</c:v>
                </c:pt>
              </c:numCache>
            </c:numRef>
          </c:val>
          <c:extLst>
            <c:ext xmlns:c16="http://schemas.microsoft.com/office/drawing/2014/chart" uri="{C3380CC4-5D6E-409C-BE32-E72D297353CC}">
              <c16:uniqueId val="{00000000-8D11-41A4-A317-C5A742CA1841}"/>
            </c:ext>
          </c:extLst>
        </c:ser>
        <c:ser>
          <c:idx val="1"/>
          <c:order val="1"/>
          <c:tx>
            <c:strRef>
              <c:f>'Supervisor Insights'!$G$29</c:f>
              <c:strCache>
                <c:ptCount val="1"/>
                <c:pt idx="0">
                  <c:v>July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'Supervisor Insights'!$A$30:$A$39</c:f>
              <c:strCache>
                <c:ptCount val="10"/>
                <c:pt idx="0">
                  <c:v>Samuel Sierra</c:v>
                </c:pt>
                <c:pt idx="1">
                  <c:v>Elizabeth Neufeld</c:v>
                </c:pt>
                <c:pt idx="2">
                  <c:v>Juan Ramirez</c:v>
                </c:pt>
                <c:pt idx="3">
                  <c:v>Ovidio Sanchez</c:v>
                </c:pt>
                <c:pt idx="4">
                  <c:v>Alex Vargas</c:v>
                </c:pt>
                <c:pt idx="5">
                  <c:v>Diego Soria</c:v>
                </c:pt>
                <c:pt idx="6">
                  <c:v>Christian Lopez</c:v>
                </c:pt>
                <c:pt idx="7">
                  <c:v>Chadu Moua</c:v>
                </c:pt>
                <c:pt idx="8">
                  <c:v>Richard Xiong</c:v>
                </c:pt>
                <c:pt idx="9">
                  <c:v>Rutilo Rodriguez</c:v>
                </c:pt>
              </c:strCache>
            </c:strRef>
          </c:cat>
          <c:val>
            <c:numRef>
              <c:f>'Supervisor Insights'!$G$30:$G$39</c:f>
              <c:numCache>
                <c:formatCode>#,##0</c:formatCode>
                <c:ptCount val="10"/>
                <c:pt idx="0">
                  <c:v>5</c:v>
                </c:pt>
                <c:pt idx="1">
                  <c:v>4</c:v>
                </c:pt>
                <c:pt idx="2">
                  <c:v>3</c:v>
                </c:pt>
                <c:pt idx="3">
                  <c:v>0</c:v>
                </c:pt>
                <c:pt idx="4">
                  <c:v>7</c:v>
                </c:pt>
                <c:pt idx="5">
                  <c:v>1</c:v>
                </c:pt>
                <c:pt idx="6">
                  <c:v>0</c:v>
                </c:pt>
                <c:pt idx="7">
                  <c:v>2</c:v>
                </c:pt>
                <c:pt idx="8">
                  <c:v>3</c:v>
                </c:pt>
                <c:pt idx="9">
                  <c:v>0</c:v>
                </c:pt>
              </c:numCache>
            </c:numRef>
          </c:val>
          <c:extLst>
            <c:ext xmlns:c16="http://schemas.microsoft.com/office/drawing/2014/chart" uri="{C3380CC4-5D6E-409C-BE32-E72D297353CC}">
              <c16:uniqueId val="{00000001-8D11-41A4-A317-C5A742CA1841}"/>
            </c:ext>
          </c:extLst>
        </c:ser>
        <c:dLbls>
          <c:dLblPos val="outEnd"/>
          <c:showLegendKey val="0"/>
          <c:showVal val="1"/>
          <c:showCatName val="0"/>
          <c:showSerName val="0"/>
          <c:showPercent val="0"/>
          <c:showBubbleSize val="0"/>
        </c:dLbls>
        <c:gapWidth val="219"/>
        <c:overlap val="-27"/>
        <c:axId val="1330548032"/>
        <c:axId val="1330541312"/>
      </c:barChart>
      <c:catAx>
        <c:axId val="133054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541312"/>
        <c:crosses val="autoZero"/>
        <c:auto val="1"/>
        <c:lblAlgn val="ctr"/>
        <c:lblOffset val="100"/>
        <c:noMultiLvlLbl val="0"/>
      </c:catAx>
      <c:valAx>
        <c:axId val="1330541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Incidents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548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Supervisor-Area Pair Counts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'Supervisor Insights'!$N$43</c:f>
              <c:strCache>
                <c:ptCount val="1"/>
                <c:pt idx="0">
                  <c:v>Incidents</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'Supervisor Insights'!$L$44:$L$53</c:f>
              <c:strCache>
                <c:ptCount val="9"/>
                <c:pt idx="0">
                  <c:v>Elizabeth Neufeld</c:v>
                </c:pt>
                <c:pt idx="1">
                  <c:v>Juan Ramirez</c:v>
                </c:pt>
                <c:pt idx="2">
                  <c:v>Ovidio Sanchez</c:v>
                </c:pt>
                <c:pt idx="3">
                  <c:v>Alex Vargas</c:v>
                </c:pt>
                <c:pt idx="4">
                  <c:v>Diego Soria</c:v>
                </c:pt>
                <c:pt idx="5">
                  <c:v>Chadu Moua</c:v>
                </c:pt>
                <c:pt idx="6">
                  <c:v>Samuel Sierra</c:v>
                </c:pt>
                <c:pt idx="7">
                  <c:v>Samuel Sierra</c:v>
                </c:pt>
                <c:pt idx="8">
                  <c:v>Christian Lopez</c:v>
                </c:pt>
              </c:strCache>
            </c:strRef>
          </c:cat>
          <c:val>
            <c:numRef>
              <c:f>'Supervisor Insights'!$N$44:$N$53</c:f>
              <c:numCache>
                <c:formatCode>#,##0</c:formatCode>
                <c:ptCount val="10"/>
                <c:pt idx="0">
                  <c:v>22</c:v>
                </c:pt>
                <c:pt idx="1">
                  <c:v>21</c:v>
                </c:pt>
                <c:pt idx="2">
                  <c:v>21</c:v>
                </c:pt>
                <c:pt idx="3">
                  <c:v>19</c:v>
                </c:pt>
                <c:pt idx="4">
                  <c:v>18</c:v>
                </c:pt>
                <c:pt idx="5">
                  <c:v>14</c:v>
                </c:pt>
                <c:pt idx="6">
                  <c:v>12</c:v>
                </c:pt>
                <c:pt idx="7">
                  <c:v>5</c:v>
                </c:pt>
                <c:pt idx="8">
                  <c:v>4</c:v>
                </c:pt>
              </c:numCache>
            </c:numRef>
          </c:val>
          <c:extLst>
            <c:ext xmlns:c16="http://schemas.microsoft.com/office/drawing/2014/chart" uri="{C3380CC4-5D6E-409C-BE32-E72D297353CC}">
              <c16:uniqueId val="{00000000-396B-4C94-AC53-D696A1E6E89F}"/>
            </c:ext>
          </c:extLst>
        </c:ser>
        <c:dLbls>
          <c:showLegendKey val="0"/>
          <c:showVal val="0"/>
          <c:showCatName val="0"/>
          <c:showSerName val="0"/>
          <c:showPercent val="0"/>
          <c:showBubbleSize val="0"/>
        </c:dLbls>
        <c:gapWidth val="182"/>
        <c:axId val="1991259376"/>
        <c:axId val="1991253616"/>
      </c:barChart>
      <c:catAx>
        <c:axId val="1991259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253616"/>
        <c:crosses val="autoZero"/>
        <c:auto val="1"/>
        <c:lblAlgn val="ctr"/>
        <c:lblOffset val="100"/>
        <c:noMultiLvlLbl val="0"/>
      </c:catAx>
      <c:valAx>
        <c:axId val="19912536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Incidents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25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1304636</xdr:colOff>
      <xdr:row>1</xdr:row>
      <xdr:rowOff>28586</xdr:rowOff>
    </xdr:to>
    <xdr:sp macro="" textlink="">
      <xdr:nvSpPr>
        <xdr:cNvPr id="23" name="TitleMain">
          <a:extLst>
            <a:ext uri="{FF2B5EF4-FFF2-40B4-BE49-F238E27FC236}">
              <a16:creationId xmlns:a16="http://schemas.microsoft.com/office/drawing/2014/main" id="{5BB7468C-E55A-D447-7801-32B957CE3385}"/>
            </a:ext>
          </a:extLst>
        </xdr:cNvPr>
        <xdr:cNvSpPr txBox="1"/>
      </xdr:nvSpPr>
      <xdr:spPr>
        <a:xfrm>
          <a:off x="0" y="0"/>
          <a:ext cx="13132201" cy="467564"/>
        </a:xfrm>
        <a:prstGeom prst="rect">
          <a:avLst/>
        </a:prstGeom>
        <a:solidFill>
          <a:srgbClr val="1F4E78"/>
        </a:solidFill>
        <a:ln>
          <a:solidFill>
            <a:prstClr val="black"/>
          </a:solidFill>
        </a:ln>
      </xdr:spPr>
      <xdr:txBody>
        <a:bodyPr vertOverflow="overflow" vert="horz" wrap="square" rtlCol="0" anchor="t">
          <a:spAutoFit/>
        </a:bodyPr>
        <a:lstStyle/>
        <a:p>
          <a:pPr algn="ctr"/>
          <a:r>
            <a:rPr kumimoji="0" lang="en-US" sz="2200" b="1" i="0" u="none" strike="noStrike" kern="0" cap="none" spc="0" normalizeH="0" baseline="0" noProof="0">
              <a:ln>
                <a:noFill/>
              </a:ln>
              <a:solidFill>
                <a:srgbClr val="FFFFFF"/>
              </a:solidFill>
              <a:effectLst/>
              <a:uLnTx/>
              <a:uFillTx/>
              <a:latin typeface="Segoe UI"/>
              <a:ea typeface="Calibri"/>
              <a:cs typeface="Segoe UI"/>
            </a:rPr>
            <a:t>WORKPLACE SAFETY INCIDENTS  </a:t>
          </a:r>
        </a:p>
      </xdr:txBody>
    </xdr:sp>
    <xdr:clientData/>
  </xdr:twoCellAnchor>
  <xdr:twoCellAnchor>
    <xdr:from>
      <xdr:col>0</xdr:col>
      <xdr:colOff>0</xdr:colOff>
      <xdr:row>1</xdr:row>
      <xdr:rowOff>8082</xdr:rowOff>
    </xdr:from>
    <xdr:to>
      <xdr:col>8</xdr:col>
      <xdr:colOff>1304636</xdr:colOff>
      <xdr:row>1</xdr:row>
      <xdr:rowOff>262082</xdr:rowOff>
    </xdr:to>
    <xdr:sp macro="" textlink="">
      <xdr:nvSpPr>
        <xdr:cNvPr id="24" name="TitleSub">
          <a:extLst>
            <a:ext uri="{FF2B5EF4-FFF2-40B4-BE49-F238E27FC236}">
              <a16:creationId xmlns:a16="http://schemas.microsoft.com/office/drawing/2014/main" id="{D65128E9-43F1-E731-BE86-AF939D3722C5}"/>
            </a:ext>
          </a:extLst>
        </xdr:cNvPr>
        <xdr:cNvSpPr txBox="1"/>
      </xdr:nvSpPr>
      <xdr:spPr>
        <a:xfrm>
          <a:off x="0" y="447060"/>
          <a:ext cx="13132201" cy="254000"/>
        </a:xfrm>
        <a:prstGeom prst="rect">
          <a:avLst/>
        </a:prstGeom>
        <a:solidFill>
          <a:srgbClr val="1F4E78"/>
        </a:solidFill>
        <a:ln>
          <a:solidFill>
            <a:prstClr val="black"/>
          </a:solidFill>
        </a:ln>
      </xdr:spPr>
      <xdr:txBody>
        <a:bodyPr vertOverflow="overflow" vert="horz" wrap="square" rtlCol="0" anchor="t">
          <a:spAutoFit/>
        </a:bodyPr>
        <a:lstStyle/>
        <a:p>
          <a:pPr algn="ctr"/>
          <a:r>
            <a:rPr kumimoji="0" lang="en-US" sz="1200" b="0" i="0" u="none" strike="noStrike" kern="0" cap="none" spc="0" normalizeH="0" baseline="0" noProof="0">
              <a:ln>
                <a:noFill/>
              </a:ln>
              <a:solidFill>
                <a:srgbClr val="D6E6F5"/>
              </a:solidFill>
              <a:effectLst/>
              <a:uLnTx/>
              <a:uFillTx/>
              <a:latin typeface="Segoe UI"/>
              <a:ea typeface="Calibri"/>
              <a:cs typeface="Segoe UI"/>
            </a:rPr>
            <a:t>2025–2026 Incident Performance  ·  Western Valley Meat</a:t>
          </a:r>
        </a:p>
      </xdr:txBody>
    </xdr:sp>
    <xdr:clientData/>
  </xdr:twoCellAnchor>
  <xdr:twoCellAnchor>
    <xdr:from>
      <xdr:col>0</xdr:col>
      <xdr:colOff>36635</xdr:colOff>
      <xdr:row>37</xdr:row>
      <xdr:rowOff>29308</xdr:rowOff>
    </xdr:from>
    <xdr:to>
      <xdr:col>8</xdr:col>
      <xdr:colOff>36635</xdr:colOff>
      <xdr:row>52</xdr:row>
      <xdr:rowOff>29308</xdr:rowOff>
    </xdr:to>
    <xdr:graphicFrame macro="">
      <xdr:nvGraphicFramePr>
        <xdr:cNvPr id="29" name="MonthlyTrend">
          <a:extLst>
            <a:ext uri="{FF2B5EF4-FFF2-40B4-BE49-F238E27FC236}">
              <a16:creationId xmlns:a16="http://schemas.microsoft.com/office/drawing/2014/main" id="{D5FFD0E7-E608-B4AD-D76D-FF557F5D9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22411</xdr:colOff>
      <xdr:row>37</xdr:row>
      <xdr:rowOff>33618</xdr:rowOff>
    </xdr:from>
    <xdr:to>
      <xdr:col>16</xdr:col>
      <xdr:colOff>22411</xdr:colOff>
      <xdr:row>52</xdr:row>
      <xdr:rowOff>33618</xdr:rowOff>
    </xdr:to>
    <xdr:graphicFrame macro="">
      <xdr:nvGraphicFramePr>
        <xdr:cNvPr id="30" name="ESIDonut">
          <a:extLst>
            <a:ext uri="{FF2B5EF4-FFF2-40B4-BE49-F238E27FC236}">
              <a16:creationId xmlns:a16="http://schemas.microsoft.com/office/drawing/2014/main" id="{3DDC5C6A-5C04-8947-C114-DC100B4E2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53</xdr:row>
      <xdr:rowOff>0</xdr:rowOff>
    </xdr:from>
    <xdr:to>
      <xdr:col>8</xdr:col>
      <xdr:colOff>0</xdr:colOff>
      <xdr:row>68</xdr:row>
      <xdr:rowOff>0</xdr:rowOff>
    </xdr:to>
    <xdr:graphicFrame macro="">
      <xdr:nvGraphicFramePr>
        <xdr:cNvPr id="31" name="DeptBar">
          <a:extLst>
            <a:ext uri="{FF2B5EF4-FFF2-40B4-BE49-F238E27FC236}">
              <a16:creationId xmlns:a16="http://schemas.microsoft.com/office/drawing/2014/main" id="{81C571D0-F62E-220B-F28A-F83F358E7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53</xdr:row>
      <xdr:rowOff>0</xdr:rowOff>
    </xdr:from>
    <xdr:to>
      <xdr:col>16</xdr:col>
      <xdr:colOff>0</xdr:colOff>
      <xdr:row>68</xdr:row>
      <xdr:rowOff>0</xdr:rowOff>
    </xdr:to>
    <xdr:graphicFrame macro="">
      <xdr:nvGraphicFramePr>
        <xdr:cNvPr id="32" name="InjuryBar">
          <a:extLst>
            <a:ext uri="{FF2B5EF4-FFF2-40B4-BE49-F238E27FC236}">
              <a16:creationId xmlns:a16="http://schemas.microsoft.com/office/drawing/2014/main" id="{52B7930D-60FA-7B5C-8AEC-B2C28929D0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69</xdr:row>
      <xdr:rowOff>0</xdr:rowOff>
    </xdr:from>
    <xdr:to>
      <xdr:col>8</xdr:col>
      <xdr:colOff>0</xdr:colOff>
      <xdr:row>84</xdr:row>
      <xdr:rowOff>0</xdr:rowOff>
    </xdr:to>
    <xdr:graphicFrame macro="">
      <xdr:nvGraphicFramePr>
        <xdr:cNvPr id="33" name="AreaCol">
          <a:extLst>
            <a:ext uri="{FF2B5EF4-FFF2-40B4-BE49-F238E27FC236}">
              <a16:creationId xmlns:a16="http://schemas.microsoft.com/office/drawing/2014/main" id="{45528B1C-94B9-8D6E-328F-34FDAC028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69</xdr:row>
      <xdr:rowOff>0</xdr:rowOff>
    </xdr:from>
    <xdr:to>
      <xdr:col>16</xdr:col>
      <xdr:colOff>0</xdr:colOff>
      <xdr:row>84</xdr:row>
      <xdr:rowOff>0</xdr:rowOff>
    </xdr:to>
    <xdr:graphicFrame macro="">
      <xdr:nvGraphicFramePr>
        <xdr:cNvPr id="34" name="SupBar">
          <a:extLst>
            <a:ext uri="{FF2B5EF4-FFF2-40B4-BE49-F238E27FC236}">
              <a16:creationId xmlns:a16="http://schemas.microsoft.com/office/drawing/2014/main" id="{661A0DD5-C0BA-36AE-04E1-274D70603D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84</xdr:row>
      <xdr:rowOff>180974</xdr:rowOff>
    </xdr:from>
    <xdr:to>
      <xdr:col>8</xdr:col>
      <xdr:colOff>0</xdr:colOff>
      <xdr:row>99</xdr:row>
      <xdr:rowOff>180974</xdr:rowOff>
    </xdr:to>
    <xdr:graphicFrame macro="">
      <xdr:nvGraphicFramePr>
        <xdr:cNvPr id="35" name="JTPBar">
          <a:extLst>
            <a:ext uri="{FF2B5EF4-FFF2-40B4-BE49-F238E27FC236}">
              <a16:creationId xmlns:a16="http://schemas.microsoft.com/office/drawing/2014/main" id="{AC687C52-0914-99F6-9A19-79F6C5CAB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36576</xdr:colOff>
      <xdr:row>105</xdr:row>
      <xdr:rowOff>92075</xdr:rowOff>
    </xdr:from>
    <xdr:to>
      <xdr:col>8</xdr:col>
      <xdr:colOff>36576</xdr:colOff>
      <xdr:row>123</xdr:row>
      <xdr:rowOff>28575</xdr:rowOff>
    </xdr:to>
    <xdr:graphicFrame macro="">
      <xdr:nvGraphicFramePr>
        <xdr:cNvPr id="3" name="WeeklyTrend">
          <a:extLst>
            <a:ext uri="{FF2B5EF4-FFF2-40B4-BE49-F238E27FC236}">
              <a16:creationId xmlns:a16="http://schemas.microsoft.com/office/drawing/2014/main" id="{2F64805F-7245-8E46-73BF-0C392D944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647700</xdr:colOff>
      <xdr:row>11</xdr:row>
      <xdr:rowOff>66675</xdr:rowOff>
    </xdr:from>
    <xdr:to>
      <xdr:col>8</xdr:col>
      <xdr:colOff>606425</xdr:colOff>
      <xdr:row>26</xdr:row>
      <xdr:rowOff>19050</xdr:rowOff>
    </xdr:to>
    <mc:AlternateContent xmlns:mc="http://schemas.openxmlformats.org/markup-compatibility/2006" xmlns:a14="http://schemas.microsoft.com/office/drawing/2010/main">
      <mc:Choice Requires="a14">
        <xdr:graphicFrame macro="">
          <xdr:nvGraphicFramePr>
            <xdr:cNvPr id="2" name="Month 1">
              <a:extLst>
                <a:ext uri="{FF2B5EF4-FFF2-40B4-BE49-F238E27FC236}">
                  <a16:creationId xmlns:a16="http://schemas.microsoft.com/office/drawing/2014/main" id="{7505422D-2247-95E0-72DF-95822B48F3F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991225" y="20574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838200</xdr:colOff>
      <xdr:row>16</xdr:row>
      <xdr:rowOff>133350</xdr:rowOff>
    </xdr:from>
    <xdr:to>
      <xdr:col>5</xdr:col>
      <xdr:colOff>609600</xdr:colOff>
      <xdr:row>31</xdr:row>
      <xdr:rowOff>92075</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23A1B643-079C-60DD-E058-717A2B8FF63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438525" y="30289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166687</xdr:colOff>
      <xdr:row>2</xdr:row>
      <xdr:rowOff>19050</xdr:rowOff>
    </xdr:from>
    <xdr:to>
      <xdr:col>8</xdr:col>
      <xdr:colOff>242887</xdr:colOff>
      <xdr:row>17</xdr:row>
      <xdr:rowOff>47625</xdr:rowOff>
    </xdr:to>
    <xdr:graphicFrame macro="">
      <xdr:nvGraphicFramePr>
        <xdr:cNvPr id="3" name="Chart 2">
          <a:extLst>
            <a:ext uri="{FF2B5EF4-FFF2-40B4-BE49-F238E27FC236}">
              <a16:creationId xmlns:a16="http://schemas.microsoft.com/office/drawing/2014/main" id="{6AF5D513-1E0A-AABC-E781-FFD341327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952500</xdr:colOff>
      <xdr:row>17</xdr:row>
      <xdr:rowOff>38100</xdr:rowOff>
    </xdr:from>
    <xdr:to>
      <xdr:col>3</xdr:col>
      <xdr:colOff>723900</xdr:colOff>
      <xdr:row>31</xdr:row>
      <xdr:rowOff>171450</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F25AE121-57CA-D1DF-5A09-1951B247644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33575" y="31146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247650</xdr:colOff>
      <xdr:row>6</xdr:row>
      <xdr:rowOff>161925</xdr:rowOff>
    </xdr:from>
    <xdr:to>
      <xdr:col>9</xdr:col>
      <xdr:colOff>190500</xdr:colOff>
      <xdr:row>13</xdr:row>
      <xdr:rowOff>130175</xdr:rowOff>
    </xdr:to>
    <mc:AlternateContent xmlns:mc="http://schemas.openxmlformats.org/markup-compatibility/2006" xmlns:a14="http://schemas.microsoft.com/office/drawing/2010/main">
      <mc:Choice Requires="a14">
        <xdr:graphicFrame macro="">
          <xdr:nvGraphicFramePr>
            <xdr:cNvPr id="2" name="ESI Status">
              <a:extLst>
                <a:ext uri="{FF2B5EF4-FFF2-40B4-BE49-F238E27FC236}">
                  <a16:creationId xmlns:a16="http://schemas.microsoft.com/office/drawing/2014/main" id="{7A88064C-9FF0-56FE-D91C-37A190AFBFC6}"/>
                </a:ext>
              </a:extLst>
            </xdr:cNvPr>
            <xdr:cNvGraphicFramePr/>
          </xdr:nvGraphicFramePr>
          <xdr:xfrm>
            <a:off x="0" y="0"/>
            <a:ext cx="0" cy="0"/>
          </xdr:xfrm>
          <a:graphic>
            <a:graphicData uri="http://schemas.microsoft.com/office/drawing/2010/slicer">
              <sle:slicer xmlns:sle="http://schemas.microsoft.com/office/drawing/2010/slicer" name="ESI Status"/>
            </a:graphicData>
          </a:graphic>
        </xdr:graphicFrame>
      </mc:Choice>
      <mc:Fallback xmlns="">
        <xdr:sp macro="" textlink="">
          <xdr:nvSpPr>
            <xdr:cNvPr id="0" name=""/>
            <xdr:cNvSpPr>
              <a:spLocks noTextEdit="1"/>
            </xdr:cNvSpPr>
          </xdr:nvSpPr>
          <xdr:spPr>
            <a:xfrm>
              <a:off x="6496050" y="1247775"/>
              <a:ext cx="1828800"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42862</xdr:colOff>
      <xdr:row>15</xdr:row>
      <xdr:rowOff>28575</xdr:rowOff>
    </xdr:from>
    <xdr:to>
      <xdr:col>13</xdr:col>
      <xdr:colOff>214312</xdr:colOff>
      <xdr:row>30</xdr:row>
      <xdr:rowOff>57150</xdr:rowOff>
    </xdr:to>
    <xdr:graphicFrame macro="">
      <xdr:nvGraphicFramePr>
        <xdr:cNvPr id="4" name="Chart 3">
          <a:extLst>
            <a:ext uri="{FF2B5EF4-FFF2-40B4-BE49-F238E27FC236}">
              <a16:creationId xmlns:a16="http://schemas.microsoft.com/office/drawing/2014/main" id="{E7FCBFD0-ED13-392D-84D6-650A350F7F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685800</xdr:colOff>
      <xdr:row>1</xdr:row>
      <xdr:rowOff>104775</xdr:rowOff>
    </xdr:from>
    <xdr:to>
      <xdr:col>4</xdr:col>
      <xdr:colOff>511175</xdr:colOff>
      <xdr:row>7</xdr:row>
      <xdr:rowOff>76200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226F7F05-7EE5-3899-3EF4-9D724E5EDF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57500" y="285750"/>
              <a:ext cx="1847850"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523875</xdr:colOff>
      <xdr:row>11</xdr:row>
      <xdr:rowOff>9525</xdr:rowOff>
    </xdr:from>
    <xdr:to>
      <xdr:col>11</xdr:col>
      <xdr:colOff>295275</xdr:colOff>
      <xdr:row>26</xdr:row>
      <xdr:rowOff>38100</xdr:rowOff>
    </xdr:to>
    <xdr:graphicFrame macro="">
      <xdr:nvGraphicFramePr>
        <xdr:cNvPr id="3" name="Chart 2">
          <a:extLst>
            <a:ext uri="{FF2B5EF4-FFF2-40B4-BE49-F238E27FC236}">
              <a16:creationId xmlns:a16="http://schemas.microsoft.com/office/drawing/2014/main" id="{72C7BDAE-99AA-D528-80AE-FF7A5F30F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438150</xdr:colOff>
      <xdr:row>1</xdr:row>
      <xdr:rowOff>95249</xdr:rowOff>
    </xdr:from>
    <xdr:to>
      <xdr:col>15</xdr:col>
      <xdr:colOff>828675</xdr:colOff>
      <xdr:row>21</xdr:row>
      <xdr:rowOff>123825</xdr:rowOff>
    </xdr:to>
    <xdr:graphicFrame macro="">
      <xdr:nvGraphicFramePr>
        <xdr:cNvPr id="2" name="Chart 1">
          <a:extLst>
            <a:ext uri="{FF2B5EF4-FFF2-40B4-BE49-F238E27FC236}">
              <a16:creationId xmlns:a16="http://schemas.microsoft.com/office/drawing/2014/main" id="{38FA6092-A2E1-2C08-3D60-17C59A154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180975</xdr:colOff>
      <xdr:row>7</xdr:row>
      <xdr:rowOff>152400</xdr:rowOff>
    </xdr:from>
    <xdr:to>
      <xdr:col>10</xdr:col>
      <xdr:colOff>581025</xdr:colOff>
      <xdr:row>27</xdr:row>
      <xdr:rowOff>9525</xdr:rowOff>
    </xdr:to>
    <xdr:graphicFrame macro="">
      <xdr:nvGraphicFramePr>
        <xdr:cNvPr id="2" name="Chart 1">
          <a:extLst>
            <a:ext uri="{FF2B5EF4-FFF2-40B4-BE49-F238E27FC236}">
              <a16:creationId xmlns:a16="http://schemas.microsoft.com/office/drawing/2014/main" id="{EE3CD7E4-7F9F-8A52-88C4-C3375B71F2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276225</xdr:colOff>
      <xdr:row>3</xdr:row>
      <xdr:rowOff>76200</xdr:rowOff>
    </xdr:from>
    <xdr:to>
      <xdr:col>13</xdr:col>
      <xdr:colOff>53975</xdr:colOff>
      <xdr:row>18</xdr:row>
      <xdr:rowOff>34925</xdr:rowOff>
    </xdr:to>
    <mc:AlternateContent xmlns:mc="http://schemas.openxmlformats.org/markup-compatibility/2006" xmlns:a14="http://schemas.microsoft.com/office/drawing/2010/main">
      <mc:Choice Requires="a14">
        <xdr:graphicFrame macro="">
          <xdr:nvGraphicFramePr>
            <xdr:cNvPr id="2" name="Supervisor">
              <a:extLst>
                <a:ext uri="{FF2B5EF4-FFF2-40B4-BE49-F238E27FC236}">
                  <a16:creationId xmlns:a16="http://schemas.microsoft.com/office/drawing/2014/main" id="{B5869E18-D2CB-F689-F49D-A3C92699BA6C}"/>
                </a:ext>
              </a:extLst>
            </xdr:cNvPr>
            <xdr:cNvGraphicFramePr/>
          </xdr:nvGraphicFramePr>
          <xdr:xfrm>
            <a:off x="0" y="0"/>
            <a:ext cx="0" cy="0"/>
          </xdr:xfrm>
          <a:graphic>
            <a:graphicData uri="http://schemas.microsoft.com/office/drawing/2010/slicer">
              <sle:slicer xmlns:sle="http://schemas.microsoft.com/office/drawing/2010/slicer" name="Supervisor"/>
            </a:graphicData>
          </a:graphic>
        </xdr:graphicFrame>
      </mc:Choice>
      <mc:Fallback xmlns="">
        <xdr:sp macro="" textlink="">
          <xdr:nvSpPr>
            <xdr:cNvPr id="0" name=""/>
            <xdr:cNvSpPr>
              <a:spLocks noTextEdit="1"/>
            </xdr:cNvSpPr>
          </xdr:nvSpPr>
          <xdr:spPr>
            <a:xfrm>
              <a:off x="4162425" y="6191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76200</xdr:colOff>
      <xdr:row>4</xdr:row>
      <xdr:rowOff>28575</xdr:rowOff>
    </xdr:from>
    <xdr:to>
      <xdr:col>19</xdr:col>
      <xdr:colOff>190500</xdr:colOff>
      <xdr:row>18</xdr:row>
      <xdr:rowOff>168275</xdr:rowOff>
    </xdr:to>
    <mc:AlternateContent xmlns:mc="http://schemas.openxmlformats.org/markup-compatibility/2006" xmlns:a14="http://schemas.microsoft.com/office/drawing/2010/main">
      <mc:Choice Requires="a14">
        <xdr:graphicFrame macro="">
          <xdr:nvGraphicFramePr>
            <xdr:cNvPr id="3" name="Department ">
              <a:extLst>
                <a:ext uri="{FF2B5EF4-FFF2-40B4-BE49-F238E27FC236}">
                  <a16:creationId xmlns:a16="http://schemas.microsoft.com/office/drawing/2014/main" id="{3F15240E-3DE2-6E22-7A91-FD5569B44581}"/>
                </a:ext>
              </a:extLst>
            </xdr:cNvPr>
            <xdr:cNvGraphicFramePr/>
          </xdr:nvGraphicFramePr>
          <xdr:xfrm>
            <a:off x="0" y="0"/>
            <a:ext cx="0" cy="0"/>
          </xdr:xfrm>
          <a:graphic>
            <a:graphicData uri="http://schemas.microsoft.com/office/drawing/2010/slicer">
              <sle:slicer xmlns:sle="http://schemas.microsoft.com/office/drawing/2010/slicer" name="Department "/>
            </a:graphicData>
          </a:graphic>
        </xdr:graphicFrame>
      </mc:Choice>
      <mc:Fallback xmlns="">
        <xdr:sp macro="" textlink="">
          <xdr:nvSpPr>
            <xdr:cNvPr id="0" name=""/>
            <xdr:cNvSpPr>
              <a:spLocks noTextEdit="1"/>
            </xdr:cNvSpPr>
          </xdr:nvSpPr>
          <xdr:spPr>
            <a:xfrm>
              <a:off x="6362700" y="7524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152400</xdr:colOff>
      <xdr:row>4</xdr:row>
      <xdr:rowOff>76200</xdr:rowOff>
    </xdr:from>
    <xdr:to>
      <xdr:col>23</xdr:col>
      <xdr:colOff>34925</xdr:colOff>
      <xdr:row>19</xdr:row>
      <xdr:rowOff>34925</xdr:rowOff>
    </xdr:to>
    <mc:AlternateContent xmlns:mc="http://schemas.openxmlformats.org/markup-compatibility/2006" xmlns:a14="http://schemas.microsoft.com/office/drawing/2010/main">
      <mc:Choice Requires="a14">
        <xdr:graphicFrame macro="">
          <xdr:nvGraphicFramePr>
            <xdr:cNvPr id="4" name="Area">
              <a:extLst>
                <a:ext uri="{FF2B5EF4-FFF2-40B4-BE49-F238E27FC236}">
                  <a16:creationId xmlns:a16="http://schemas.microsoft.com/office/drawing/2014/main" id="{EC71FFE8-06B2-B438-6461-86613F08FF0B}"/>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8496300" y="8001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381000</xdr:colOff>
      <xdr:row>3</xdr:row>
      <xdr:rowOff>171450</xdr:rowOff>
    </xdr:from>
    <xdr:to>
      <xdr:col>25</xdr:col>
      <xdr:colOff>381000</xdr:colOff>
      <xdr:row>18</xdr:row>
      <xdr:rowOff>130175</xdr:rowOff>
    </xdr:to>
    <mc:AlternateContent xmlns:mc="http://schemas.openxmlformats.org/markup-compatibility/2006" xmlns:a14="http://schemas.microsoft.com/office/drawing/2010/main">
      <mc:Choice Requires="a14">
        <xdr:graphicFrame macro="">
          <xdr:nvGraphicFramePr>
            <xdr:cNvPr id="5" name="JTP:">
              <a:extLst>
                <a:ext uri="{FF2B5EF4-FFF2-40B4-BE49-F238E27FC236}">
                  <a16:creationId xmlns:a16="http://schemas.microsoft.com/office/drawing/2014/main" id="{F9A26CE0-67E2-B44C-39BF-46300D6E2882}"/>
                </a:ext>
              </a:extLst>
            </xdr:cNvPr>
            <xdr:cNvGraphicFramePr/>
          </xdr:nvGraphicFramePr>
          <xdr:xfrm>
            <a:off x="0" y="0"/>
            <a:ext cx="0" cy="0"/>
          </xdr:xfrm>
          <a:graphic>
            <a:graphicData uri="http://schemas.microsoft.com/office/drawing/2010/slicer">
              <sle:slicer xmlns:sle="http://schemas.microsoft.com/office/drawing/2010/slicer" name="JTP:"/>
            </a:graphicData>
          </a:graphic>
        </xdr:graphicFrame>
      </mc:Choice>
      <mc:Fallback xmlns="">
        <xdr:sp macro="" textlink="">
          <xdr:nvSpPr>
            <xdr:cNvPr id="0" name=""/>
            <xdr:cNvSpPr>
              <a:spLocks noTextEdit="1"/>
            </xdr:cNvSpPr>
          </xdr:nvSpPr>
          <xdr:spPr>
            <a:xfrm>
              <a:off x="10677525" y="7143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1009650</xdr:colOff>
      <xdr:row>14</xdr:row>
      <xdr:rowOff>161925</xdr:rowOff>
    </xdr:from>
    <xdr:to>
      <xdr:col>13</xdr:col>
      <xdr:colOff>466725</xdr:colOff>
      <xdr:row>30</xdr:row>
      <xdr:rowOff>9525</xdr:rowOff>
    </xdr:to>
    <xdr:graphicFrame macro="">
      <xdr:nvGraphicFramePr>
        <xdr:cNvPr id="9" name="Chart 8">
          <a:extLst>
            <a:ext uri="{FF2B5EF4-FFF2-40B4-BE49-F238E27FC236}">
              <a16:creationId xmlns:a16="http://schemas.microsoft.com/office/drawing/2014/main" id="{F1836B11-217A-7D2D-712F-D9F6FA6EA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65</xdr:row>
      <xdr:rowOff>0</xdr:rowOff>
    </xdr:from>
    <xdr:to>
      <xdr:col>10</xdr:col>
      <xdr:colOff>0</xdr:colOff>
      <xdr:row>80</xdr:row>
      <xdr:rowOff>0</xdr:rowOff>
    </xdr:to>
    <xdr:graphicFrame macro="">
      <xdr:nvGraphicFramePr>
        <xdr:cNvPr id="2" name="Chart 1">
          <a:extLst>
            <a:ext uri="{FF2B5EF4-FFF2-40B4-BE49-F238E27FC236}">
              <a16:creationId xmlns:a16="http://schemas.microsoft.com/office/drawing/2014/main" id="{6B4A840D-77F2-B3EA-0772-E8D8F1A971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81</xdr:row>
      <xdr:rowOff>1</xdr:rowOff>
    </xdr:from>
    <xdr:to>
      <xdr:col>10</xdr:col>
      <xdr:colOff>0</xdr:colOff>
      <xdr:row>96</xdr:row>
      <xdr:rowOff>1</xdr:rowOff>
    </xdr:to>
    <xdr:graphicFrame macro="">
      <xdr:nvGraphicFramePr>
        <xdr:cNvPr id="3" name="Chart 2">
          <a:extLst>
            <a:ext uri="{FF2B5EF4-FFF2-40B4-BE49-F238E27FC236}">
              <a16:creationId xmlns:a16="http://schemas.microsoft.com/office/drawing/2014/main" id="{4A6CAA46-4313-5E1F-8D88-59C50151EC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97</xdr:row>
      <xdr:rowOff>0</xdr:rowOff>
    </xdr:from>
    <xdr:to>
      <xdr:col>10</xdr:col>
      <xdr:colOff>0</xdr:colOff>
      <xdr:row>112</xdr:row>
      <xdr:rowOff>0</xdr:rowOff>
    </xdr:to>
    <xdr:graphicFrame macro="">
      <xdr:nvGraphicFramePr>
        <xdr:cNvPr id="4" name="Chart 3">
          <a:extLst>
            <a:ext uri="{FF2B5EF4-FFF2-40B4-BE49-F238E27FC236}">
              <a16:creationId xmlns:a16="http://schemas.microsoft.com/office/drawing/2014/main" id="{9C156CDC-3ED6-353C-150C-791B4F882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eo Mao" id="{C502EDFC-3593-4CAC-82D7-E03526861914}" userId="S::Leo.Mao@westernvalleymeat.com::662a54fc-25a0-4c19-b89f-f68eaacd15e2"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mnang Mao" refreshedDate="46230.426954745373" createdVersion="8" refreshedVersion="8" minRefreshableVersion="3" recordCount="580" xr:uid="{E51BE629-0B06-4758-B83B-C31AB6E8B15C}">
  <cacheSource type="worksheet">
    <worksheetSource name="Master_List_Of_Injuries"/>
  </cacheSource>
  <cacheFields count="14">
    <cacheField name="Employee Name " numFmtId="0">
      <sharedItems/>
    </cacheField>
    <cacheField name="DOI" numFmtId="14">
      <sharedItems containsSemiMixedTypes="0" containsNonDate="0" containsDate="1" containsString="0" minDate="2025-01-03T00:00:00" maxDate="2026-07-25T00:00:00" count="269">
        <d v="2026-07-24T00:00:00"/>
        <d v="2026-07-23T00:00:00"/>
        <d v="2026-07-22T00:00:00"/>
        <d v="2026-07-21T00:00:00"/>
        <d v="2026-07-20T00:00:00"/>
        <d v="2026-07-17T00:00:00"/>
        <d v="2026-07-15T00:00:00"/>
        <d v="2026-07-14T00:00:00"/>
        <d v="2026-07-13T00:00:00"/>
        <d v="2026-07-10T00:00:00"/>
        <d v="2026-07-09T00:00:00"/>
        <d v="2026-07-08T00:00:00"/>
        <d v="2026-07-07T00:00:00"/>
        <d v="2026-07-03T00:00:00"/>
        <d v="2026-07-02T00:00:00"/>
        <d v="2026-07-01T00:00:00"/>
        <d v="2026-06-30T00:00:00"/>
        <d v="2026-06-29T00:00:00"/>
        <d v="2026-06-26T00:00:00"/>
        <d v="2026-06-25T00:00:00"/>
        <d v="2026-06-24T00:00:00"/>
        <d v="2026-06-23T00:00:00"/>
        <d v="2026-06-22T00:00:00"/>
        <d v="2026-06-19T00:00:00"/>
        <d v="2026-06-18T00:00:00"/>
        <d v="2026-06-16T00:00:00"/>
        <d v="2026-06-15T00:00:00"/>
        <d v="2026-06-12T00:00:00"/>
        <d v="2026-06-11T00:00:00"/>
        <d v="2026-06-10T00:00:00"/>
        <d v="2026-06-09T00:00:00"/>
        <d v="2026-06-08T00:00:00"/>
        <d v="2026-06-05T00:00:00"/>
        <d v="2026-06-04T00:00:00"/>
        <d v="2026-06-03T00:00:00"/>
        <d v="2026-06-02T00:00:00"/>
        <d v="2026-06-01T00:00:00"/>
        <d v="2026-05-29T00:00:00"/>
        <d v="2026-05-28T00:00:00"/>
        <d v="2026-05-27T00:00:00"/>
        <d v="2026-05-26T00:00:00"/>
        <d v="2026-05-22T00:00:00"/>
        <d v="2026-05-21T00:00:00"/>
        <d v="2026-05-19T00:00:00"/>
        <d v="2026-05-14T00:00:00"/>
        <d v="2026-05-13T00:00:00"/>
        <d v="2026-05-12T00:00:00"/>
        <d v="2026-05-08T00:00:00"/>
        <d v="2026-05-07T00:00:00"/>
        <d v="2026-05-06T00:00:00"/>
        <d v="2026-05-05T00:00:00"/>
        <d v="2026-05-01T00:00:00"/>
        <d v="2026-04-29T00:00:00"/>
        <d v="2026-04-28T00:00:00"/>
        <d v="2026-04-24T00:00:00"/>
        <d v="2026-04-23T00:00:00"/>
        <d v="2026-04-22T00:00:00"/>
        <d v="2026-04-21T00:00:00"/>
        <d v="2026-04-17T00:00:00"/>
        <d v="2026-04-16T00:00:00"/>
        <d v="2026-04-15T00:00:00"/>
        <d v="2026-04-14T00:00:00"/>
        <d v="2026-04-10T00:00:00"/>
        <d v="2026-04-09T00:00:00"/>
        <d v="2026-04-08T00:00:00"/>
        <d v="2026-04-07T00:00:00"/>
        <d v="2026-04-03T00:00:00"/>
        <d v="2026-04-02T00:00:00"/>
        <d v="2026-04-01T00:00:00"/>
        <d v="2026-03-31T00:00:00"/>
        <d v="2026-03-30T00:00:00"/>
        <d v="2026-03-27T00:00:00"/>
        <d v="2026-03-24T00:00:00"/>
        <d v="2026-03-23T00:00:00"/>
        <d v="2026-03-20T00:00:00"/>
        <d v="2026-03-19T00:00:00"/>
        <d v="2026-03-17T00:00:00"/>
        <d v="2026-03-13T00:00:00"/>
        <d v="2026-03-11T00:00:00"/>
        <d v="2026-03-10T00:00:00"/>
        <d v="2026-03-06T00:00:00"/>
        <d v="2026-03-05T00:00:00"/>
        <d v="2026-03-04T00:00:00"/>
        <d v="2026-03-03T00:00:00"/>
        <d v="2026-03-02T00:00:00"/>
        <d v="2026-02-27T00:00:00"/>
        <d v="2026-02-26T00:00:00"/>
        <d v="2026-02-25T00:00:00"/>
        <d v="2026-02-24T00:00:00"/>
        <d v="2026-02-23T00:00:00"/>
        <d v="2026-02-20T00:00:00"/>
        <d v="2026-02-19T00:00:00"/>
        <d v="2026-02-18T00:00:00"/>
        <d v="2026-02-17T00:00:00"/>
        <d v="2026-02-16T00:00:00"/>
        <d v="2026-02-13T00:00:00"/>
        <d v="2026-02-12T00:00:00"/>
        <d v="2026-02-10T00:00:00"/>
        <d v="2026-02-06T00:00:00"/>
        <d v="2026-02-05T00:00:00"/>
        <d v="2026-02-04T00:00:00"/>
        <d v="2026-02-02T00:00:00"/>
        <d v="2026-01-28T00:00:00"/>
        <d v="2026-01-27T00:00:00"/>
        <d v="2026-01-26T00:00:00"/>
        <d v="2026-01-23T00:00:00"/>
        <d v="2026-01-22T00:00:00"/>
        <d v="2026-01-21T00:00:00"/>
        <d v="2026-01-20T00:00:00"/>
        <d v="2026-01-16T00:00:00"/>
        <d v="2026-01-14T00:00:00"/>
        <d v="2026-01-12T00:00:00"/>
        <d v="2026-01-09T00:00:00"/>
        <d v="2026-01-08T00:00:00"/>
        <d v="2026-01-07T00:00:00"/>
        <d v="2025-12-31T00:00:00"/>
        <d v="2025-12-30T00:00:00"/>
        <d v="2025-12-29T00:00:00"/>
        <d v="2025-12-24T00:00:00"/>
        <d v="2025-12-23T00:00:00"/>
        <d v="2025-12-22T00:00:00"/>
        <d v="2025-12-19T00:00:00"/>
        <d v="2025-12-18T00:00:00"/>
        <d v="2025-12-16T00:00:00"/>
        <d v="2025-12-15T00:00:00"/>
        <d v="2025-12-12T00:00:00"/>
        <d v="2025-12-11T00:00:00"/>
        <d v="2025-12-10T00:00:00"/>
        <d v="2025-12-09T00:00:00"/>
        <d v="2025-12-08T00:00:00"/>
        <d v="2025-12-05T00:00:00"/>
        <d v="2025-12-04T00:00:00"/>
        <d v="2025-12-03T00:00:00"/>
        <d v="2025-11-28T00:00:00"/>
        <d v="2025-11-26T00:00:00"/>
        <d v="2025-11-25T00:00:00"/>
        <d v="2025-11-24T00:00:00"/>
        <d v="2025-11-21T00:00:00"/>
        <d v="2025-11-20T00:00:00"/>
        <d v="2025-11-19T00:00:00"/>
        <d v="2025-11-14T00:00:00"/>
        <d v="2025-11-12T00:00:00"/>
        <d v="2025-11-11T00:00:00"/>
        <d v="2025-11-07T00:00:00"/>
        <d v="2025-11-06T00:00:00"/>
        <d v="2025-11-04T00:00:00"/>
        <d v="2025-11-03T00:00:00"/>
        <d v="2025-10-31T00:00:00"/>
        <d v="2025-10-30T00:00:00"/>
        <d v="2025-10-28T00:00:00"/>
        <d v="2025-10-24T00:00:00"/>
        <d v="2025-10-23T00:00:00"/>
        <d v="2025-10-22T00:00:00"/>
        <d v="2025-10-21T00:00:00"/>
        <d v="2025-10-17T00:00:00"/>
        <d v="2025-10-16T00:00:00"/>
        <d v="2025-10-15T00:00:00"/>
        <d v="2025-10-14T00:00:00"/>
        <d v="2025-10-10T00:00:00"/>
        <d v="2025-10-08T00:00:00"/>
        <d v="2025-10-07T00:00:00"/>
        <d v="2025-10-03T00:00:00"/>
        <d v="2025-10-02T00:00:00"/>
        <d v="2025-10-01T00:00:00"/>
        <d v="2025-09-30T00:00:00"/>
        <d v="2025-09-26T00:00:00"/>
        <d v="2025-09-25T00:00:00"/>
        <d v="2025-09-23T00:00:00"/>
        <d v="2025-09-19T00:00:00"/>
        <d v="2025-09-18T00:00:00"/>
        <d v="2025-09-16T00:00:00"/>
        <d v="2025-09-12T00:00:00"/>
        <d v="2025-09-11T00:00:00"/>
        <d v="2025-09-09T00:00:00"/>
        <d v="2025-09-05T00:00:00"/>
        <d v="2025-09-04T00:00:00"/>
        <d v="2025-09-03T00:00:00"/>
        <d v="2025-08-27T00:00:00"/>
        <d v="2025-08-26T00:00:00"/>
        <d v="2025-08-21T00:00:00"/>
        <d v="2025-08-20T00:00:00"/>
        <d v="2025-08-15T00:00:00"/>
        <d v="2025-08-13T00:00:00"/>
        <d v="2025-08-07T00:00:00"/>
        <d v="2025-08-06T00:00:00"/>
        <d v="2025-08-05T00:00:00"/>
        <d v="2025-08-01T00:00:00"/>
        <d v="2025-07-31T00:00:00"/>
        <d v="2025-07-23T00:00:00"/>
        <d v="2025-07-18T00:00:00"/>
        <d v="2025-07-17T00:00:00"/>
        <d v="2025-07-16T00:00:00"/>
        <d v="2025-07-15T00:00:00"/>
        <d v="2025-07-11T00:00:00"/>
        <d v="2025-07-10T00:00:00"/>
        <d v="2025-07-08T00:00:00"/>
        <d v="2025-07-07T00:00:00"/>
        <d v="2025-07-03T00:00:00"/>
        <d v="2025-07-02T00:00:00"/>
        <d v="2025-06-26T00:00:00"/>
        <d v="2025-06-18T00:00:00"/>
        <d v="2025-06-17T00:00:00"/>
        <d v="2025-06-13T00:00:00"/>
        <d v="2025-06-12T00:00:00"/>
        <d v="2025-06-11T00:00:00"/>
        <d v="2025-06-10T00:00:00"/>
        <d v="2025-06-06T00:00:00"/>
        <d v="2025-06-03T00:00:00"/>
        <d v="2025-06-02T00:00:00"/>
        <d v="2025-05-30T00:00:00"/>
        <d v="2025-05-29T00:00:00"/>
        <d v="2025-05-28T00:00:00"/>
        <d v="2025-05-22T00:00:00"/>
        <d v="2025-05-21T00:00:00"/>
        <d v="2025-05-20T00:00:00"/>
        <d v="2025-05-16T00:00:00"/>
        <d v="2025-05-15T00:00:00"/>
        <d v="2025-05-14T00:00:00"/>
        <d v="2025-05-07T00:00:00"/>
        <d v="2025-05-06T00:00:00"/>
        <d v="2025-05-02T00:00:00"/>
        <d v="2025-04-29T00:00:00"/>
        <d v="2025-04-25T00:00:00"/>
        <d v="2025-04-24T00:00:00"/>
        <d v="2025-04-22T00:00:00"/>
        <d v="2025-04-18T00:00:00"/>
        <d v="2025-04-11T00:00:00"/>
        <d v="2025-04-09T00:00:00"/>
        <d v="2025-04-08T00:00:00"/>
        <d v="2025-04-04T00:00:00"/>
        <d v="2025-04-03T00:00:00"/>
        <d v="2025-03-28T00:00:00"/>
        <d v="2025-03-25T00:00:00"/>
        <d v="2025-03-21T00:00:00"/>
        <d v="2025-03-20T00:00:00"/>
        <d v="2025-03-19T00:00:00"/>
        <d v="2025-03-14T00:00:00"/>
        <d v="2025-03-12T00:00:00"/>
        <d v="2025-03-11T00:00:00"/>
        <d v="2025-03-07T00:00:00"/>
        <d v="2025-03-06T00:00:00"/>
        <d v="2025-03-05T00:00:00"/>
        <d v="2025-03-04T00:00:00"/>
        <d v="2025-02-28T00:00:00"/>
        <d v="2025-02-27T00:00:00"/>
        <d v="2025-02-25T00:00:00"/>
        <d v="2025-02-23T00:00:00"/>
        <d v="2025-02-21T00:00:00"/>
        <d v="2025-02-19T00:00:00"/>
        <d v="2025-02-14T00:00:00"/>
        <d v="2025-02-12T00:00:00"/>
        <d v="2025-02-07T00:00:00"/>
        <d v="2025-02-06T00:00:00"/>
        <d v="2025-02-05T00:00:00"/>
        <d v="2025-02-04T00:00:00"/>
        <d v="2025-01-30T00:00:00"/>
        <d v="2025-01-28T00:00:00"/>
        <d v="2025-01-24T00:00:00"/>
        <d v="2025-01-23T00:00:00"/>
        <d v="2025-01-21T00:00:00"/>
        <d v="2025-01-17T00:00:00"/>
        <d v="2025-01-16T00:00:00"/>
        <d v="2025-01-15T00:00:00"/>
        <d v="2025-01-14T00:00:00"/>
        <d v="2025-01-10T00:00:00"/>
        <d v="2025-01-09T00:00:00"/>
        <d v="2025-01-08T00:00:00"/>
        <d v="2025-01-07T00:00:00"/>
        <d v="2025-01-03T00:00:00"/>
      </sharedItems>
    </cacheField>
    <cacheField name="Supervisor" numFmtId="0">
      <sharedItems containsBlank="1" count="58">
        <s v="Richard Xiong"/>
        <s v="Jonathan Hernandez"/>
        <s v="Diego Soria"/>
        <s v="Juan Ramirez"/>
        <s v="Marilyn Herrera"/>
        <s v="Alex Vargas"/>
        <s v="Francisco Tapia"/>
        <s v="Christopher Moreno"/>
        <s v="Samuel Sierra"/>
        <s v="Juan Murillo"/>
        <s v="Rene Canas"/>
        <s v="Elizabeth Neufeld"/>
        <s v="Maria Garcia"/>
        <s v="Chadu Moua"/>
        <s v="Michael Orozco"/>
        <s v="Kamran Tavagar"/>
        <s v="Erwin Vega"/>
        <s v="Ovidio Sanchez"/>
        <s v="Juan Carlos Martinez"/>
        <s v="Rutilio Rodriguez"/>
        <s v="Osbaldo Gutierrez"/>
        <s v="Juan Rodriguez"/>
        <s v="Mary Coffee"/>
        <s v="Clara Salazar"/>
        <s v="Christian Lopez"/>
        <s v="Valerena Begay"/>
        <s v="Ray Mascorro"/>
        <s v="Jesus Avila"/>
        <s v="David Zavala"/>
        <s v="Rosia Rosas"/>
        <s v="Rayomond Corrales"/>
        <s v="Carlos Mata"/>
        <s v="Juan Martinez"/>
        <s v="Froy Rios"/>
        <s v="Jarrod Villareal"/>
        <s v="Edwin Vega"/>
        <s v="Suky"/>
        <s v="Manuel Alanis"/>
        <s v="Raymond Trevino"/>
        <s v="Veronica Figueroa"/>
        <s v="Spencer H"/>
        <m u="1"/>
        <s v="Rutilio Rodriguez " u="1"/>
        <s v="Marilyn  Herrera" u="1"/>
        <s v="Marry Coffe" u="1"/>
        <s v="Rutilo Rodriguez" u="1"/>
        <s v="Samual Sirra" u="1"/>
        <s v="Michael Orosco" u="1"/>
        <s v="Remy Canas" u="1"/>
        <s v="Kamran" u="1"/>
        <s v="Micheal Orozco" u="1"/>
        <s v="Reme Canas" u="1"/>
        <s v="Samual Sirra " u="1"/>
        <s v="Rutilo Rodriguez " u="1"/>
        <s v="Michael Orosco " u="1"/>
        <s v="Kamran " u="1"/>
        <s v="Remi Canas_x000a_Spencer Hagerty" u="1"/>
        <s v="Fransisco Tapia" u="1"/>
      </sharedItems>
    </cacheField>
    <cacheField name="Department " numFmtId="0">
      <sharedItems containsBlank="1" count="15">
        <s v="Harvest"/>
        <s v="Maintenance"/>
        <s v="Fabrication"/>
        <s v="Corrals"/>
        <s v="Loading Dock"/>
        <s v="Buildings &amp; Grounds"/>
        <s v="Utilities"/>
        <s v="FSQA"/>
        <s v="Outside Clean Up"/>
        <s v="Warehouse"/>
        <s v="Maintnances"/>
        <s v="WH"/>
        <s v="Recycling"/>
        <m u="1"/>
        <s v="Fab FSQA" u="1"/>
      </sharedItems>
    </cacheField>
    <cacheField name="Area" numFmtId="0">
      <sharedItems containsMixedTypes="1" containsNumber="1" containsInteger="1" minValue="100" maxValue="447" count="59">
        <s v="101"/>
        <s v="Maintenance"/>
        <s v="405"/>
        <s v="410"/>
        <s v="100"/>
        <s v="102"/>
        <s v="Loading Dock"/>
        <s v="B&amp;G"/>
        <s v="109"/>
        <s v="Utilities"/>
        <s v="Fab FSQA"/>
        <s v="420"/>
        <s v="110"/>
        <s v="107"/>
        <s v="447"/>
        <s v="429"/>
        <s v="105"/>
        <s v="124"/>
        <s v="400"/>
        <s v="106"/>
        <s v="104"/>
        <s v="415"/>
        <s v="Outside Clean Up"/>
        <s v="NA"/>
        <s v="FSQA"/>
        <s v="103"/>
        <s v="Warehouse"/>
        <s v="Coolers"/>
        <s v="445"/>
        <s v="Blood Room"/>
        <s v="Knife Room"/>
        <s v="Electrician"/>
        <s v="111"/>
        <s v="Corrals 100"/>
        <s v="Training Dept."/>
        <s v="Harvest Maint"/>
        <s v="QA"/>
        <s v="Trainer"/>
        <s v="BG"/>
        <n v="405" u="1"/>
        <n v="410" u="1"/>
        <n v="101" u="1"/>
        <n v="100" u="1"/>
        <n v="102" u="1"/>
        <n v="109" u="1"/>
        <n v="420" u="1"/>
        <n v="110" u="1"/>
        <n v="107" u="1"/>
        <n v="447" u="1"/>
        <n v="429" u="1"/>
        <n v="105" u="1"/>
        <n v="124" u="1"/>
        <n v="400" u="1"/>
        <n v="106" u="1"/>
        <n v="104" u="1"/>
        <n v="415" u="1"/>
        <n v="103" u="1"/>
        <n v="445" u="1"/>
        <n v="111" u="1"/>
      </sharedItems>
    </cacheField>
    <cacheField name="JTP:" numFmtId="0">
      <sharedItems containsMixedTypes="1" containsNumber="1" containsInteger="1" minValue="107" maxValue="107" count="265">
        <s v="Shackler"/>
        <s v="Electrician"/>
        <s v="Whizzard Knife Op. "/>
        <s v="Chuck Boner "/>
        <s v="2nd Hock Hang Off"/>
        <s v="Herdsman"/>
        <s v="Calf Skinner"/>
        <s v="2nd Hock Cutter"/>
        <s v="Stacker"/>
        <s v="Wax Papper Remover"/>
        <s v="B&amp;G Maintenace"/>
        <s v="Kidney Pack Off"/>
        <s v="Utilility - Maintenance"/>
        <s v="QA Tech"/>
        <s v="New York Boner"/>
        <s v="Cooler Pack Off"/>
        <s v="Sorter"/>
        <s v="Cheek Deboner"/>
        <s v="Offal Floater"/>
        <s v="Pack Off"/>
        <s v="Glue Boxer"/>
        <s v="Whizzard Knife Operator"/>
        <s v="Housekeeping"/>
        <s v="2nd Shank Cutter"/>
        <s v="Split Saw Operator"/>
        <s v="FAB Maintenance Lead"/>
        <s v="Strip Trimmer"/>
        <s v="Carcass Tagger"/>
        <s v="Cattle Pusher"/>
        <s v="Tender Trimmer"/>
        <s v="Trim Roamer"/>
        <s v="Tail Cut Hang"/>
        <s v="Tender Puller"/>
        <s v="Cooler Lead"/>
        <s v="Cooler Coordinator"/>
        <s v="Gutter"/>
        <s v="Bone Packer"/>
        <s v="Scale Operator"/>
        <s v="Bung Capper"/>
        <s v="Flap Meat Trimmer"/>
        <s v="Plate Boner"/>
        <s v="Clean Up"/>
        <s v="Maintenance Lead"/>
        <s v="SRM Removal"/>
        <s v="Cooler Cordinator"/>
        <s v="Aitch Boner"/>
        <s v="Maintenance"/>
        <s v="Tail Knotch"/>
        <s v="Chine Saw "/>
        <s v="Round Strip Trimmer"/>
        <s v="Meat Master Op. "/>
        <s v="Shank Bonner"/>
        <s v="NA - Subtask"/>
        <s v="Tripe Pack Off"/>
        <s v="Circular Saw"/>
        <s v="Cooler Clean Up"/>
        <s v="Tongue Dropper"/>
        <s v="Chuck Roller"/>
        <s v="Spinal Cord Remover"/>
        <s v="Lowrator"/>
        <s v="Maintenance "/>
        <s v="Deffect Trimmer (Inner)"/>
        <s v="NA"/>
        <s v="Brisket Boner"/>
        <s v="Udder Remover"/>
        <s v="Eartagger"/>
        <s v="1st Gutter"/>
        <s v="Outside Clean Up"/>
        <s v="Saw Helper"/>
        <s v="Wing Dropper"/>
        <s v="X-Ray Op. "/>
        <s v="Fajitas"/>
        <s v="2nd Hang Off"/>
        <s v="Forklift Op"/>
        <s v="Hang Heart &amp; Liver"/>
        <s v="Trimmer - Upgrade"/>
        <s v="Chisler "/>
        <s v="Knuckle Puller"/>
        <s v="Clod Puller"/>
        <s v="Brisket Puller"/>
        <s v="Round Dropper"/>
        <s v="Intestine Stripper"/>
        <s v="Rib Bonner"/>
        <s v="Kidney Remover"/>
        <s v="Loin Puller"/>
        <s v="Paper Knock Hole"/>
        <s v="FSQA Lab Tech"/>
        <s v="Trimmer Top Butt"/>
        <s v="Brisket Dropper"/>
        <s v="Tednderloin Puller"/>
        <s v="Knife Room Lead"/>
        <s v="Bone Saw"/>
        <s v="Air Knife Sharpener"/>
        <s v="Six Shooter"/>
        <s v="Ox Tail Packer"/>
        <s v="Front Mark Pattern"/>
        <s v="Head Trimmer"/>
        <s v="Pallet Jack Op. "/>
        <s v="2nd Top Flanker"/>
        <s v="Gullet Bagger"/>
        <s v="Loin Tail Puller"/>
        <s v="Deffect Trimmer "/>
        <s v="Tail and Kidney Remober"/>
        <s v="Short Rib Bonner"/>
        <s v="Trimmer"/>
        <s v="Lead "/>
        <s v="Knife Sharpner"/>
        <s v="Product Sorter"/>
        <s v="Whizzard Knife Op."/>
        <s v="Lead  "/>
        <s v="Harvest Maintenance"/>
        <s v="Tail Notch"/>
        <s v="Split Lips"/>
        <s v="Whizzard Kinfe Op. "/>
        <s v="PAA Sprayer"/>
        <s v="Strip Bonner"/>
        <s v="Top Trimmer"/>
        <s v="Flat Trimmer"/>
        <s v="Maintenance Clerk"/>
        <s v="Lip Opener"/>
        <s v="Supervisor"/>
        <s v="106 - Roamer"/>
        <s v="Head Chain Trimmer"/>
        <s v="Tendon Collector"/>
        <s v="Saw Operator "/>
        <s v="Lugger"/>
        <s v="Lactic Acid Sprayer"/>
        <s v="Sirloin Trimmer"/>
        <s v="Warehouse Supervisor"/>
        <s v="Purchasing Agent"/>
        <s v="Lead Forklift"/>
        <s v="Whizzard Op Head Table"/>
        <s v="Head Flush"/>
        <s v="Tail Pack Off"/>
        <s v="Pre Gutter"/>
        <s v="100 - Roamer"/>
        <s v="Lowbacker"/>
        <s v="Pack Off  "/>
        <s v="Pack Off Lead"/>
        <s v="Palletizer"/>
        <s v="Carcass Pusher"/>
        <s v="Pre - Udder"/>
        <s v="Trim Sorter"/>
        <s v="Blade Meat"/>
        <s v="Hock Trimmer"/>
        <s v="Blood Room Op."/>
        <s v="Bagger"/>
        <s v="Top Butt Trimmer"/>
        <s v="Chuck Hanger"/>
        <s v="Herdsman Clerk"/>
        <s v="Whizzard Knife Op - Button Boner"/>
        <s v="Paddle Boner"/>
        <s v="Trim Shanks"/>
        <s v="Pallertizer"/>
        <s v="Loading Dock Lead"/>
        <s v="107"/>
        <s v="Head Splitter"/>
        <s v="Cooler Pusher"/>
        <s v="Deffect Trimmer"/>
        <s v="Lactic Acid Spray"/>
        <s v="Whizzard Op. "/>
        <s v="Brisket Saw Op"/>
        <s v="Fajita Skinner"/>
        <s v="Top Boner"/>
        <s v="Herdsman   "/>
        <s v="Forklift Op. "/>
        <s v="Cheek Pack Off"/>
        <s v="1st Air Knife"/>
        <s v="Fab Supervisor"/>
        <s v="Chisler"/>
        <s v="Anyl Ray Op. "/>
        <s v="Strike By Cattle"/>
        <s v="Head Dropper"/>
        <s v="Box Loader"/>
        <s v="Hock Cutter"/>
        <s v="Chine Saw Rib"/>
        <s v="Lead"/>
        <s v="Utilities Op. "/>
        <s v="Shackler "/>
        <s v="Packaging"/>
        <s v="FSQA Tech"/>
        <s v="X-Ray Reject"/>
        <s v="4 Bone"/>
        <s v="Cattle Pusher "/>
        <s v="Receiving"/>
        <s v="Tail Nothcer"/>
        <s v="Tonsil Remover"/>
        <s v="Aitch Bonner"/>
        <s v="2nd COD"/>
        <s v="USDA Rail Out"/>
        <s v="100% Trimmer"/>
        <s v="Saw Operator"/>
        <s v="Shank Rib Bonner"/>
        <s v="Lowerator"/>
        <s v="Herdsman Lead"/>
        <s v="Dung Trimmer"/>
        <s v="Spinal Vac Remover"/>
        <s v="Offal Lead"/>
        <s v="SRM Remover"/>
        <s v="Chuck Bonner"/>
        <s v="Tripe Process"/>
        <s v="Wash Tails"/>
        <s v="Cheeker"/>
        <s v="Check Boner"/>
        <s v="Split Saw Op. "/>
        <s v="Bin Maker"/>
        <s v="Dog Food Saver"/>
        <s v="Chuck Short Rib"/>
        <s v="2nd Spinal Cord Vacuum"/>
        <s v="Toungue Dropper"/>
        <s v="Paunch Puller"/>
        <s v="Trimmer Upgrade"/>
        <s v="Rendering"/>
        <s v="Tail Remover"/>
        <s v="Paddle Bonner"/>
        <s v="Outside Lead"/>
        <s v="Machine Op. "/>
        <s v="Bone Saw Op. "/>
        <s v="Tripe Wash"/>
        <s v="Aitch Bone Saw"/>
        <s v="Schackler"/>
        <s v="Rib Eye"/>
        <s v="Fajita Puller"/>
        <s v="Trim Bonner"/>
        <s v="Knife Sharpener"/>
        <s v="Flank Trimmer"/>
        <s v="Heart Precenter"/>
        <s v="QA"/>
        <s v="2nd Legger"/>
        <s v="Liver Pack Off"/>
        <s v="1st Butter/ Air Knife"/>
        <s v="Pre - Gutter"/>
        <s v="Box Maker"/>
        <s v="Pauch Puller"/>
        <s v="Diffect Trimmer "/>
        <s v="Bone New York"/>
        <s v="Wiz. Op. "/>
        <s v="Final Trim"/>
        <s v="Rib Tester? "/>
        <s v="Front Shank Boner"/>
        <s v="Rib Chine Saw"/>
        <s v="Brisket Wiz. Op. "/>
        <s v="Ox Tail Wash"/>
        <s v="CO2 Injector"/>
        <s v="Glift Mechanic"/>
        <s v="3 Bonner"/>
        <s v="Diffect Trimmer K"/>
        <s v="Goat Truck Driver"/>
        <s v="Intestine Pack Off"/>
        <s v="Paper Remvoer"/>
        <s v="Paper Knock Holes"/>
        <s v="Skinner Bull Head"/>
        <s v="Wesand Rod"/>
        <s v="FSQA"/>
        <s v="Flanlter"/>
        <s v="Bone Sorter"/>
        <s v="Low Backer"/>
        <s v="Boxing"/>
        <s v="Sharpener"/>
        <s v="X-Ray"/>
        <s v="Air Knife"/>
        <s v="Scanner"/>
        <s v="CIS Operator"/>
        <s v="Knock Hole"/>
        <n v="107" u="1"/>
      </sharedItems>
    </cacheField>
    <cacheField name="Injury/Illness Type" numFmtId="0">
      <sharedItems containsBlank="1" count="74">
        <s v="Foreign Object "/>
        <s v="Electric Shock"/>
        <s v="Strain"/>
        <s v="Struck By-Against Object"/>
        <s v="Slip, Trip, &amp; Fall"/>
        <s v="Struck By Cattle"/>
        <s v="Abrasion"/>
        <s v="Rash"/>
        <s v="Burn"/>
        <s v="Struck by against object"/>
        <s v="Puncture"/>
        <s v="Insect Bite/ Sting"/>
        <s v="Struck by Equipment"/>
        <s v="No Injury"/>
        <s v="Inhalation / Reaction"/>
        <s v="Crush Injury"/>
        <s v="Crush Injury "/>
        <s v="Falling Objects"/>
        <s v="Laceration"/>
        <s v="Contact Stess"/>
        <s v="Struck by - against object"/>
        <s v="Strain "/>
        <s v="Sprain"/>
        <s v="Pinch Point - Caught In"/>
        <s v="Reaction "/>
        <s v="Awkward Posture"/>
        <s v="NA - Stress"/>
        <s v="Contusion "/>
        <s v="Inhalation"/>
        <s v="Pinch-Point"/>
        <s v="Box Maker"/>
        <s v="Foreign boby in eye"/>
        <s v="Falling Object"/>
        <s v="Violance / Assault"/>
        <s v="Stike against object"/>
        <s v="Struck By Object"/>
        <s v="Strike by Cattle"/>
        <s v="Abrasion "/>
        <s v="Contusions"/>
        <s v="Struck by falling object"/>
        <s v="Strike-by Against Object"/>
        <s v="Contact Stress"/>
        <s v="Rash "/>
        <s v="Repetition"/>
        <s v="Pinch"/>
        <s v="Struck By MPE"/>
        <s v="Heat Prostration"/>
        <s v="Burn "/>
        <s v="Struck-by Against Object"/>
        <s v="Struck"/>
        <s v="Insect Sting"/>
        <s v="Bending"/>
        <m/>
        <s v="Impact? "/>
        <s v="Struck By- Against Object"/>
        <s v="Above Shoulder Work"/>
        <s v="Inhalation "/>
        <s v="Struck-by- against Object"/>
        <s v="Crush"/>
        <s v="Vibration "/>
        <s v="Struck-by equipment"/>
        <s v="NA"/>
        <s v="Foreign Object" u="1"/>
        <s v="Reaction" u="1"/>
        <s v="Contusion" u="1"/>
        <s v="Impact?" u="1"/>
        <s v="Vibration" u="1"/>
        <s v="Slip, Trip, and Fall" u="1"/>
        <s v="Foreign Object in Eye" u="1"/>
        <s v="Strian" u="1"/>
        <s v="Fall From Elevation" u="1"/>
        <s v="Struck By/Against Object" u="1"/>
        <s v="Struck " u="1"/>
        <s v="Head Flush" u="1"/>
      </sharedItems>
    </cacheField>
    <cacheField name="Body Location" numFmtId="0">
      <sharedItems containsBlank="1"/>
    </cacheField>
    <cacheField name="ESI Status" numFmtId="0">
      <sharedItems containsBlank="1" count="4">
        <s v="FA"/>
        <s v="RPO"/>
        <s v="RECORDABLE"/>
        <m u="1"/>
      </sharedItems>
    </cacheField>
    <cacheField name="Status" numFmtId="0">
      <sharedItems containsBlank="1"/>
    </cacheField>
    <cacheField name="Month" numFmtId="0">
      <sharedItems containsBlank="1" count="13">
        <s v="July"/>
        <s v="June"/>
        <s v="May"/>
        <s v="April"/>
        <s v="March"/>
        <s v="February"/>
        <s v="January"/>
        <s v="December"/>
        <s v="November"/>
        <s v="October"/>
        <s v="September"/>
        <s v="August"/>
        <m u="1"/>
      </sharedItems>
    </cacheField>
    <cacheField name="Recordable_Flag" numFmtId="0">
      <sharedItems/>
    </cacheField>
    <cacheField name="Year" numFmtId="0">
      <sharedItems containsSemiMixedTypes="0" containsString="0" containsNumber="1" containsInteger="1" minValue="206" maxValue="2026" count="4">
        <n v="2026"/>
        <n v="2025"/>
        <n v="206" u="1"/>
        <n v="2023" u="1"/>
      </sharedItems>
    </cacheField>
    <cacheField name="Month.1" numFmtId="0">
      <sharedItems containsBlank="1" count="13">
        <s v="July"/>
        <s v="June"/>
        <s v="May"/>
        <s v="April"/>
        <s v="March"/>
        <s v="February"/>
        <s v="January"/>
        <s v="December"/>
        <s v="November"/>
        <s v="October"/>
        <s v="September"/>
        <s v="August"/>
        <m u="1"/>
      </sharedItems>
    </cacheField>
  </cacheFields>
  <extLst>
    <ext xmlns:x14="http://schemas.microsoft.com/office/spreadsheetml/2009/9/main" uri="{725AE2AE-9491-48be-B2B4-4EB974FC3084}">
      <x14:pivotCacheDefinition pivotCacheId="4775147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0">
  <r>
    <s v="Joseph Gomez"/>
    <x v="0"/>
    <x v="0"/>
    <x v="0"/>
    <x v="0"/>
    <x v="0"/>
    <x v="0"/>
    <s v="LT - Eye"/>
    <x v="0"/>
    <m/>
    <x v="0"/>
    <s v="No"/>
    <x v="0"/>
    <x v="0"/>
  </r>
  <r>
    <s v="Ceasar Saldana"/>
    <x v="1"/>
    <x v="1"/>
    <x v="1"/>
    <x v="1"/>
    <x v="1"/>
    <x v="1"/>
    <s v="LT - Hand &amp; Forearm"/>
    <x v="1"/>
    <m/>
    <x v="0"/>
    <s v="No"/>
    <x v="0"/>
    <x v="0"/>
  </r>
  <r>
    <s v="Irma Ortega"/>
    <x v="2"/>
    <x v="2"/>
    <x v="2"/>
    <x v="2"/>
    <x v="2"/>
    <x v="2"/>
    <s v="RT - Wrist"/>
    <x v="0"/>
    <s v="Close"/>
    <x v="0"/>
    <s v="No"/>
    <x v="0"/>
    <x v="0"/>
  </r>
  <r>
    <s v="Noe Frage Ruiz"/>
    <x v="2"/>
    <x v="3"/>
    <x v="2"/>
    <x v="3"/>
    <x v="3"/>
    <x v="3"/>
    <s v="LT - Thumb"/>
    <x v="1"/>
    <s v="Close"/>
    <x v="0"/>
    <s v="No"/>
    <x v="0"/>
    <x v="0"/>
  </r>
  <r>
    <s v="Ramon Garcia"/>
    <x v="2"/>
    <x v="0"/>
    <x v="0"/>
    <x v="0"/>
    <x v="4"/>
    <x v="4"/>
    <s v="NA"/>
    <x v="1"/>
    <s v="Close"/>
    <x v="0"/>
    <s v="No"/>
    <x v="0"/>
    <x v="0"/>
  </r>
  <r>
    <s v="Jesus Bernal "/>
    <x v="3"/>
    <x v="4"/>
    <x v="3"/>
    <x v="4"/>
    <x v="5"/>
    <x v="5"/>
    <s v="RT - Shin/ Calf"/>
    <x v="0"/>
    <s v="Close"/>
    <x v="0"/>
    <s v="No"/>
    <x v="0"/>
    <x v="0"/>
  </r>
  <r>
    <s v="Rudy Ramos"/>
    <x v="3"/>
    <x v="0"/>
    <x v="0"/>
    <x v="0"/>
    <x v="6"/>
    <x v="6"/>
    <s v="RT - Ring Finger"/>
    <x v="0"/>
    <s v="Close"/>
    <x v="0"/>
    <s v="No"/>
    <x v="0"/>
    <x v="0"/>
  </r>
  <r>
    <s v="Rosalba Oseguera Mendez"/>
    <x v="4"/>
    <x v="5"/>
    <x v="0"/>
    <x v="5"/>
    <x v="7"/>
    <x v="2"/>
    <s v="RT - Index Finger &amp; Elbow"/>
    <x v="0"/>
    <s v="Close"/>
    <x v="0"/>
    <s v="No"/>
    <x v="0"/>
    <x v="0"/>
  </r>
  <r>
    <s v="Christopher Diaz"/>
    <x v="5"/>
    <x v="6"/>
    <x v="4"/>
    <x v="6"/>
    <x v="8"/>
    <x v="2"/>
    <s v="RT - Elbow"/>
    <x v="0"/>
    <s v="Close"/>
    <x v="0"/>
    <s v="No"/>
    <x v="0"/>
    <x v="0"/>
  </r>
  <r>
    <s v="Eduardo Contreras"/>
    <x v="6"/>
    <x v="5"/>
    <x v="0"/>
    <x v="5"/>
    <x v="9"/>
    <x v="7"/>
    <s v="LT - Forearm"/>
    <x v="0"/>
    <s v="Close"/>
    <x v="0"/>
    <s v="No"/>
    <x v="0"/>
    <x v="0"/>
  </r>
  <r>
    <s v="Carlos Roman"/>
    <x v="7"/>
    <x v="7"/>
    <x v="5"/>
    <x v="7"/>
    <x v="10"/>
    <x v="3"/>
    <s v="RT - Thumb"/>
    <x v="0"/>
    <s v="Close"/>
    <x v="0"/>
    <s v="No"/>
    <x v="0"/>
    <x v="0"/>
  </r>
  <r>
    <s v="Maria Figueroa"/>
    <x v="7"/>
    <x v="8"/>
    <x v="0"/>
    <x v="8"/>
    <x v="11"/>
    <x v="8"/>
    <s v="RT - Forearm"/>
    <x v="1"/>
    <s v="Close"/>
    <x v="0"/>
    <s v="No"/>
    <x v="0"/>
    <x v="0"/>
  </r>
  <r>
    <s v="Ezequiel Ambriz"/>
    <x v="7"/>
    <x v="9"/>
    <x v="6"/>
    <x v="9"/>
    <x v="12"/>
    <x v="8"/>
    <s v="RT - Forearm"/>
    <x v="0"/>
    <s v="Close"/>
    <x v="0"/>
    <s v="No"/>
    <x v="0"/>
    <x v="0"/>
  </r>
  <r>
    <s v="Jonny Garcia"/>
    <x v="7"/>
    <x v="4"/>
    <x v="3"/>
    <x v="4"/>
    <x v="5"/>
    <x v="5"/>
    <s v="RT - Calf/ Shin"/>
    <x v="1"/>
    <s v="Close"/>
    <x v="0"/>
    <s v="No"/>
    <x v="0"/>
    <x v="0"/>
  </r>
  <r>
    <s v="Richie Glass"/>
    <x v="8"/>
    <x v="10"/>
    <x v="7"/>
    <x v="10"/>
    <x v="13"/>
    <x v="4"/>
    <s v="No Injury"/>
    <x v="1"/>
    <s v="Close"/>
    <x v="0"/>
    <s v="No"/>
    <x v="0"/>
    <x v="0"/>
  </r>
  <r>
    <s v="Michael Montelongo"/>
    <x v="9"/>
    <x v="11"/>
    <x v="2"/>
    <x v="11"/>
    <x v="14"/>
    <x v="2"/>
    <s v="RT - Wrist"/>
    <x v="0"/>
    <s v="Close"/>
    <x v="0"/>
    <s v="No"/>
    <x v="0"/>
    <x v="0"/>
  </r>
  <r>
    <s v="Rudy Gallegos"/>
    <x v="9"/>
    <x v="8"/>
    <x v="0"/>
    <x v="12"/>
    <x v="15"/>
    <x v="9"/>
    <s v="RT - Thumb"/>
    <x v="0"/>
    <s v="Close"/>
    <x v="0"/>
    <s v="No"/>
    <x v="0"/>
    <x v="0"/>
  </r>
  <r>
    <s v="Osbaldo Santiago"/>
    <x v="9"/>
    <x v="5"/>
    <x v="0"/>
    <x v="5"/>
    <x v="2"/>
    <x v="2"/>
    <s v="RT - Ring Finger"/>
    <x v="1"/>
    <s v="Close"/>
    <x v="0"/>
    <s v="No"/>
    <x v="0"/>
    <x v="0"/>
  </r>
  <r>
    <s v="Claudia Estrada Cruz"/>
    <x v="10"/>
    <x v="11"/>
    <x v="2"/>
    <x v="11"/>
    <x v="16"/>
    <x v="10"/>
    <s v="LT - Palm"/>
    <x v="0"/>
    <s v="Close"/>
    <x v="0"/>
    <s v="No"/>
    <x v="0"/>
    <x v="0"/>
  </r>
  <r>
    <s v="Jonathan Campas"/>
    <x v="10"/>
    <x v="8"/>
    <x v="0"/>
    <x v="13"/>
    <x v="17"/>
    <x v="0"/>
    <s v="RT - Eye"/>
    <x v="0"/>
    <s v="Close"/>
    <x v="0"/>
    <s v="No"/>
    <x v="0"/>
    <x v="0"/>
  </r>
  <r>
    <s v="Daisy Sotelo"/>
    <x v="10"/>
    <x v="8"/>
    <x v="0"/>
    <x v="8"/>
    <x v="18"/>
    <x v="2"/>
    <s v="RT - Ring Finger"/>
    <x v="0"/>
    <s v="Close"/>
    <x v="0"/>
    <s v="No"/>
    <x v="0"/>
    <x v="0"/>
  </r>
  <r>
    <s v="Mason Ojeda"/>
    <x v="10"/>
    <x v="4"/>
    <x v="3"/>
    <x v="4"/>
    <x v="5"/>
    <x v="0"/>
    <s v="LT - Eye"/>
    <x v="1"/>
    <s v="Close"/>
    <x v="0"/>
    <s v="No"/>
    <x v="0"/>
    <x v="0"/>
  </r>
  <r>
    <s v="Pisperema Amaya"/>
    <x v="10"/>
    <x v="8"/>
    <x v="0"/>
    <x v="8"/>
    <x v="19"/>
    <x v="2"/>
    <s v="Lower Back"/>
    <x v="0"/>
    <s v="Close"/>
    <x v="0"/>
    <s v="No"/>
    <x v="0"/>
    <x v="0"/>
  </r>
  <r>
    <s v="Hector Razo"/>
    <x v="11"/>
    <x v="7"/>
    <x v="5"/>
    <x v="7"/>
    <x v="10"/>
    <x v="11"/>
    <s v="Cranial (Front)"/>
    <x v="1"/>
    <s v="Close"/>
    <x v="0"/>
    <s v="No"/>
    <x v="0"/>
    <x v="0"/>
  </r>
  <r>
    <s v="Apolinar Basilio"/>
    <x v="11"/>
    <x v="12"/>
    <x v="2"/>
    <x v="14"/>
    <x v="20"/>
    <x v="12"/>
    <s v="RT - Heel"/>
    <x v="0"/>
    <s v="Close"/>
    <x v="0"/>
    <s v="No"/>
    <x v="0"/>
    <x v="0"/>
  </r>
  <r>
    <s v="Mayra Solarte"/>
    <x v="11"/>
    <x v="5"/>
    <x v="0"/>
    <x v="5"/>
    <x v="21"/>
    <x v="2"/>
    <s v="RT - Wrist"/>
    <x v="1"/>
    <s v="Close"/>
    <x v="0"/>
    <s v="No"/>
    <x v="0"/>
    <x v="0"/>
  </r>
  <r>
    <s v="Vilma De Jesus Gomez"/>
    <x v="11"/>
    <x v="12"/>
    <x v="2"/>
    <x v="14"/>
    <x v="19"/>
    <x v="2"/>
    <s v="RT - Lower Back  "/>
    <x v="0"/>
    <s v="Close"/>
    <x v="0"/>
    <s v="No"/>
    <x v="0"/>
    <x v="0"/>
  </r>
  <r>
    <s v="Victor Garcia"/>
    <x v="11"/>
    <x v="13"/>
    <x v="2"/>
    <x v="15"/>
    <x v="22"/>
    <x v="13"/>
    <s v="LT - Foot"/>
    <x v="1"/>
    <s v="Close"/>
    <x v="0"/>
    <s v="No"/>
    <x v="0"/>
    <x v="0"/>
  </r>
  <r>
    <s v="Rosalba Osguera"/>
    <x v="12"/>
    <x v="5"/>
    <x v="0"/>
    <x v="5"/>
    <x v="23"/>
    <x v="8"/>
    <s v="RT - Arm"/>
    <x v="0"/>
    <s v="Close"/>
    <x v="0"/>
    <s v="No"/>
    <x v="0"/>
    <x v="0"/>
  </r>
  <r>
    <s v="Roman Morales"/>
    <x v="12"/>
    <x v="14"/>
    <x v="0"/>
    <x v="16"/>
    <x v="24"/>
    <x v="2"/>
    <s v="LT - Forearm"/>
    <x v="0"/>
    <s v="Close"/>
    <x v="0"/>
    <s v="No"/>
    <x v="0"/>
    <x v="0"/>
  </r>
  <r>
    <s v="Angel Estrada"/>
    <x v="12"/>
    <x v="15"/>
    <x v="1"/>
    <x v="1"/>
    <x v="25"/>
    <x v="4"/>
    <s v="RT - Upper Back"/>
    <x v="1"/>
    <s v="Close"/>
    <x v="0"/>
    <s v="No"/>
    <x v="0"/>
    <x v="0"/>
  </r>
  <r>
    <s v="China Bonner"/>
    <x v="13"/>
    <x v="11"/>
    <x v="2"/>
    <x v="11"/>
    <x v="26"/>
    <x v="0"/>
    <s v="LT - Eye"/>
    <x v="0"/>
    <s v="Close"/>
    <x v="0"/>
    <s v="No"/>
    <x v="0"/>
    <x v="0"/>
  </r>
  <r>
    <s v="Victoria Vazquez"/>
    <x v="13"/>
    <x v="14"/>
    <x v="0"/>
    <x v="16"/>
    <x v="27"/>
    <x v="14"/>
    <s v="Chest"/>
    <x v="1"/>
    <s v="Close"/>
    <x v="0"/>
    <s v="No"/>
    <x v="0"/>
    <x v="0"/>
  </r>
  <r>
    <s v="Adolfo Aguilera"/>
    <x v="13"/>
    <x v="4"/>
    <x v="0"/>
    <x v="4"/>
    <x v="28"/>
    <x v="15"/>
    <s v="RT - Thumb Area"/>
    <x v="0"/>
    <s v="Close"/>
    <x v="0"/>
    <s v="No"/>
    <x v="0"/>
    <x v="0"/>
  </r>
  <r>
    <s v="Sopheap Pos"/>
    <x v="13"/>
    <x v="3"/>
    <x v="2"/>
    <x v="3"/>
    <x v="29"/>
    <x v="4"/>
    <s v="No Injury"/>
    <x v="1"/>
    <s v="Close"/>
    <x v="0"/>
    <s v="No"/>
    <x v="0"/>
    <x v="0"/>
  </r>
  <r>
    <s v="Jasmine Gonzalez"/>
    <x v="13"/>
    <x v="5"/>
    <x v="0"/>
    <x v="5"/>
    <x v="21"/>
    <x v="2"/>
    <s v="RT - Wrist"/>
    <x v="0"/>
    <s v="Close"/>
    <x v="0"/>
    <s v="No"/>
    <x v="0"/>
    <x v="0"/>
  </r>
  <r>
    <s v="Lebrado Avila"/>
    <x v="14"/>
    <x v="13"/>
    <x v="2"/>
    <x v="15"/>
    <x v="30"/>
    <x v="16"/>
    <s v="LT - Foot"/>
    <x v="1"/>
    <s v="Close"/>
    <x v="0"/>
    <s v="No"/>
    <x v="0"/>
    <x v="0"/>
  </r>
  <r>
    <s v="Edgar Hernandez"/>
    <x v="14"/>
    <x v="5"/>
    <x v="0"/>
    <x v="5"/>
    <x v="31"/>
    <x v="8"/>
    <s v="RT - Obdominal"/>
    <x v="0"/>
    <s v="Close"/>
    <x v="0"/>
    <s v="No"/>
    <x v="0"/>
    <x v="0"/>
  </r>
  <r>
    <s v="Bernardo Gonzalez"/>
    <x v="14"/>
    <x v="3"/>
    <x v="2"/>
    <x v="3"/>
    <x v="32"/>
    <x v="2"/>
    <s v="LT - Index Finger"/>
    <x v="0"/>
    <s v="Close"/>
    <x v="0"/>
    <s v="No"/>
    <x v="0"/>
    <x v="0"/>
  </r>
  <r>
    <s v="Raymundo Vargas Jr"/>
    <x v="14"/>
    <x v="16"/>
    <x v="2"/>
    <x v="17"/>
    <x v="33"/>
    <x v="4"/>
    <s v="RT - Hip "/>
    <x v="1"/>
    <s v="Close"/>
    <x v="0"/>
    <s v="No"/>
    <x v="0"/>
    <x v="0"/>
  </r>
  <r>
    <s v="Jose Nunez"/>
    <x v="14"/>
    <x v="16"/>
    <x v="2"/>
    <x v="17"/>
    <x v="34"/>
    <x v="17"/>
    <s v="RT - Heel"/>
    <x v="0"/>
    <s v="Close"/>
    <x v="0"/>
    <s v="No"/>
    <x v="0"/>
    <x v="0"/>
  </r>
  <r>
    <s v="Juan Ceballos"/>
    <x v="15"/>
    <x v="14"/>
    <x v="0"/>
    <x v="16"/>
    <x v="35"/>
    <x v="18"/>
    <s v="LT - Hand"/>
    <x v="2"/>
    <s v="Close"/>
    <x v="0"/>
    <s v="Yes"/>
    <x v="0"/>
    <x v="0"/>
  </r>
  <r>
    <s v="Claudia Estrada Cruz"/>
    <x v="15"/>
    <x v="11"/>
    <x v="2"/>
    <x v="14"/>
    <x v="16"/>
    <x v="2"/>
    <s v="RT - Forearm &amp; Hand &amp; LT - Hand"/>
    <x v="0"/>
    <s v="Close"/>
    <x v="0"/>
    <s v="No"/>
    <x v="0"/>
    <x v="0"/>
  </r>
  <r>
    <s v="Vilma de Jesus"/>
    <x v="16"/>
    <x v="12"/>
    <x v="2"/>
    <x v="14"/>
    <x v="36"/>
    <x v="19"/>
    <s v="LT - Palm"/>
    <x v="0"/>
    <s v="Close"/>
    <x v="1"/>
    <s v="No"/>
    <x v="0"/>
    <x v="1"/>
  </r>
  <r>
    <s v="Steven Aceves"/>
    <x v="17"/>
    <x v="17"/>
    <x v="2"/>
    <x v="18"/>
    <x v="37"/>
    <x v="2"/>
    <s v="RT - Wrist"/>
    <x v="0"/>
    <s v="Close"/>
    <x v="1"/>
    <s v="No"/>
    <x v="0"/>
    <x v="1"/>
  </r>
  <r>
    <s v="Frederick Garcia"/>
    <x v="17"/>
    <x v="5"/>
    <x v="0"/>
    <x v="5"/>
    <x v="38"/>
    <x v="0"/>
    <s v="LT - Eye"/>
    <x v="0"/>
    <s v="Close"/>
    <x v="1"/>
    <s v="No"/>
    <x v="0"/>
    <x v="1"/>
  </r>
  <r>
    <s v="Kristy Davila"/>
    <x v="17"/>
    <x v="11"/>
    <x v="2"/>
    <x v="11"/>
    <x v="39"/>
    <x v="0"/>
    <s v="LT - Eye"/>
    <x v="0"/>
    <s v="Close"/>
    <x v="1"/>
    <s v="No"/>
    <x v="0"/>
    <x v="1"/>
  </r>
  <r>
    <s v="Edgar Guttierez"/>
    <x v="17"/>
    <x v="18"/>
    <x v="2"/>
    <x v="2"/>
    <x v="40"/>
    <x v="2"/>
    <s v="RT - Elbow"/>
    <x v="0"/>
    <s v="Close"/>
    <x v="1"/>
    <s v="No"/>
    <x v="0"/>
    <x v="1"/>
  </r>
  <r>
    <s v="Eduardo Contreras"/>
    <x v="17"/>
    <x v="5"/>
    <x v="0"/>
    <x v="5"/>
    <x v="9"/>
    <x v="4"/>
    <s v="RT - Knee"/>
    <x v="1"/>
    <s v="Close"/>
    <x v="1"/>
    <s v="No"/>
    <x v="0"/>
    <x v="1"/>
  </r>
  <r>
    <s v="Aaron Ching"/>
    <x v="17"/>
    <x v="5"/>
    <x v="0"/>
    <x v="5"/>
    <x v="41"/>
    <x v="2"/>
    <s v="RT - Hip "/>
    <x v="0"/>
    <s v="Close"/>
    <x v="1"/>
    <s v="No"/>
    <x v="0"/>
    <x v="1"/>
  </r>
  <r>
    <s v="Juan Rivera"/>
    <x v="18"/>
    <x v="7"/>
    <x v="5"/>
    <x v="7"/>
    <x v="42"/>
    <x v="11"/>
    <s v="Back of Head  "/>
    <x v="1"/>
    <s v="Close"/>
    <x v="1"/>
    <s v="No"/>
    <x v="0"/>
    <x v="1"/>
  </r>
  <r>
    <s v="Osbaldo Santiago"/>
    <x v="18"/>
    <x v="5"/>
    <x v="0"/>
    <x v="5"/>
    <x v="2"/>
    <x v="8"/>
    <s v="LT - Wrist &amp; Hand"/>
    <x v="0"/>
    <s v="Close"/>
    <x v="1"/>
    <s v="No"/>
    <x v="0"/>
    <x v="1"/>
  </r>
  <r>
    <s v="Esmeralda Avalos Vazquez"/>
    <x v="18"/>
    <x v="19"/>
    <x v="0"/>
    <x v="19"/>
    <x v="43"/>
    <x v="2"/>
    <s v="LT - Wrist"/>
    <x v="0"/>
    <s v="Close"/>
    <x v="1"/>
    <s v="No"/>
    <x v="0"/>
    <x v="1"/>
  </r>
  <r>
    <s v="Pablo de la Cruz"/>
    <x v="19"/>
    <x v="16"/>
    <x v="2"/>
    <x v="17"/>
    <x v="44"/>
    <x v="2"/>
    <s v="RT - Hip "/>
    <x v="0"/>
    <s v="Close"/>
    <x v="1"/>
    <s v="No"/>
    <x v="0"/>
    <x v="1"/>
  </r>
  <r>
    <s v="Douglas Cline"/>
    <x v="19"/>
    <x v="3"/>
    <x v="2"/>
    <x v="3"/>
    <x v="45"/>
    <x v="0"/>
    <s v="RT - Eye"/>
    <x v="0"/>
    <s v="Close"/>
    <x v="1"/>
    <s v="No"/>
    <x v="0"/>
    <x v="1"/>
  </r>
  <r>
    <s v="Daniel Hernandez"/>
    <x v="19"/>
    <x v="20"/>
    <x v="1"/>
    <x v="1"/>
    <x v="46"/>
    <x v="20"/>
    <s v="LT - Toes"/>
    <x v="0"/>
    <s v="Close"/>
    <x v="1"/>
    <s v="No"/>
    <x v="0"/>
    <x v="1"/>
  </r>
  <r>
    <s v="Edgar Hernandez"/>
    <x v="19"/>
    <x v="5"/>
    <x v="0"/>
    <x v="5"/>
    <x v="47"/>
    <x v="8"/>
    <s v="RT - Obdominal"/>
    <x v="0"/>
    <s v="Close"/>
    <x v="1"/>
    <s v="No"/>
    <x v="0"/>
    <x v="1"/>
  </r>
  <r>
    <s v="Jayden Acosta"/>
    <x v="20"/>
    <x v="16"/>
    <x v="2"/>
    <x v="17"/>
    <x v="44"/>
    <x v="4"/>
    <s v="Back of Head &amp; Lower Back"/>
    <x v="0"/>
    <s v="Close"/>
    <x v="1"/>
    <s v="No"/>
    <x v="0"/>
    <x v="1"/>
  </r>
  <r>
    <s v="Albert Ramos"/>
    <x v="20"/>
    <x v="3"/>
    <x v="2"/>
    <x v="3"/>
    <x v="48"/>
    <x v="2"/>
    <s v="Bilateral Hands &amp; Mid Back"/>
    <x v="0"/>
    <s v="Close"/>
    <x v="1"/>
    <s v="No"/>
    <x v="0"/>
    <x v="1"/>
  </r>
  <r>
    <s v="Maricela Ruiz"/>
    <x v="20"/>
    <x v="11"/>
    <x v="2"/>
    <x v="11"/>
    <x v="49"/>
    <x v="10"/>
    <s v="RT - Ring Finger"/>
    <x v="0"/>
    <s v="Close"/>
    <x v="1"/>
    <s v="No"/>
    <x v="0"/>
    <x v="1"/>
  </r>
  <r>
    <s v="Nicole Machuca"/>
    <x v="21"/>
    <x v="13"/>
    <x v="2"/>
    <x v="15"/>
    <x v="50"/>
    <x v="2"/>
    <s v="LT - Wrist"/>
    <x v="0"/>
    <s v="Close"/>
    <x v="1"/>
    <s v="No"/>
    <x v="0"/>
    <x v="1"/>
  </r>
  <r>
    <s v="Jose Vazquez"/>
    <x v="21"/>
    <x v="17"/>
    <x v="2"/>
    <x v="18"/>
    <x v="51"/>
    <x v="0"/>
    <s v="Bilateral - Eyes"/>
    <x v="0"/>
    <s v="Close"/>
    <x v="1"/>
    <s v="No"/>
    <x v="0"/>
    <x v="1"/>
  </r>
  <r>
    <s v="Jose Madrigal"/>
    <x v="21"/>
    <x v="5"/>
    <x v="0"/>
    <x v="5"/>
    <x v="52"/>
    <x v="4"/>
    <s v="RT - Forearm &amp; LT - Calf"/>
    <x v="0"/>
    <s v="Close"/>
    <x v="1"/>
    <s v="No"/>
    <x v="0"/>
    <x v="1"/>
  </r>
  <r>
    <s v="Juan Rivera"/>
    <x v="21"/>
    <x v="7"/>
    <x v="5"/>
    <x v="7"/>
    <x v="42"/>
    <x v="2"/>
    <s v="LT - Lower Back"/>
    <x v="0"/>
    <s v="Close"/>
    <x v="1"/>
    <s v="No"/>
    <x v="0"/>
    <x v="1"/>
  </r>
  <r>
    <s v="Rocio Bernal"/>
    <x v="21"/>
    <x v="8"/>
    <x v="0"/>
    <x v="8"/>
    <x v="53"/>
    <x v="7"/>
    <s v="LT - Wrist"/>
    <x v="0"/>
    <s v="Close"/>
    <x v="1"/>
    <s v="No"/>
    <x v="0"/>
    <x v="1"/>
  </r>
  <r>
    <s v="Celso Avendano"/>
    <x v="22"/>
    <x v="17"/>
    <x v="2"/>
    <x v="18"/>
    <x v="54"/>
    <x v="20"/>
    <s v="RT - Forearm   "/>
    <x v="0"/>
    <s v="Close"/>
    <x v="1"/>
    <s v="No"/>
    <x v="0"/>
    <x v="1"/>
  </r>
  <r>
    <s v="Luis Llamas"/>
    <x v="22"/>
    <x v="16"/>
    <x v="2"/>
    <x v="17"/>
    <x v="55"/>
    <x v="2"/>
    <s v="Bilateral - Lower Back"/>
    <x v="0"/>
    <s v="Close"/>
    <x v="1"/>
    <s v="No"/>
    <x v="0"/>
    <x v="1"/>
  </r>
  <r>
    <s v="Angel Campas"/>
    <x v="22"/>
    <x v="14"/>
    <x v="0"/>
    <x v="20"/>
    <x v="56"/>
    <x v="19"/>
    <s v="Bilateral - Pinky Fingers"/>
    <x v="0"/>
    <s v="Close"/>
    <x v="1"/>
    <s v="No"/>
    <x v="0"/>
    <x v="1"/>
  </r>
  <r>
    <s v="Rocio Bernal"/>
    <x v="22"/>
    <x v="8"/>
    <x v="0"/>
    <x v="8"/>
    <x v="53"/>
    <x v="2"/>
    <s v="LT - Wrist"/>
    <x v="0"/>
    <s v="Close"/>
    <x v="1"/>
    <s v="No"/>
    <x v="0"/>
    <x v="1"/>
  </r>
  <r>
    <s v="Juan Rodriguez"/>
    <x v="23"/>
    <x v="21"/>
    <x v="2"/>
    <x v="21"/>
    <x v="57"/>
    <x v="2"/>
    <s v="LT - Shoulder Blade  "/>
    <x v="0"/>
    <s v="Close"/>
    <x v="1"/>
    <s v="No"/>
    <x v="0"/>
    <x v="1"/>
  </r>
  <r>
    <s v="Esmeralda Avalos Vazquez"/>
    <x v="23"/>
    <x v="19"/>
    <x v="0"/>
    <x v="19"/>
    <x v="58"/>
    <x v="21"/>
    <s v="RT - Hand"/>
    <x v="0"/>
    <s v="Close"/>
    <x v="1"/>
    <s v="No"/>
    <x v="0"/>
    <x v="1"/>
  </r>
  <r>
    <s v="Justin Briggs"/>
    <x v="23"/>
    <x v="0"/>
    <x v="0"/>
    <x v="0"/>
    <x v="59"/>
    <x v="2"/>
    <s v="RT - Chest &amp; Shoulder"/>
    <x v="0"/>
    <s v="Close"/>
    <x v="1"/>
    <s v="No"/>
    <x v="0"/>
    <x v="1"/>
  </r>
  <r>
    <s v="Jose Rivas"/>
    <x v="23"/>
    <x v="20"/>
    <x v="1"/>
    <x v="1"/>
    <x v="60"/>
    <x v="2"/>
    <s v="Lower Back"/>
    <x v="0"/>
    <s v="Close"/>
    <x v="1"/>
    <s v="No"/>
    <x v="0"/>
    <x v="1"/>
  </r>
  <r>
    <s v="Jorge Maldonado"/>
    <x v="24"/>
    <x v="2"/>
    <x v="2"/>
    <x v="2"/>
    <x v="40"/>
    <x v="22"/>
    <s v="RT - Thumb"/>
    <x v="2"/>
    <s v="Close"/>
    <x v="1"/>
    <s v="Yes"/>
    <x v="0"/>
    <x v="1"/>
  </r>
  <r>
    <s v="Tomasa Quinonez"/>
    <x v="25"/>
    <x v="11"/>
    <x v="2"/>
    <x v="11"/>
    <x v="39"/>
    <x v="23"/>
    <s v="LT - Index Finger"/>
    <x v="0"/>
    <s v="Close"/>
    <x v="1"/>
    <s v="No"/>
    <x v="0"/>
    <x v="1"/>
  </r>
  <r>
    <s v="Miguel Sandoval "/>
    <x v="25"/>
    <x v="19"/>
    <x v="0"/>
    <x v="19"/>
    <x v="61"/>
    <x v="10"/>
    <s v="RT - Forearm"/>
    <x v="0"/>
    <s v="Close"/>
    <x v="1"/>
    <s v="No"/>
    <x v="0"/>
    <x v="1"/>
  </r>
  <r>
    <s v="Balwinder Kaur"/>
    <x v="25"/>
    <x v="8"/>
    <x v="0"/>
    <x v="8"/>
    <x v="62"/>
    <x v="4"/>
    <s v="RT - Knee"/>
    <x v="1"/>
    <s v="Close"/>
    <x v="1"/>
    <s v="No"/>
    <x v="0"/>
    <x v="1"/>
  </r>
  <r>
    <s v="Frank Padilla"/>
    <x v="26"/>
    <x v="17"/>
    <x v="2"/>
    <x v="18"/>
    <x v="63"/>
    <x v="2"/>
    <s v="RT - Wrist"/>
    <x v="0"/>
    <s v="Close"/>
    <x v="1"/>
    <s v="No"/>
    <x v="0"/>
    <x v="1"/>
  </r>
  <r>
    <s v="Armando Gonzalez"/>
    <x v="26"/>
    <x v="22"/>
    <x v="2"/>
    <x v="21"/>
    <x v="3"/>
    <x v="10"/>
    <s v="RT - Hand"/>
    <x v="0"/>
    <s v="Close"/>
    <x v="1"/>
    <s v="No"/>
    <x v="0"/>
    <x v="1"/>
  </r>
  <r>
    <s v="Marly Delgado"/>
    <x v="27"/>
    <x v="17"/>
    <x v="2"/>
    <x v="18"/>
    <x v="2"/>
    <x v="2"/>
    <s v="RT - Shoulder Blade &amp; Mid Back (center)"/>
    <x v="0"/>
    <s v="Close"/>
    <x v="1"/>
    <s v="No"/>
    <x v="0"/>
    <x v="1"/>
  </r>
  <r>
    <s v="Abraham Gonzales"/>
    <x v="27"/>
    <x v="0"/>
    <x v="0"/>
    <x v="0"/>
    <x v="64"/>
    <x v="2"/>
    <s v="RT - Wrist"/>
    <x v="0"/>
    <s v="Close"/>
    <x v="1"/>
    <s v="No"/>
    <x v="0"/>
    <x v="1"/>
  </r>
  <r>
    <s v="Jose Lopez"/>
    <x v="27"/>
    <x v="0"/>
    <x v="0"/>
    <x v="0"/>
    <x v="64"/>
    <x v="2"/>
    <s v="Lower Back"/>
    <x v="0"/>
    <s v="Close"/>
    <x v="1"/>
    <s v="No"/>
    <x v="0"/>
    <x v="1"/>
  </r>
  <r>
    <s v="Ricardo Lopez"/>
    <x v="28"/>
    <x v="5"/>
    <x v="0"/>
    <x v="5"/>
    <x v="65"/>
    <x v="2"/>
    <s v="RT - Shoulder"/>
    <x v="0"/>
    <s v="Close"/>
    <x v="1"/>
    <s v="No"/>
    <x v="0"/>
    <x v="1"/>
  </r>
  <r>
    <s v="Justin Briggs"/>
    <x v="29"/>
    <x v="0"/>
    <x v="0"/>
    <x v="0"/>
    <x v="59"/>
    <x v="2"/>
    <s v="LT - Shoulder &amp; Shoulder Blade. "/>
    <x v="0"/>
    <s v="Close"/>
    <x v="1"/>
    <s v="No"/>
    <x v="0"/>
    <x v="1"/>
  </r>
  <r>
    <s v="Jesus Bustos"/>
    <x v="29"/>
    <x v="3"/>
    <x v="2"/>
    <x v="3"/>
    <x v="32"/>
    <x v="2"/>
    <s v="LT - Forearm"/>
    <x v="0"/>
    <s v="Close"/>
    <x v="1"/>
    <s v="No"/>
    <x v="0"/>
    <x v="1"/>
  </r>
  <r>
    <s v="Eduardo Contreras"/>
    <x v="29"/>
    <x v="5"/>
    <x v="0"/>
    <x v="5"/>
    <x v="9"/>
    <x v="7"/>
    <s v="LT - Wrist, Back of Neck, &amp; Nose"/>
    <x v="0"/>
    <s v="Close"/>
    <x v="1"/>
    <s v="No"/>
    <x v="0"/>
    <x v="1"/>
  </r>
  <r>
    <s v="Rosalba Aseguero"/>
    <x v="30"/>
    <x v="5"/>
    <x v="0"/>
    <x v="5"/>
    <x v="7"/>
    <x v="8"/>
    <s v="RT - Forearm &amp; Bilateral Facial (L &amp; R)"/>
    <x v="0"/>
    <s v="Close"/>
    <x v="1"/>
    <s v="No"/>
    <x v="0"/>
    <x v="1"/>
  </r>
  <r>
    <s v="Luis Perez"/>
    <x v="30"/>
    <x v="0"/>
    <x v="0"/>
    <x v="0"/>
    <x v="66"/>
    <x v="2"/>
    <s v="Lower Back"/>
    <x v="0"/>
    <s v="Close"/>
    <x v="1"/>
    <s v="No"/>
    <x v="0"/>
    <x v="1"/>
  </r>
  <r>
    <s v="Brian Camacho"/>
    <x v="31"/>
    <x v="23"/>
    <x v="8"/>
    <x v="22"/>
    <x v="67"/>
    <x v="4"/>
    <s v="RT - Lower Back &amp; Pinky"/>
    <x v="2"/>
    <s v="Close"/>
    <x v="1"/>
    <s v="Yes"/>
    <x v="0"/>
    <x v="1"/>
  </r>
  <r>
    <s v="Jesse De La Torre"/>
    <x v="31"/>
    <x v="2"/>
    <x v="2"/>
    <x v="2"/>
    <x v="48"/>
    <x v="19"/>
    <s v="LT - Middle, Ring, &amp; Pinky Finger &amp; RT - Ring Finger"/>
    <x v="0"/>
    <s v="Close"/>
    <x v="1"/>
    <s v="No"/>
    <x v="0"/>
    <x v="1"/>
  </r>
  <r>
    <s v="Luis Flores"/>
    <x v="32"/>
    <x v="3"/>
    <x v="2"/>
    <x v="3"/>
    <x v="68"/>
    <x v="10"/>
    <s v="LT - Palm"/>
    <x v="0"/>
    <s v="Close"/>
    <x v="1"/>
    <s v="No"/>
    <x v="0"/>
    <x v="1"/>
  </r>
  <r>
    <s v="Manpreet Singh"/>
    <x v="33"/>
    <x v="17"/>
    <x v="2"/>
    <x v="18"/>
    <x v="69"/>
    <x v="2"/>
    <s v="RT - Shoulder"/>
    <x v="0"/>
    <s v="Close"/>
    <x v="1"/>
    <s v="No"/>
    <x v="0"/>
    <x v="1"/>
  </r>
  <r>
    <s v="Ismael Martinez"/>
    <x v="33"/>
    <x v="13"/>
    <x v="2"/>
    <x v="15"/>
    <x v="70"/>
    <x v="16"/>
    <s v="LT - Ring Finger"/>
    <x v="0"/>
    <s v="Close"/>
    <x v="1"/>
    <s v="No"/>
    <x v="0"/>
    <x v="1"/>
  </r>
  <r>
    <s v="Sandra Arrendondo"/>
    <x v="34"/>
    <x v="17"/>
    <x v="2"/>
    <x v="18"/>
    <x v="71"/>
    <x v="4"/>
    <s v="LT - Knee, Hip, Elbow"/>
    <x v="0"/>
    <s v="Close"/>
    <x v="1"/>
    <s v="No"/>
    <x v="0"/>
    <x v="1"/>
  </r>
  <r>
    <s v="Juan Espinoza"/>
    <x v="34"/>
    <x v="0"/>
    <x v="0"/>
    <x v="0"/>
    <x v="72"/>
    <x v="8"/>
    <s v="RT - Pinky"/>
    <x v="0"/>
    <s v="Close"/>
    <x v="1"/>
    <s v="No"/>
    <x v="0"/>
    <x v="1"/>
  </r>
  <r>
    <s v="Salvador Gutierez"/>
    <x v="35"/>
    <x v="6"/>
    <x v="4"/>
    <x v="6"/>
    <x v="73"/>
    <x v="4"/>
    <s v="LT - Shoulder, Hip, &amp; Cheek. "/>
    <x v="0"/>
    <s v="Close"/>
    <x v="1"/>
    <s v="No"/>
    <x v="0"/>
    <x v="1"/>
  </r>
  <r>
    <s v="Alejandro Pantoja"/>
    <x v="35"/>
    <x v="14"/>
    <x v="0"/>
    <x v="16"/>
    <x v="74"/>
    <x v="10"/>
    <s v="RT - Middle Finger"/>
    <x v="0"/>
    <s v="Close"/>
    <x v="1"/>
    <s v="No"/>
    <x v="0"/>
    <x v="1"/>
  </r>
  <r>
    <s v="Oshmar Hernandez"/>
    <x v="35"/>
    <x v="14"/>
    <x v="0"/>
    <x v="16"/>
    <x v="62"/>
    <x v="7"/>
    <s v="LT - Middle &amp; Ring Finger"/>
    <x v="1"/>
    <s v="Close"/>
    <x v="1"/>
    <s v="No"/>
    <x v="0"/>
    <x v="1"/>
  </r>
  <r>
    <s v="Eduardo Contreras"/>
    <x v="36"/>
    <x v="5"/>
    <x v="0"/>
    <x v="5"/>
    <x v="9"/>
    <x v="4"/>
    <s v="Butt &amp; Lower Back (All)"/>
    <x v="1"/>
    <s v="Close"/>
    <x v="1"/>
    <s v="No"/>
    <x v="0"/>
    <x v="1"/>
  </r>
  <r>
    <s v="Baljit Kaur"/>
    <x v="37"/>
    <x v="11"/>
    <x v="2"/>
    <x v="11"/>
    <x v="75"/>
    <x v="4"/>
    <s v="RT - Knee &amp; Elbow"/>
    <x v="0"/>
    <s v="Close"/>
    <x v="2"/>
    <s v="No"/>
    <x v="0"/>
    <x v="2"/>
  </r>
  <r>
    <s v="Paul Estrada"/>
    <x v="37"/>
    <x v="4"/>
    <x v="3"/>
    <x v="4"/>
    <x v="28"/>
    <x v="4"/>
    <s v="RT - Ankle &amp; Wrist"/>
    <x v="0"/>
    <s v="Close"/>
    <x v="2"/>
    <s v="No"/>
    <x v="0"/>
    <x v="2"/>
  </r>
  <r>
    <s v="Diego Prciado"/>
    <x v="37"/>
    <x v="14"/>
    <x v="0"/>
    <x v="16"/>
    <x v="35"/>
    <x v="7"/>
    <s v="LT - Upper Back, Mid Back, &amp; Lower Back"/>
    <x v="0"/>
    <s v="Close"/>
    <x v="2"/>
    <s v="No"/>
    <x v="0"/>
    <x v="2"/>
  </r>
  <r>
    <s v="Ricardo Lopez"/>
    <x v="37"/>
    <x v="5"/>
    <x v="0"/>
    <x v="5"/>
    <x v="65"/>
    <x v="19"/>
    <s v="RT - Foot (Toes)"/>
    <x v="0"/>
    <s v="Close"/>
    <x v="2"/>
    <s v="No"/>
    <x v="0"/>
    <x v="2"/>
  </r>
  <r>
    <s v="Ricardo Lopez"/>
    <x v="37"/>
    <x v="5"/>
    <x v="0"/>
    <x v="5"/>
    <x v="65"/>
    <x v="19"/>
    <s v="RT - Middle Finger"/>
    <x v="0"/>
    <s v="Close"/>
    <x v="2"/>
    <s v="No"/>
    <x v="0"/>
    <x v="2"/>
  </r>
  <r>
    <s v="Baljit Kaur"/>
    <x v="37"/>
    <x v="11"/>
    <x v="2"/>
    <x v="11"/>
    <x v="75"/>
    <x v="2"/>
    <s v="RT - Hand"/>
    <x v="0"/>
    <s v="Close"/>
    <x v="2"/>
    <s v="No"/>
    <x v="0"/>
    <x v="2"/>
  </r>
  <r>
    <s v="Daniel Verduzco"/>
    <x v="38"/>
    <x v="8"/>
    <x v="0"/>
    <x v="23"/>
    <x v="62"/>
    <x v="6"/>
    <s v="RT - Hand"/>
    <x v="0"/>
    <s v="Close"/>
    <x v="2"/>
    <s v="No"/>
    <x v="0"/>
    <x v="2"/>
  </r>
  <r>
    <s v="Ralph Gonzalez"/>
    <x v="39"/>
    <x v="8"/>
    <x v="0"/>
    <x v="13"/>
    <x v="76"/>
    <x v="2"/>
    <s v="RT - Foot"/>
    <x v="1"/>
    <s v="Close"/>
    <x v="2"/>
    <s v="No"/>
    <x v="0"/>
    <x v="2"/>
  </r>
  <r>
    <s v="Gerardo Ibarra"/>
    <x v="40"/>
    <x v="17"/>
    <x v="2"/>
    <x v="18"/>
    <x v="77"/>
    <x v="2"/>
    <s v="RT - Shoulder"/>
    <x v="0"/>
    <s v="Close"/>
    <x v="2"/>
    <s v="No"/>
    <x v="0"/>
    <x v="2"/>
  </r>
  <r>
    <s v="Michael Rocha"/>
    <x v="41"/>
    <x v="17"/>
    <x v="2"/>
    <x v="18"/>
    <x v="78"/>
    <x v="0"/>
    <s v="RT - Eye "/>
    <x v="0"/>
    <s v="Close"/>
    <x v="2"/>
    <s v="No"/>
    <x v="0"/>
    <x v="2"/>
  </r>
  <r>
    <s v="Eduardo Peres"/>
    <x v="42"/>
    <x v="17"/>
    <x v="2"/>
    <x v="18"/>
    <x v="79"/>
    <x v="4"/>
    <s v="NA"/>
    <x v="1"/>
    <s v="Close"/>
    <x v="2"/>
    <s v="No"/>
    <x v="0"/>
    <x v="2"/>
  </r>
  <r>
    <s v="Saul Flores"/>
    <x v="43"/>
    <x v="21"/>
    <x v="2"/>
    <x v="21"/>
    <x v="62"/>
    <x v="4"/>
    <s v="NA"/>
    <x v="1"/>
    <s v="Close"/>
    <x v="2"/>
    <s v="No"/>
    <x v="0"/>
    <x v="2"/>
  </r>
  <r>
    <s v="Adrian Chaidez"/>
    <x v="44"/>
    <x v="3"/>
    <x v="2"/>
    <x v="3"/>
    <x v="80"/>
    <x v="2"/>
    <s v="RT - Shoulder"/>
    <x v="0"/>
    <s v="Close"/>
    <x v="2"/>
    <s v="No"/>
    <x v="0"/>
    <x v="2"/>
  </r>
  <r>
    <s v="Daniel Verduzco"/>
    <x v="45"/>
    <x v="8"/>
    <x v="0"/>
    <x v="8"/>
    <x v="81"/>
    <x v="2"/>
    <s v="LT - Shoulder"/>
    <x v="0"/>
    <s v="Close"/>
    <x v="2"/>
    <s v="No"/>
    <x v="0"/>
    <x v="2"/>
  </r>
  <r>
    <s v="Joseph Gomez"/>
    <x v="45"/>
    <x v="0"/>
    <x v="0"/>
    <x v="0"/>
    <x v="0"/>
    <x v="9"/>
    <s v="RT - Elbow"/>
    <x v="0"/>
    <s v="Close"/>
    <x v="2"/>
    <s v="No"/>
    <x v="0"/>
    <x v="2"/>
  </r>
  <r>
    <s v="Eden Segoviano"/>
    <x v="45"/>
    <x v="2"/>
    <x v="2"/>
    <x v="2"/>
    <x v="82"/>
    <x v="10"/>
    <s v="RT - Thumb"/>
    <x v="0"/>
    <s v="Close"/>
    <x v="2"/>
    <s v="No"/>
    <x v="0"/>
    <x v="2"/>
  </r>
  <r>
    <s v="Karina Torres"/>
    <x v="45"/>
    <x v="8"/>
    <x v="0"/>
    <x v="8"/>
    <x v="83"/>
    <x v="16"/>
    <s v="LT - Ring Finger"/>
    <x v="2"/>
    <s v="Open"/>
    <x v="2"/>
    <s v="Yes"/>
    <x v="0"/>
    <x v="2"/>
  </r>
  <r>
    <s v="Bernardo Gonzalez"/>
    <x v="46"/>
    <x v="3"/>
    <x v="2"/>
    <x v="3"/>
    <x v="84"/>
    <x v="2"/>
    <s v="LT - Side Chest"/>
    <x v="0"/>
    <s v="Close"/>
    <x v="2"/>
    <s v="No"/>
    <x v="0"/>
    <x v="2"/>
  </r>
  <r>
    <s v="Manpreet Singh"/>
    <x v="46"/>
    <x v="17"/>
    <x v="2"/>
    <x v="18"/>
    <x v="69"/>
    <x v="19"/>
    <s v="LT - Index Finger"/>
    <x v="0"/>
    <s v="Close"/>
    <x v="2"/>
    <s v="No"/>
    <x v="0"/>
    <x v="2"/>
  </r>
  <r>
    <s v="Manpreet Singh"/>
    <x v="47"/>
    <x v="17"/>
    <x v="2"/>
    <x v="18"/>
    <x v="69"/>
    <x v="10"/>
    <s v="RT - Palm"/>
    <x v="0"/>
    <s v="Close"/>
    <x v="2"/>
    <s v="No"/>
    <x v="0"/>
    <x v="2"/>
  </r>
  <r>
    <s v="Angel Garcia"/>
    <x v="47"/>
    <x v="24"/>
    <x v="0"/>
    <x v="8"/>
    <x v="81"/>
    <x v="8"/>
    <s v="RT - Wrist"/>
    <x v="0"/>
    <s v="Close"/>
    <x v="2"/>
    <s v="No"/>
    <x v="0"/>
    <x v="2"/>
  </r>
  <r>
    <s v="Jose R. Medina"/>
    <x v="48"/>
    <x v="15"/>
    <x v="1"/>
    <x v="9"/>
    <x v="1"/>
    <x v="1"/>
    <s v="LT - Index Finger"/>
    <x v="0"/>
    <s v="Close"/>
    <x v="2"/>
    <s v="No"/>
    <x v="0"/>
    <x v="2"/>
  </r>
  <r>
    <s v="Gabriela Martinez"/>
    <x v="49"/>
    <x v="8"/>
    <x v="0"/>
    <x v="5"/>
    <x v="85"/>
    <x v="4"/>
    <s v="LT - Shoulder"/>
    <x v="0"/>
    <s v="Close"/>
    <x v="2"/>
    <s v="No"/>
    <x v="0"/>
    <x v="2"/>
  </r>
  <r>
    <s v="Angel Garcia"/>
    <x v="50"/>
    <x v="24"/>
    <x v="0"/>
    <x v="8"/>
    <x v="81"/>
    <x v="2"/>
    <s v="Lower Back &amp; Both Sides"/>
    <x v="0"/>
    <s v="Close"/>
    <x v="2"/>
    <s v="No"/>
    <x v="0"/>
    <x v="2"/>
  </r>
  <r>
    <s v="Juan Maravilla"/>
    <x v="51"/>
    <x v="25"/>
    <x v="2"/>
    <x v="24"/>
    <x v="86"/>
    <x v="4"/>
    <s v="NA"/>
    <x v="1"/>
    <s v="Close"/>
    <x v="2"/>
    <s v="No"/>
    <x v="0"/>
    <x v="2"/>
  </r>
  <r>
    <s v="Mapreet Singn"/>
    <x v="52"/>
    <x v="17"/>
    <x v="2"/>
    <x v="18"/>
    <x v="69"/>
    <x v="19"/>
    <s v="RT - Middle Finger"/>
    <x v="0"/>
    <s v="Close"/>
    <x v="3"/>
    <s v="No"/>
    <x v="0"/>
    <x v="3"/>
  </r>
  <r>
    <s v="Moises Flores"/>
    <x v="52"/>
    <x v="3"/>
    <x v="2"/>
    <x v="3"/>
    <x v="32"/>
    <x v="10"/>
    <s v="LT - Palm"/>
    <x v="1"/>
    <s v="Close"/>
    <x v="3"/>
    <s v="No"/>
    <x v="0"/>
    <x v="3"/>
  </r>
  <r>
    <s v="Maury Gillian"/>
    <x v="53"/>
    <x v="11"/>
    <x v="2"/>
    <x v="11"/>
    <x v="87"/>
    <x v="2"/>
    <s v="Lower Back &amp; Both Sides"/>
    <x v="0"/>
    <s v="Close"/>
    <x v="3"/>
    <s v="No"/>
    <x v="0"/>
    <x v="3"/>
  </r>
  <r>
    <s v="Cesar Mendoza"/>
    <x v="54"/>
    <x v="17"/>
    <x v="2"/>
    <x v="18"/>
    <x v="88"/>
    <x v="2"/>
    <s v="RT - Shoulder &amp; Index Finger"/>
    <x v="0"/>
    <s v="Close"/>
    <x v="3"/>
    <s v="No"/>
    <x v="0"/>
    <x v="3"/>
  </r>
  <r>
    <s v="Jesus Bustos"/>
    <x v="54"/>
    <x v="3"/>
    <x v="2"/>
    <x v="3"/>
    <x v="89"/>
    <x v="10"/>
    <s v="RT - Index Finger"/>
    <x v="0"/>
    <s v="Close"/>
    <x v="3"/>
    <s v="No"/>
    <x v="0"/>
    <x v="3"/>
  </r>
  <r>
    <s v="Adrian Chaidez"/>
    <x v="54"/>
    <x v="3"/>
    <x v="2"/>
    <x v="3"/>
    <x v="62"/>
    <x v="6"/>
    <s v="RT - Palm  "/>
    <x v="0"/>
    <s v="Close"/>
    <x v="3"/>
    <s v="No"/>
    <x v="0"/>
    <x v="3"/>
  </r>
  <r>
    <s v="James Entrocaso"/>
    <x v="55"/>
    <x v="17"/>
    <x v="2"/>
    <x v="18"/>
    <x v="90"/>
    <x v="10"/>
    <s v="LT - Pinky Finger"/>
    <x v="0"/>
    <s v="Close"/>
    <x v="3"/>
    <s v="No"/>
    <x v="0"/>
    <x v="3"/>
  </r>
  <r>
    <s v="Brando Gonzalez"/>
    <x v="55"/>
    <x v="2"/>
    <x v="2"/>
    <x v="2"/>
    <x v="62"/>
    <x v="4"/>
    <s v="Upper Butt - LT Shinn"/>
    <x v="0"/>
    <s v="Close"/>
    <x v="3"/>
    <s v="No"/>
    <x v="0"/>
    <x v="3"/>
  </r>
  <r>
    <s v="Jhondri Madariaga"/>
    <x v="55"/>
    <x v="13"/>
    <x v="2"/>
    <x v="15"/>
    <x v="91"/>
    <x v="2"/>
    <s v="LT - Shoulder Blade, Shoulder, Upper Arm, Forearm, Hand + LT Upper Back, Center Mid Back, and Center Lower Back."/>
    <x v="0"/>
    <s v="Close"/>
    <x v="3"/>
    <s v="No"/>
    <x v="0"/>
    <x v="3"/>
  </r>
  <r>
    <s v="Sergio De Jesus"/>
    <x v="56"/>
    <x v="13"/>
    <x v="2"/>
    <x v="23"/>
    <x v="62"/>
    <x v="16"/>
    <s v="RT - Thumb"/>
    <x v="0"/>
    <s v="Close"/>
    <x v="3"/>
    <s v="No"/>
    <x v="0"/>
    <x v="3"/>
  </r>
  <r>
    <s v="Gabriel Garcia"/>
    <x v="56"/>
    <x v="13"/>
    <x v="2"/>
    <x v="15"/>
    <x v="62"/>
    <x v="24"/>
    <s v="Both Eyes"/>
    <x v="0"/>
    <s v="Close"/>
    <x v="3"/>
    <s v="No"/>
    <x v="0"/>
    <x v="3"/>
  </r>
  <r>
    <s v="Natividad Galicia"/>
    <x v="56"/>
    <x v="26"/>
    <x v="0"/>
    <x v="25"/>
    <x v="92"/>
    <x v="10"/>
    <s v="LT - Foot"/>
    <x v="0"/>
    <s v="Close"/>
    <x v="3"/>
    <s v="No"/>
    <x v="0"/>
    <x v="3"/>
  </r>
  <r>
    <s v="Jonathan Ramirez"/>
    <x v="56"/>
    <x v="17"/>
    <x v="2"/>
    <x v="18"/>
    <x v="63"/>
    <x v="10"/>
    <s v="RT - Hand"/>
    <x v="0"/>
    <s v="Close"/>
    <x v="3"/>
    <s v="No"/>
    <x v="0"/>
    <x v="3"/>
  </r>
  <r>
    <s v="Rosalba Oseguera Mendez"/>
    <x v="56"/>
    <x v="8"/>
    <x v="0"/>
    <x v="5"/>
    <x v="7"/>
    <x v="2"/>
    <s v="LT - Wrist"/>
    <x v="0"/>
    <s v="Close"/>
    <x v="3"/>
    <s v="No"/>
    <x v="0"/>
    <x v="3"/>
  </r>
  <r>
    <s v="Francisco Lopez"/>
    <x v="56"/>
    <x v="13"/>
    <x v="2"/>
    <x v="15"/>
    <x v="93"/>
    <x v="2"/>
    <s v="RT - Shoulder"/>
    <x v="0"/>
    <s v="Close"/>
    <x v="3"/>
    <s v="No"/>
    <x v="0"/>
    <x v="3"/>
  </r>
  <r>
    <s v="Honorina Lopez"/>
    <x v="57"/>
    <x v="24"/>
    <x v="0"/>
    <x v="8"/>
    <x v="94"/>
    <x v="10"/>
    <s v="RT - Middle Finger"/>
    <x v="0"/>
    <s v="Close"/>
    <x v="3"/>
    <s v="No"/>
    <x v="0"/>
    <x v="3"/>
  </r>
  <r>
    <s v="Jose Miranda"/>
    <x v="57"/>
    <x v="21"/>
    <x v="2"/>
    <x v="21"/>
    <x v="2"/>
    <x v="10"/>
    <s v="RT - Index Finger"/>
    <x v="0"/>
    <s v="Close"/>
    <x v="3"/>
    <s v="No"/>
    <x v="0"/>
    <x v="3"/>
  </r>
  <r>
    <s v="Juan Rodriguez"/>
    <x v="58"/>
    <x v="21"/>
    <x v="2"/>
    <x v="21"/>
    <x v="57"/>
    <x v="2"/>
    <s v="LT - Wrist"/>
    <x v="0"/>
    <s v="Close"/>
    <x v="3"/>
    <s v="No"/>
    <x v="0"/>
    <x v="3"/>
  </r>
  <r>
    <s v="Jose Barajas"/>
    <x v="58"/>
    <x v="3"/>
    <x v="2"/>
    <x v="3"/>
    <x v="16"/>
    <x v="0"/>
    <s v="Both - Eyes"/>
    <x v="0"/>
    <s v="Close"/>
    <x v="3"/>
    <s v="No"/>
    <x v="0"/>
    <x v="3"/>
  </r>
  <r>
    <s v="Guilbert Beltran"/>
    <x v="58"/>
    <x v="8"/>
    <x v="0"/>
    <x v="5"/>
    <x v="95"/>
    <x v="2"/>
    <s v="RT - Hand"/>
    <x v="0"/>
    <s v="Close"/>
    <x v="3"/>
    <s v="No"/>
    <x v="0"/>
    <x v="3"/>
  </r>
  <r>
    <s v="Ismael Martinez"/>
    <x v="59"/>
    <x v="13"/>
    <x v="2"/>
    <x v="15"/>
    <x v="70"/>
    <x v="2"/>
    <s v="Both - Hands"/>
    <x v="0"/>
    <s v="Close"/>
    <x v="3"/>
    <s v="No"/>
    <x v="0"/>
    <x v="3"/>
  </r>
  <r>
    <s v="Michael Rocha"/>
    <x v="60"/>
    <x v="17"/>
    <x v="2"/>
    <x v="18"/>
    <x v="78"/>
    <x v="0"/>
    <s v="LT - Eye"/>
    <x v="0"/>
    <s v="Close"/>
    <x v="3"/>
    <s v="No"/>
    <x v="0"/>
    <x v="3"/>
  </r>
  <r>
    <s v="Noe Frage Ruiz"/>
    <x v="61"/>
    <x v="3"/>
    <x v="2"/>
    <x v="3"/>
    <x v="32"/>
    <x v="2"/>
    <s v="LT - Shoulder"/>
    <x v="0"/>
    <s v="Close"/>
    <x v="3"/>
    <s v="No"/>
    <x v="0"/>
    <x v="3"/>
  </r>
  <r>
    <s v="Jesus Valadez"/>
    <x v="61"/>
    <x v="2"/>
    <x v="2"/>
    <x v="2"/>
    <x v="40"/>
    <x v="10"/>
    <s v="LT - Ring Finger"/>
    <x v="0"/>
    <s v="Close"/>
    <x v="3"/>
    <s v="No"/>
    <x v="0"/>
    <x v="3"/>
  </r>
  <r>
    <s v="Edalia Lopez"/>
    <x v="61"/>
    <x v="24"/>
    <x v="0"/>
    <x v="13"/>
    <x v="96"/>
    <x v="8"/>
    <s v="Neck"/>
    <x v="0"/>
    <s v="Close"/>
    <x v="3"/>
    <s v="No"/>
    <x v="0"/>
    <x v="3"/>
  </r>
  <r>
    <s v="Rosangela Rodriguez"/>
    <x v="61"/>
    <x v="13"/>
    <x v="2"/>
    <x v="15"/>
    <x v="70"/>
    <x v="6"/>
    <s v="LT - Thumb"/>
    <x v="1"/>
    <s v="Close"/>
    <x v="3"/>
    <s v="No"/>
    <x v="0"/>
    <x v="3"/>
  </r>
  <r>
    <s v="Frank Padilla"/>
    <x v="61"/>
    <x v="17"/>
    <x v="2"/>
    <x v="18"/>
    <x v="63"/>
    <x v="10"/>
    <s v="RT - Hand"/>
    <x v="0"/>
    <s v="Close"/>
    <x v="3"/>
    <s v="No"/>
    <x v="0"/>
    <x v="3"/>
  </r>
  <r>
    <s v="Rafael Piceno"/>
    <x v="62"/>
    <x v="13"/>
    <x v="2"/>
    <x v="15"/>
    <x v="97"/>
    <x v="4"/>
    <s v="RT - Rib "/>
    <x v="0"/>
    <s v="Close"/>
    <x v="3"/>
    <s v="No"/>
    <x v="0"/>
    <x v="3"/>
  </r>
  <r>
    <s v="Omar Chavez"/>
    <x v="62"/>
    <x v="0"/>
    <x v="0"/>
    <x v="0"/>
    <x v="98"/>
    <x v="5"/>
    <s v="LT - Hand - Nose - &amp; Neck"/>
    <x v="0"/>
    <s v="Close"/>
    <x v="3"/>
    <s v="No"/>
    <x v="0"/>
    <x v="3"/>
  </r>
  <r>
    <s v="Morgan Branning "/>
    <x v="62"/>
    <x v="14"/>
    <x v="0"/>
    <x v="20"/>
    <x v="99"/>
    <x v="25"/>
    <s v="RT - Ankle "/>
    <x v="0"/>
    <s v="Close"/>
    <x v="3"/>
    <s v="No"/>
    <x v="0"/>
    <x v="3"/>
  </r>
  <r>
    <s v="Jesus Bustos"/>
    <x v="63"/>
    <x v="3"/>
    <x v="2"/>
    <x v="3"/>
    <x v="100"/>
    <x v="22"/>
    <s v="LT - Ring Finger"/>
    <x v="0"/>
    <s v="Close"/>
    <x v="3"/>
    <s v="No"/>
    <x v="0"/>
    <x v="3"/>
  </r>
  <r>
    <s v="Joseph Gomez"/>
    <x v="63"/>
    <x v="0"/>
    <x v="0"/>
    <x v="0"/>
    <x v="0"/>
    <x v="0"/>
    <s v="LT - Eye"/>
    <x v="0"/>
    <s v="Close"/>
    <x v="3"/>
    <s v="No"/>
    <x v="0"/>
    <x v="3"/>
  </r>
  <r>
    <s v="Angel Garcia"/>
    <x v="63"/>
    <x v="24"/>
    <x v="0"/>
    <x v="8"/>
    <x v="81"/>
    <x v="7"/>
    <s v="LT - Upper Arm"/>
    <x v="0"/>
    <s v="Close"/>
    <x v="3"/>
    <s v="No"/>
    <x v="0"/>
    <x v="3"/>
  </r>
  <r>
    <s v="Hector Raya"/>
    <x v="63"/>
    <x v="21"/>
    <x v="2"/>
    <x v="21"/>
    <x v="101"/>
    <x v="2"/>
    <s v="LT - Middle &amp; Index Finger"/>
    <x v="0"/>
    <s v="Close"/>
    <x v="3"/>
    <s v="No"/>
    <x v="0"/>
    <x v="3"/>
  </r>
  <r>
    <s v="Jesus Bustos"/>
    <x v="63"/>
    <x v="21"/>
    <x v="2"/>
    <x v="3"/>
    <x v="32"/>
    <x v="2"/>
    <s v="LT - Hand"/>
    <x v="0"/>
    <s v="Close"/>
    <x v="3"/>
    <s v="No"/>
    <x v="0"/>
    <x v="3"/>
  </r>
  <r>
    <s v="Gladys Lugan"/>
    <x v="64"/>
    <x v="19"/>
    <x v="0"/>
    <x v="19"/>
    <x v="102"/>
    <x v="20"/>
    <s v="RT - Upper Arm &amp; Elbow"/>
    <x v="0"/>
    <s v="Close"/>
    <x v="3"/>
    <s v="No"/>
    <x v="0"/>
    <x v="3"/>
  </r>
  <r>
    <s v="Jesus Olazava"/>
    <x v="64"/>
    <x v="10"/>
    <x v="7"/>
    <x v="10"/>
    <x v="13"/>
    <x v="18"/>
    <s v="RT - Index Finger"/>
    <x v="0"/>
    <s v="Close"/>
    <x v="3"/>
    <s v="No"/>
    <x v="0"/>
    <x v="3"/>
  </r>
  <r>
    <s v="Enrique Ramos"/>
    <x v="64"/>
    <x v="2"/>
    <x v="2"/>
    <x v="2"/>
    <x v="103"/>
    <x v="10"/>
    <s v="RT - Middle Finger"/>
    <x v="0"/>
    <s v="Close"/>
    <x v="3"/>
    <s v="No"/>
    <x v="0"/>
    <x v="3"/>
  </r>
  <r>
    <s v="Ana Mendoza"/>
    <x v="64"/>
    <x v="11"/>
    <x v="2"/>
    <x v="11"/>
    <x v="104"/>
    <x v="19"/>
    <s v="LT - Pinky Finger"/>
    <x v="0"/>
    <s v="Close"/>
    <x v="3"/>
    <s v="No"/>
    <x v="0"/>
    <x v="3"/>
  </r>
  <r>
    <s v="Jesse De La Torre"/>
    <x v="64"/>
    <x v="2"/>
    <x v="2"/>
    <x v="2"/>
    <x v="48"/>
    <x v="7"/>
    <s v="Both - Middle Fingers"/>
    <x v="0"/>
    <s v="Close"/>
    <x v="3"/>
    <s v="No"/>
    <x v="0"/>
    <x v="3"/>
  </r>
  <r>
    <s v="Samantha Guzman"/>
    <x v="65"/>
    <x v="27"/>
    <x v="9"/>
    <x v="26"/>
    <x v="105"/>
    <x v="20"/>
    <s v="LT - Middle Finger"/>
    <x v="1"/>
    <s v="Close"/>
    <x v="3"/>
    <s v="No"/>
    <x v="0"/>
    <x v="3"/>
  </r>
  <r>
    <s v="Juan Vazquez"/>
    <x v="65"/>
    <x v="11"/>
    <x v="2"/>
    <x v="11"/>
    <x v="26"/>
    <x v="20"/>
    <s v="LT - Eye"/>
    <x v="1"/>
    <s v="Close"/>
    <x v="3"/>
    <s v="No"/>
    <x v="0"/>
    <x v="3"/>
  </r>
  <r>
    <s v="Juan Lugardo"/>
    <x v="66"/>
    <x v="26"/>
    <x v="0"/>
    <x v="25"/>
    <x v="106"/>
    <x v="10"/>
    <s v="LT - Palm"/>
    <x v="2"/>
    <s v="Close"/>
    <x v="3"/>
    <s v="Yes"/>
    <x v="0"/>
    <x v="3"/>
  </r>
  <r>
    <s v="Guadalupe Barajas"/>
    <x v="66"/>
    <x v="3"/>
    <x v="2"/>
    <x v="3"/>
    <x v="107"/>
    <x v="2"/>
    <s v="LT - Shoulder &amp; Neck"/>
    <x v="0"/>
    <s v="Close"/>
    <x v="3"/>
    <s v="No"/>
    <x v="0"/>
    <x v="3"/>
  </r>
  <r>
    <s v="Samuel Cruz"/>
    <x v="66"/>
    <x v="21"/>
    <x v="2"/>
    <x v="21"/>
    <x v="3"/>
    <x v="2"/>
    <s v="Both - Forearms"/>
    <x v="0"/>
    <s v="Close"/>
    <x v="3"/>
    <s v="No"/>
    <x v="0"/>
    <x v="3"/>
  </r>
  <r>
    <s v="Samuel Cruz"/>
    <x v="67"/>
    <x v="21"/>
    <x v="2"/>
    <x v="21"/>
    <x v="3"/>
    <x v="6"/>
    <s v="LT - Nose"/>
    <x v="0"/>
    <s v="Close"/>
    <x v="3"/>
    <s v="No"/>
    <x v="0"/>
    <x v="3"/>
  </r>
  <r>
    <s v="Yvonne Matinez"/>
    <x v="68"/>
    <x v="11"/>
    <x v="2"/>
    <x v="11"/>
    <x v="108"/>
    <x v="26"/>
    <s v="NA"/>
    <x v="1"/>
    <s v="Close"/>
    <x v="3"/>
    <s v="No"/>
    <x v="0"/>
    <x v="3"/>
  </r>
  <r>
    <s v="Saul Flores"/>
    <x v="68"/>
    <x v="21"/>
    <x v="2"/>
    <x v="21"/>
    <x v="2"/>
    <x v="2"/>
    <s v="RT - Palm &amp; Shoulder"/>
    <x v="0"/>
    <s v="Close"/>
    <x v="3"/>
    <s v="No"/>
    <x v="0"/>
    <x v="3"/>
  </r>
  <r>
    <s v="Jorge Maldonado"/>
    <x v="69"/>
    <x v="2"/>
    <x v="2"/>
    <x v="2"/>
    <x v="109"/>
    <x v="10"/>
    <s v="RT - Index Finger"/>
    <x v="0"/>
    <s v="Close"/>
    <x v="4"/>
    <s v="No"/>
    <x v="0"/>
    <x v="4"/>
  </r>
  <r>
    <s v="Rogelio Mendoza"/>
    <x v="69"/>
    <x v="20"/>
    <x v="1"/>
    <x v="1"/>
    <x v="110"/>
    <x v="2"/>
    <s v="Obdimen "/>
    <x v="0"/>
    <s v="Close"/>
    <x v="4"/>
    <s v="No"/>
    <x v="0"/>
    <x v="4"/>
  </r>
  <r>
    <s v="Edgar Hernandez"/>
    <x v="70"/>
    <x v="8"/>
    <x v="0"/>
    <x v="5"/>
    <x v="111"/>
    <x v="2"/>
    <s v="RT - Wrist"/>
    <x v="0"/>
    <s v="Close"/>
    <x v="4"/>
    <s v="No"/>
    <x v="0"/>
    <x v="4"/>
  </r>
  <r>
    <s v="Isreal Cruz Hernandez"/>
    <x v="71"/>
    <x v="24"/>
    <x v="0"/>
    <x v="13"/>
    <x v="112"/>
    <x v="18"/>
    <s v="RT - Pinky Finger"/>
    <x v="0"/>
    <s v="Close"/>
    <x v="4"/>
    <s v="No"/>
    <x v="0"/>
    <x v="4"/>
  </r>
  <r>
    <s v="RA Thach"/>
    <x v="71"/>
    <x v="3"/>
    <x v="2"/>
    <x v="3"/>
    <x v="32"/>
    <x v="2"/>
    <s v="LT - Wrist"/>
    <x v="0"/>
    <s v="Close"/>
    <x v="4"/>
    <s v="No"/>
    <x v="0"/>
    <x v="4"/>
  </r>
  <r>
    <s v="Mayra Solarte"/>
    <x v="72"/>
    <x v="8"/>
    <x v="0"/>
    <x v="5"/>
    <x v="113"/>
    <x v="2"/>
    <s v="RT - Elbow &amp; Forearm"/>
    <x v="0"/>
    <s v="Close"/>
    <x v="4"/>
    <s v="No"/>
    <x v="0"/>
    <x v="4"/>
  </r>
  <r>
    <s v="Jesus Topete"/>
    <x v="73"/>
    <x v="17"/>
    <x v="2"/>
    <x v="18"/>
    <x v="114"/>
    <x v="2"/>
    <s v="LT - Wrist"/>
    <x v="0"/>
    <s v="Close"/>
    <x v="4"/>
    <s v="No"/>
    <x v="0"/>
    <x v="4"/>
  </r>
  <r>
    <s v="Saul Flores"/>
    <x v="74"/>
    <x v="21"/>
    <x v="2"/>
    <x v="21"/>
    <x v="2"/>
    <x v="21"/>
    <s v="RT - Wrist, Elbow, &amp; Forearm"/>
    <x v="0"/>
    <s v="Close"/>
    <x v="4"/>
    <s v="No"/>
    <x v="0"/>
    <x v="4"/>
  </r>
  <r>
    <s v="Alan Aranda"/>
    <x v="74"/>
    <x v="11"/>
    <x v="2"/>
    <x v="11"/>
    <x v="115"/>
    <x v="4"/>
    <s v="RT - Ankle "/>
    <x v="0"/>
    <s v="Close"/>
    <x v="4"/>
    <s v="No"/>
    <x v="0"/>
    <x v="4"/>
  </r>
  <r>
    <s v="Xeng Vuew"/>
    <x v="74"/>
    <x v="8"/>
    <x v="0"/>
    <x v="8"/>
    <x v="81"/>
    <x v="7"/>
    <s v="LT - Upper Arm, Ribs &amp; Both Inner Thighs. "/>
    <x v="0"/>
    <s v="Close"/>
    <x v="4"/>
    <s v="No"/>
    <x v="0"/>
    <x v="4"/>
  </r>
  <r>
    <s v="China Bonner"/>
    <x v="75"/>
    <x v="11"/>
    <x v="2"/>
    <x v="11"/>
    <x v="116"/>
    <x v="0"/>
    <s v="RT - Eye"/>
    <x v="0"/>
    <s v="Close"/>
    <x v="4"/>
    <s v="No"/>
    <x v="0"/>
    <x v="4"/>
  </r>
  <r>
    <s v="Edgar Guttierez"/>
    <x v="75"/>
    <x v="2"/>
    <x v="2"/>
    <x v="2"/>
    <x v="40"/>
    <x v="10"/>
    <s v="LT - Mid Back"/>
    <x v="0"/>
    <s v="Close"/>
    <x v="4"/>
    <s v="No"/>
    <x v="0"/>
    <x v="4"/>
  </r>
  <r>
    <s v="Jesus Bernal "/>
    <x v="75"/>
    <x v="4"/>
    <x v="0"/>
    <x v="4"/>
    <x v="28"/>
    <x v="0"/>
    <s v="RT - Eye"/>
    <x v="0"/>
    <s v="Close"/>
    <x v="4"/>
    <s v="No"/>
    <x v="0"/>
    <x v="4"/>
  </r>
  <r>
    <s v="Cesar Castellanos"/>
    <x v="75"/>
    <x v="4"/>
    <x v="0"/>
    <x v="4"/>
    <x v="28"/>
    <x v="5"/>
    <s v="RT - Tight"/>
    <x v="0"/>
    <s v="Close"/>
    <x v="4"/>
    <s v="No"/>
    <x v="0"/>
    <x v="4"/>
  </r>
  <r>
    <s v="Griselda Floran"/>
    <x v="75"/>
    <x v="8"/>
    <x v="0"/>
    <x v="8"/>
    <x v="81"/>
    <x v="7"/>
    <s v="LT - Index Finger"/>
    <x v="0"/>
    <s v="Close"/>
    <x v="4"/>
    <s v="No"/>
    <x v="0"/>
    <x v="4"/>
  </r>
  <r>
    <s v="Jhondri Madariaga"/>
    <x v="76"/>
    <x v="13"/>
    <x v="2"/>
    <x v="15"/>
    <x v="91"/>
    <x v="12"/>
    <s v="RT - Index Finger"/>
    <x v="0"/>
    <s v="Close"/>
    <x v="4"/>
    <s v="No"/>
    <x v="0"/>
    <x v="4"/>
  </r>
  <r>
    <s v="Kristy Davila"/>
    <x v="77"/>
    <x v="11"/>
    <x v="2"/>
    <x v="11"/>
    <x v="117"/>
    <x v="19"/>
    <s v="LT - Hand"/>
    <x v="1"/>
    <s v="Close"/>
    <x v="4"/>
    <s v="No"/>
    <x v="0"/>
    <x v="4"/>
  </r>
  <r>
    <s v="Karen Vance"/>
    <x v="78"/>
    <x v="1"/>
    <x v="1"/>
    <x v="1"/>
    <x v="118"/>
    <x v="4"/>
    <s v="RT - Foearm, Hip, Knee"/>
    <x v="0"/>
    <s v="Close"/>
    <x v="4"/>
    <s v="No"/>
    <x v="0"/>
    <x v="4"/>
  </r>
  <r>
    <s v="Samuel Cruz"/>
    <x v="79"/>
    <x v="21"/>
    <x v="2"/>
    <x v="2"/>
    <x v="3"/>
    <x v="9"/>
    <s v="LT - Ear"/>
    <x v="0"/>
    <s v="Close"/>
    <x v="4"/>
    <s v="No"/>
    <x v="0"/>
    <x v="4"/>
  </r>
  <r>
    <s v="Kathrine Montez"/>
    <x v="80"/>
    <x v="8"/>
    <x v="0"/>
    <x v="13"/>
    <x v="19"/>
    <x v="16"/>
    <s v="LT - Index Finger"/>
    <x v="0"/>
    <s v="Close"/>
    <x v="4"/>
    <s v="No"/>
    <x v="0"/>
    <x v="4"/>
  </r>
  <r>
    <s v="Armando Gonzalez"/>
    <x v="80"/>
    <x v="3"/>
    <x v="2"/>
    <x v="3"/>
    <x v="80"/>
    <x v="2"/>
    <s v="RT - Wrist"/>
    <x v="0"/>
    <s v="Close"/>
    <x v="4"/>
    <s v="No"/>
    <x v="0"/>
    <x v="4"/>
  </r>
  <r>
    <s v="Braulio Torres"/>
    <x v="80"/>
    <x v="4"/>
    <x v="3"/>
    <x v="4"/>
    <x v="5"/>
    <x v="0"/>
    <s v="LT - Eye"/>
    <x v="0"/>
    <s v="Close"/>
    <x v="4"/>
    <s v="No"/>
    <x v="0"/>
    <x v="4"/>
  </r>
  <r>
    <s v="Israel Cruz Hernandez"/>
    <x v="80"/>
    <x v="8"/>
    <x v="0"/>
    <x v="13"/>
    <x v="119"/>
    <x v="2"/>
    <s v="RT - Wrist  "/>
    <x v="0"/>
    <s v="Close"/>
    <x v="4"/>
    <s v="No"/>
    <x v="0"/>
    <x v="4"/>
  </r>
  <r>
    <s v="German Cerda"/>
    <x v="81"/>
    <x v="2"/>
    <x v="2"/>
    <x v="2"/>
    <x v="40"/>
    <x v="2"/>
    <s v="Back of Neck"/>
    <x v="0"/>
    <s v="Close"/>
    <x v="4"/>
    <s v="No"/>
    <x v="0"/>
    <x v="4"/>
  </r>
  <r>
    <s v="Chadu Moua"/>
    <x v="81"/>
    <x v="28"/>
    <x v="2"/>
    <x v="15"/>
    <x v="120"/>
    <x v="9"/>
    <s v="LT - Index Finger &amp; RT - Thumb"/>
    <x v="0"/>
    <s v="Close"/>
    <x v="4"/>
    <s v="No"/>
    <x v="0"/>
    <x v="4"/>
  </r>
  <r>
    <s v="Juan Herrera"/>
    <x v="82"/>
    <x v="11"/>
    <x v="2"/>
    <x v="11"/>
    <x v="39"/>
    <x v="19"/>
    <s v="RT - Pinky Finger"/>
    <x v="0"/>
    <s v="Close"/>
    <x v="4"/>
    <s v="No"/>
    <x v="0"/>
    <x v="4"/>
  </r>
  <r>
    <s v="Juan Dominguez"/>
    <x v="82"/>
    <x v="24"/>
    <x v="0"/>
    <x v="19"/>
    <x v="121"/>
    <x v="18"/>
    <s v="RT - Ring Finger"/>
    <x v="0"/>
    <s v="Close"/>
    <x v="4"/>
    <s v="No"/>
    <x v="0"/>
    <x v="4"/>
  </r>
  <r>
    <s v="Jesus Morales"/>
    <x v="82"/>
    <x v="4"/>
    <x v="3"/>
    <x v="4"/>
    <x v="5"/>
    <x v="16"/>
    <s v="RT - Pinky Finger"/>
    <x v="2"/>
    <s v="Close"/>
    <x v="4"/>
    <s v="Yes"/>
    <x v="0"/>
    <x v="4"/>
  </r>
  <r>
    <s v="Karson Lowe"/>
    <x v="82"/>
    <x v="14"/>
    <x v="0"/>
    <x v="20"/>
    <x v="122"/>
    <x v="2"/>
    <s v="RT - Pinky Finger &amp; LT - Middle Finger - Hand"/>
    <x v="0"/>
    <s v="Close"/>
    <x v="4"/>
    <s v="No"/>
    <x v="0"/>
    <x v="4"/>
  </r>
  <r>
    <s v="Maria Sanchez"/>
    <x v="83"/>
    <x v="17"/>
    <x v="2"/>
    <x v="18"/>
    <x v="41"/>
    <x v="2"/>
    <s v="LT - Shoulder - Upper Arm - Forearm"/>
    <x v="0"/>
    <s v="Close"/>
    <x v="4"/>
    <s v="No"/>
    <x v="0"/>
    <x v="4"/>
  </r>
  <r>
    <s v="Guadalupe Fuentes"/>
    <x v="84"/>
    <x v="19"/>
    <x v="0"/>
    <x v="5"/>
    <x v="85"/>
    <x v="2"/>
    <s v="RT - Thumb"/>
    <x v="0"/>
    <s v="Close"/>
    <x v="4"/>
    <s v="No"/>
    <x v="0"/>
    <x v="4"/>
  </r>
  <r>
    <s v="Kristy Davila"/>
    <x v="85"/>
    <x v="11"/>
    <x v="2"/>
    <x v="11"/>
    <x v="117"/>
    <x v="2"/>
    <s v="RT - Shoulder "/>
    <x v="0"/>
    <s v="Close"/>
    <x v="5"/>
    <s v="No"/>
    <x v="0"/>
    <x v="5"/>
  </r>
  <r>
    <s v="Devron Gassaway"/>
    <x v="85"/>
    <x v="13"/>
    <x v="2"/>
    <x v="15"/>
    <x v="37"/>
    <x v="4"/>
    <s v="LT - Knee"/>
    <x v="0"/>
    <s v="Close"/>
    <x v="5"/>
    <s v="No"/>
    <x v="0"/>
    <x v="5"/>
  </r>
  <r>
    <s v="Jesus Bustos"/>
    <x v="85"/>
    <x v="3"/>
    <x v="2"/>
    <x v="3"/>
    <x v="32"/>
    <x v="2"/>
    <s v="LT - Hand"/>
    <x v="0"/>
    <s v="Close"/>
    <x v="5"/>
    <s v="No"/>
    <x v="0"/>
    <x v="5"/>
  </r>
  <r>
    <s v="Valeria Vasquez"/>
    <x v="86"/>
    <x v="19"/>
    <x v="0"/>
    <x v="5"/>
    <x v="123"/>
    <x v="2"/>
    <s v="LT - Shoulder "/>
    <x v="0"/>
    <s v="Close"/>
    <x v="5"/>
    <s v="No"/>
    <x v="0"/>
    <x v="5"/>
  </r>
  <r>
    <s v="Quiroz Sanchez"/>
    <x v="86"/>
    <x v="24"/>
    <x v="0"/>
    <x v="19"/>
    <x v="124"/>
    <x v="14"/>
    <s v="Chest &amp; Nose"/>
    <x v="1"/>
    <s v="Close"/>
    <x v="5"/>
    <s v="No"/>
    <x v="0"/>
    <x v="5"/>
  </r>
  <r>
    <s v="Jose Ramirez"/>
    <x v="87"/>
    <x v="24"/>
    <x v="0"/>
    <x v="19"/>
    <x v="125"/>
    <x v="6"/>
    <s v="LT - Forearm"/>
    <x v="0"/>
    <s v="Close"/>
    <x v="5"/>
    <s v="No"/>
    <x v="0"/>
    <x v="5"/>
  </r>
  <r>
    <s v="Marquiz Gassaway"/>
    <x v="87"/>
    <x v="24"/>
    <x v="0"/>
    <x v="19"/>
    <x v="126"/>
    <x v="7"/>
    <s v="Both Upper Arms &amp; Shoulders"/>
    <x v="0"/>
    <s v="Close"/>
    <x v="5"/>
    <s v="No"/>
    <x v="0"/>
    <x v="5"/>
  </r>
  <r>
    <s v="Oscar Torres"/>
    <x v="87"/>
    <x v="11"/>
    <x v="2"/>
    <x v="11"/>
    <x v="62"/>
    <x v="2"/>
    <s v="NA"/>
    <x v="1"/>
    <s v="Close"/>
    <x v="5"/>
    <s v="No"/>
    <x v="0"/>
    <x v="5"/>
  </r>
  <r>
    <s v="Joaquin Diaz"/>
    <x v="88"/>
    <x v="24"/>
    <x v="0"/>
    <x v="19"/>
    <x v="43"/>
    <x v="8"/>
    <s v="LT - Middle Finger"/>
    <x v="0"/>
    <s v="Close"/>
    <x v="5"/>
    <s v="No"/>
    <x v="0"/>
    <x v="5"/>
  </r>
  <r>
    <s v="Martel Sanchez"/>
    <x v="89"/>
    <x v="2"/>
    <x v="2"/>
    <x v="2"/>
    <x v="108"/>
    <x v="10"/>
    <s v="RT - Hand "/>
    <x v="0"/>
    <s v="Close"/>
    <x v="5"/>
    <s v="No"/>
    <x v="0"/>
    <x v="5"/>
  </r>
  <r>
    <s v="Fermin Martinez"/>
    <x v="89"/>
    <x v="11"/>
    <x v="2"/>
    <x v="11"/>
    <x v="127"/>
    <x v="2"/>
    <s v="LT - Elbow"/>
    <x v="0"/>
    <s v="Close"/>
    <x v="5"/>
    <s v="No"/>
    <x v="0"/>
    <x v="5"/>
  </r>
  <r>
    <s v="Jesus Avila"/>
    <x v="89"/>
    <x v="29"/>
    <x v="9"/>
    <x v="26"/>
    <x v="128"/>
    <x v="14"/>
    <s v="Eyes - Cranial - Inhalation"/>
    <x v="0"/>
    <s v="Close"/>
    <x v="5"/>
    <s v="No"/>
    <x v="0"/>
    <x v="5"/>
  </r>
  <r>
    <s v="Imelda Ranger"/>
    <x v="89"/>
    <x v="27"/>
    <x v="9"/>
    <x v="26"/>
    <x v="129"/>
    <x v="14"/>
    <s v="Eyes - Cranial - Inhalation"/>
    <x v="0"/>
    <s v="Close"/>
    <x v="5"/>
    <s v="No"/>
    <x v="0"/>
    <x v="5"/>
  </r>
  <r>
    <s v="Hilary Coberly"/>
    <x v="89"/>
    <x v="27"/>
    <x v="9"/>
    <x v="26"/>
    <x v="129"/>
    <x v="14"/>
    <s v="Eyes - Cranial - Inhalation "/>
    <x v="0"/>
    <s v="Close"/>
    <x v="5"/>
    <s v="No"/>
    <x v="0"/>
    <x v="5"/>
  </r>
  <r>
    <s v="Adam Valdiva"/>
    <x v="89"/>
    <x v="27"/>
    <x v="9"/>
    <x v="26"/>
    <x v="129"/>
    <x v="14"/>
    <s v="Eyes - Cranial - Inhalation"/>
    <x v="1"/>
    <s v="Close"/>
    <x v="5"/>
    <s v="No"/>
    <x v="0"/>
    <x v="5"/>
  </r>
  <r>
    <s v="Moises Bahera"/>
    <x v="89"/>
    <x v="27"/>
    <x v="9"/>
    <x v="26"/>
    <x v="130"/>
    <x v="14"/>
    <s v="Eyes - Cranial - Inhalation"/>
    <x v="1"/>
    <s v="Close"/>
    <x v="5"/>
    <s v="No"/>
    <x v="0"/>
    <x v="5"/>
  </r>
  <r>
    <s v="Edalia Lopez"/>
    <x v="90"/>
    <x v="8"/>
    <x v="0"/>
    <x v="13"/>
    <x v="131"/>
    <x v="6"/>
    <s v="RT - Index Finger"/>
    <x v="0"/>
    <s v="Close"/>
    <x v="5"/>
    <s v="No"/>
    <x v="0"/>
    <x v="5"/>
  </r>
  <r>
    <s v="Magalie Cadet"/>
    <x v="91"/>
    <x v="19"/>
    <x v="0"/>
    <x v="5"/>
    <x v="132"/>
    <x v="2"/>
    <s v="RT - Thumb - Forearm"/>
    <x v="0"/>
    <s v="Close"/>
    <x v="5"/>
    <s v="No"/>
    <x v="0"/>
    <x v="5"/>
  </r>
  <r>
    <s v="Honorina Lopez"/>
    <x v="91"/>
    <x v="8"/>
    <x v="0"/>
    <x v="8"/>
    <x v="133"/>
    <x v="3"/>
    <s v="LT - Hand"/>
    <x v="0"/>
    <s v="Close"/>
    <x v="5"/>
    <s v="No"/>
    <x v="0"/>
    <x v="5"/>
  </r>
  <r>
    <s v="Adrian Chaidez"/>
    <x v="92"/>
    <x v="3"/>
    <x v="2"/>
    <x v="3"/>
    <x v="80"/>
    <x v="2"/>
    <s v="RT - Wrist"/>
    <x v="0"/>
    <s v="Close"/>
    <x v="5"/>
    <s v="No"/>
    <x v="0"/>
    <x v="5"/>
  </r>
  <r>
    <s v="Cesar Castellanos"/>
    <x v="92"/>
    <x v="4"/>
    <x v="3"/>
    <x v="4"/>
    <x v="28"/>
    <x v="5"/>
    <s v="RT - Ankle "/>
    <x v="0"/>
    <s v="Close"/>
    <x v="5"/>
    <s v="No"/>
    <x v="0"/>
    <x v="5"/>
  </r>
  <r>
    <s v="Aaron Slorio"/>
    <x v="92"/>
    <x v="14"/>
    <x v="0"/>
    <x v="16"/>
    <x v="134"/>
    <x v="7"/>
    <s v="LT - Forearm"/>
    <x v="0"/>
    <s v="Close"/>
    <x v="5"/>
    <s v="No"/>
    <x v="0"/>
    <x v="5"/>
  </r>
  <r>
    <s v="Joseph Gomez"/>
    <x v="92"/>
    <x v="0"/>
    <x v="0"/>
    <x v="0"/>
    <x v="0"/>
    <x v="5"/>
    <s v="RT - Hand"/>
    <x v="0"/>
    <s v="Close"/>
    <x v="5"/>
    <s v="No"/>
    <x v="0"/>
    <x v="5"/>
  </r>
  <r>
    <s v="Jose Lopez"/>
    <x v="93"/>
    <x v="4"/>
    <x v="3"/>
    <x v="4"/>
    <x v="135"/>
    <x v="5"/>
    <s v="LT - Thumb"/>
    <x v="0"/>
    <s v="Close"/>
    <x v="5"/>
    <s v="No"/>
    <x v="0"/>
    <x v="5"/>
  </r>
  <r>
    <s v="Raul Trejo"/>
    <x v="93"/>
    <x v="16"/>
    <x v="2"/>
    <x v="27"/>
    <x v="44"/>
    <x v="7"/>
    <s v="LT - Thumb"/>
    <x v="0"/>
    <s v="Close"/>
    <x v="5"/>
    <s v="No"/>
    <x v="0"/>
    <x v="5"/>
  </r>
  <r>
    <s v="Daniel Ortega"/>
    <x v="94"/>
    <x v="19"/>
    <x v="0"/>
    <x v="5"/>
    <x v="136"/>
    <x v="12"/>
    <s v="NA"/>
    <x v="1"/>
    <s v="Close"/>
    <x v="5"/>
    <s v="No"/>
    <x v="0"/>
    <x v="5"/>
  </r>
  <r>
    <s v="China Bonner"/>
    <x v="95"/>
    <x v="11"/>
    <x v="2"/>
    <x v="11"/>
    <x v="2"/>
    <x v="2"/>
    <s v="RT - Wrist &amp; Forearm"/>
    <x v="0"/>
    <s v="Close"/>
    <x v="5"/>
    <s v="No"/>
    <x v="0"/>
    <x v="5"/>
  </r>
  <r>
    <s v="Po Thao "/>
    <x v="95"/>
    <x v="8"/>
    <x v="0"/>
    <x v="8"/>
    <x v="137"/>
    <x v="18"/>
    <s v="LT - Middle Finger"/>
    <x v="0"/>
    <s v="Close"/>
    <x v="5"/>
    <s v="No"/>
    <x v="0"/>
    <x v="5"/>
  </r>
  <r>
    <s v="Esmeralda Avalos Vazquez"/>
    <x v="95"/>
    <x v="24"/>
    <x v="0"/>
    <x v="19"/>
    <x v="58"/>
    <x v="2"/>
    <s v="RT - Wrist"/>
    <x v="0"/>
    <s v="Close"/>
    <x v="5"/>
    <s v="No"/>
    <x v="0"/>
    <x v="5"/>
  </r>
  <r>
    <s v="Daniel Vega"/>
    <x v="96"/>
    <x v="12"/>
    <x v="2"/>
    <x v="28"/>
    <x v="138"/>
    <x v="0"/>
    <s v="RT - Eye"/>
    <x v="0"/>
    <s v="Close"/>
    <x v="5"/>
    <s v="No"/>
    <x v="0"/>
    <x v="5"/>
  </r>
  <r>
    <s v="Chrisofer Diaz"/>
    <x v="96"/>
    <x v="6"/>
    <x v="4"/>
    <x v="6"/>
    <x v="139"/>
    <x v="2"/>
    <s v="RT - Upper Arm "/>
    <x v="0"/>
    <s v="Close"/>
    <x v="5"/>
    <s v="No"/>
    <x v="0"/>
    <x v="5"/>
  </r>
  <r>
    <s v="Servando Valencia"/>
    <x v="97"/>
    <x v="30"/>
    <x v="1"/>
    <x v="1"/>
    <x v="60"/>
    <x v="18"/>
    <s v="RT - Thumb"/>
    <x v="0"/>
    <s v="Close"/>
    <x v="5"/>
    <s v="No"/>
    <x v="0"/>
    <x v="5"/>
  </r>
  <r>
    <s v="Joseph Munt"/>
    <x v="97"/>
    <x v="16"/>
    <x v="2"/>
    <x v="27"/>
    <x v="140"/>
    <x v="10"/>
    <s v="LT - Wrist"/>
    <x v="0"/>
    <s v="Close"/>
    <x v="5"/>
    <s v="No"/>
    <x v="0"/>
    <x v="5"/>
  </r>
  <r>
    <s v="Arsenio Leyva"/>
    <x v="97"/>
    <x v="19"/>
    <x v="0"/>
    <x v="0"/>
    <x v="141"/>
    <x v="2"/>
    <s v="RT - Forearm"/>
    <x v="0"/>
    <s v="Close"/>
    <x v="5"/>
    <s v="No"/>
    <x v="0"/>
    <x v="5"/>
  </r>
  <r>
    <s v="Deshovana Wells"/>
    <x v="98"/>
    <x v="14"/>
    <x v="0"/>
    <x v="20"/>
    <x v="122"/>
    <x v="2"/>
    <s v="LT - Middle Finger"/>
    <x v="0"/>
    <s v="Close"/>
    <x v="5"/>
    <s v="No"/>
    <x v="0"/>
    <x v="5"/>
  </r>
  <r>
    <s v="Gabriel Garcia"/>
    <x v="98"/>
    <x v="13"/>
    <x v="2"/>
    <x v="15"/>
    <x v="142"/>
    <x v="27"/>
    <s v="LT - Cheek "/>
    <x v="0"/>
    <s v="Close"/>
    <x v="5"/>
    <s v="No"/>
    <x v="0"/>
    <x v="5"/>
  </r>
  <r>
    <s v="Sonia Orozco"/>
    <x v="98"/>
    <x v="13"/>
    <x v="2"/>
    <x v="15"/>
    <x v="143"/>
    <x v="22"/>
    <s v="LT - Wrist"/>
    <x v="0"/>
    <s v="Close"/>
    <x v="5"/>
    <s v="No"/>
    <x v="0"/>
    <x v="5"/>
  </r>
  <r>
    <s v="Edgar Hernandez"/>
    <x v="98"/>
    <x v="19"/>
    <x v="0"/>
    <x v="5"/>
    <x v="47"/>
    <x v="2"/>
    <s v="LT - Hand"/>
    <x v="0"/>
    <s v="Close"/>
    <x v="5"/>
    <s v="No"/>
    <x v="0"/>
    <x v="5"/>
  </r>
  <r>
    <s v="David Rodriguez"/>
    <x v="99"/>
    <x v="0"/>
    <x v="0"/>
    <x v="0"/>
    <x v="144"/>
    <x v="2"/>
    <s v="RT - Shoulder "/>
    <x v="0"/>
    <s v="Close"/>
    <x v="5"/>
    <s v="No"/>
    <x v="0"/>
    <x v="5"/>
  </r>
  <r>
    <s v="Mathew Lee"/>
    <x v="100"/>
    <x v="31"/>
    <x v="1"/>
    <x v="29"/>
    <x v="145"/>
    <x v="6"/>
    <s v="RT - Middle Finger"/>
    <x v="0"/>
    <s v="Close"/>
    <x v="5"/>
    <s v="No"/>
    <x v="0"/>
    <x v="5"/>
  </r>
  <r>
    <s v="Deshovana Wells"/>
    <x v="100"/>
    <x v="14"/>
    <x v="0"/>
    <x v="20"/>
    <x v="122"/>
    <x v="2"/>
    <s v="RT - Middle Finger"/>
    <x v="0"/>
    <s v="Close"/>
    <x v="5"/>
    <s v="No"/>
    <x v="0"/>
    <x v="5"/>
  </r>
  <r>
    <s v="Ronald Barboza"/>
    <x v="100"/>
    <x v="21"/>
    <x v="2"/>
    <x v="3"/>
    <x v="51"/>
    <x v="2"/>
    <s v="LT - Shoulder, Shoulder blade, Neck"/>
    <x v="0"/>
    <s v="Close"/>
    <x v="5"/>
    <s v="No"/>
    <x v="0"/>
    <x v="5"/>
  </r>
  <r>
    <s v="Martin Escalera"/>
    <x v="101"/>
    <x v="23"/>
    <x v="8"/>
    <x v="22"/>
    <x v="67"/>
    <x v="28"/>
    <s v="Respiratory System"/>
    <x v="1"/>
    <s v="Close"/>
    <x v="5"/>
    <s v="No"/>
    <x v="0"/>
    <x v="5"/>
  </r>
  <r>
    <s v="Esperanza Alvarez"/>
    <x v="101"/>
    <x v="23"/>
    <x v="8"/>
    <x v="22"/>
    <x v="67"/>
    <x v="28"/>
    <s v="Respiratory System"/>
    <x v="1"/>
    <s v="Close"/>
    <x v="5"/>
    <s v="No"/>
    <x v="0"/>
    <x v="5"/>
  </r>
  <r>
    <s v="Esmeralda Avalos Vazquez"/>
    <x v="102"/>
    <x v="24"/>
    <x v="0"/>
    <x v="19"/>
    <x v="58"/>
    <x v="4"/>
    <s v="RT - Knee &amp; Groin"/>
    <x v="0"/>
    <s v="Close"/>
    <x v="6"/>
    <s v="No"/>
    <x v="0"/>
    <x v="6"/>
  </r>
  <r>
    <s v="Frank Aguero"/>
    <x v="102"/>
    <x v="12"/>
    <x v="2"/>
    <x v="28"/>
    <x v="146"/>
    <x v="0"/>
    <s v="RT - Eye "/>
    <x v="0"/>
    <s v="Close"/>
    <x v="6"/>
    <s v="No"/>
    <x v="0"/>
    <x v="6"/>
  </r>
  <r>
    <s v="Joseph Munt"/>
    <x v="103"/>
    <x v="16"/>
    <x v="2"/>
    <x v="27"/>
    <x v="140"/>
    <x v="4"/>
    <s v="NA"/>
    <x v="1"/>
    <s v="Close"/>
    <x v="6"/>
    <s v="No"/>
    <x v="0"/>
    <x v="6"/>
  </r>
  <r>
    <s v="Gabriel Sandhu"/>
    <x v="103"/>
    <x v="11"/>
    <x v="2"/>
    <x v="11"/>
    <x v="147"/>
    <x v="2"/>
    <s v="RT - Wrist"/>
    <x v="0"/>
    <s v="Close"/>
    <x v="6"/>
    <s v="No"/>
    <x v="0"/>
    <x v="6"/>
  </r>
  <r>
    <s v="Edgar Guttierez"/>
    <x v="104"/>
    <x v="2"/>
    <x v="2"/>
    <x v="2"/>
    <x v="40"/>
    <x v="2"/>
    <s v="RT - Shoulder "/>
    <x v="0"/>
    <s v="Close"/>
    <x v="6"/>
    <s v="No"/>
    <x v="0"/>
    <x v="6"/>
  </r>
  <r>
    <s v="Michael Valdez"/>
    <x v="104"/>
    <x v="17"/>
    <x v="2"/>
    <x v="18"/>
    <x v="148"/>
    <x v="22"/>
    <s v="LT - Upper Arm/ Shoulder/ Shoulder Blade. "/>
    <x v="0"/>
    <s v="Close"/>
    <x v="6"/>
    <s v="No"/>
    <x v="0"/>
    <x v="6"/>
  </r>
  <r>
    <s v="Rayna Perez"/>
    <x v="105"/>
    <x v="19"/>
    <x v="0"/>
    <x v="5"/>
    <x v="101"/>
    <x v="2"/>
    <s v="RT - Elbow"/>
    <x v="0"/>
    <s v="Close"/>
    <x v="6"/>
    <s v="No"/>
    <x v="0"/>
    <x v="6"/>
  </r>
  <r>
    <s v="Jesus Garcia"/>
    <x v="105"/>
    <x v="19"/>
    <x v="0"/>
    <x v="5"/>
    <x v="9"/>
    <x v="7"/>
    <s v="Bilateral - Forearms "/>
    <x v="0"/>
    <s v="Close"/>
    <x v="6"/>
    <s v="No"/>
    <x v="0"/>
    <x v="6"/>
  </r>
  <r>
    <s v="Israel Douglas"/>
    <x v="106"/>
    <x v="2"/>
    <x v="2"/>
    <x v="2"/>
    <x v="124"/>
    <x v="2"/>
    <s v="RT - Wrist"/>
    <x v="0"/>
    <s v="Close"/>
    <x v="6"/>
    <s v="No"/>
    <x v="0"/>
    <x v="6"/>
  </r>
  <r>
    <s v="Braulio Torres"/>
    <x v="106"/>
    <x v="4"/>
    <x v="0"/>
    <x v="4"/>
    <x v="149"/>
    <x v="6"/>
    <s v="RT - Ring Finger"/>
    <x v="0"/>
    <s v="Close"/>
    <x v="6"/>
    <s v="No"/>
    <x v="0"/>
    <x v="6"/>
  </r>
  <r>
    <s v="Aliyah Gonzalez"/>
    <x v="106"/>
    <x v="24"/>
    <x v="0"/>
    <x v="19"/>
    <x v="108"/>
    <x v="2"/>
    <s v="RT - Shoulder "/>
    <x v="0"/>
    <s v="Close"/>
    <x v="6"/>
    <s v="No"/>
    <x v="0"/>
    <x v="6"/>
  </r>
  <r>
    <s v="Edwin Parada "/>
    <x v="106"/>
    <x v="11"/>
    <x v="2"/>
    <x v="11"/>
    <x v="150"/>
    <x v="2"/>
    <s v="RT - Shoulder "/>
    <x v="0"/>
    <s v="Close"/>
    <x v="6"/>
    <s v="No"/>
    <x v="0"/>
    <x v="6"/>
  </r>
  <r>
    <s v="Artemio Monje"/>
    <x v="107"/>
    <x v="2"/>
    <x v="2"/>
    <x v="2"/>
    <x v="151"/>
    <x v="2"/>
    <s v="RT - Elbow"/>
    <x v="0"/>
    <s v="Close"/>
    <x v="6"/>
    <s v="No"/>
    <x v="0"/>
    <x v="6"/>
  </r>
  <r>
    <s v="Diego Prciado"/>
    <x v="107"/>
    <x v="14"/>
    <x v="0"/>
    <x v="16"/>
    <x v="35"/>
    <x v="0"/>
    <s v="LT - Eye"/>
    <x v="0"/>
    <s v="Close"/>
    <x v="6"/>
    <s v="No"/>
    <x v="0"/>
    <x v="6"/>
  </r>
  <r>
    <s v="Valeria Vasquez"/>
    <x v="107"/>
    <x v="19"/>
    <x v="0"/>
    <x v="5"/>
    <x v="123"/>
    <x v="2"/>
    <s v="LT - Index &amp; Middle Finger"/>
    <x v="0"/>
    <s v="Close"/>
    <x v="6"/>
    <s v="No"/>
    <x v="0"/>
    <x v="6"/>
  </r>
  <r>
    <s v="Jonathan Golaviz"/>
    <x v="108"/>
    <x v="2"/>
    <x v="2"/>
    <x v="2"/>
    <x v="45"/>
    <x v="2"/>
    <s v="RT - Pinky Finger"/>
    <x v="0"/>
    <s v="Close"/>
    <x v="6"/>
    <s v="No"/>
    <x v="0"/>
    <x v="6"/>
  </r>
  <r>
    <s v="Mayra Solarte"/>
    <x v="109"/>
    <x v="19"/>
    <x v="0"/>
    <x v="19"/>
    <x v="152"/>
    <x v="7"/>
    <s v="LT - Upper Arm"/>
    <x v="1"/>
    <s v="Close"/>
    <x v="6"/>
    <s v="No"/>
    <x v="0"/>
    <x v="6"/>
  </r>
  <r>
    <s v="Esmeralda Avalos Vazquez"/>
    <x v="109"/>
    <x v="24"/>
    <x v="0"/>
    <x v="19"/>
    <x v="58"/>
    <x v="8"/>
    <s v="RT - Forearm"/>
    <x v="0"/>
    <s v="Close"/>
    <x v="6"/>
    <s v="No"/>
    <x v="0"/>
    <x v="6"/>
  </r>
  <r>
    <s v="Antonio Soto"/>
    <x v="109"/>
    <x v="12"/>
    <x v="2"/>
    <x v="28"/>
    <x v="153"/>
    <x v="10"/>
    <s v="LT - Index Finger"/>
    <x v="0"/>
    <s v="Close"/>
    <x v="6"/>
    <s v="No"/>
    <x v="0"/>
    <x v="6"/>
  </r>
  <r>
    <s v="Moises Flores"/>
    <x v="110"/>
    <x v="3"/>
    <x v="2"/>
    <x v="3"/>
    <x v="32"/>
    <x v="2"/>
    <s v="LT - Forearm"/>
    <x v="0"/>
    <s v="Close"/>
    <x v="6"/>
    <s v="No"/>
    <x v="0"/>
    <x v="6"/>
  </r>
  <r>
    <s v="Jose Aguilar"/>
    <x v="111"/>
    <x v="30"/>
    <x v="1"/>
    <x v="1"/>
    <x v="60"/>
    <x v="29"/>
    <s v="LT - Middle Finger"/>
    <x v="0"/>
    <s v="Close"/>
    <x v="6"/>
    <s v="No"/>
    <x v="0"/>
    <x v="6"/>
  </r>
  <r>
    <s v="Selfia Revuelta"/>
    <x v="111"/>
    <x v="21"/>
    <x v="2"/>
    <x v="21"/>
    <x v="108"/>
    <x v="10"/>
    <s v="LT - Forearm"/>
    <x v="0"/>
    <s v="Close"/>
    <x v="6"/>
    <s v="No"/>
    <x v="0"/>
    <x v="6"/>
  </r>
  <r>
    <s v="Touthao Yang"/>
    <x v="111"/>
    <x v="6"/>
    <x v="2"/>
    <x v="6"/>
    <x v="154"/>
    <x v="18"/>
    <s v="LT - Thumb"/>
    <x v="0"/>
    <s v="Close"/>
    <x v="6"/>
    <s v="No"/>
    <x v="0"/>
    <x v="6"/>
  </r>
  <r>
    <s v="Kao Vang"/>
    <x v="112"/>
    <x v="12"/>
    <x v="2"/>
    <x v="28"/>
    <x v="146"/>
    <x v="2"/>
    <s v="RT - Leg"/>
    <x v="0"/>
    <s v="Close"/>
    <x v="6"/>
    <s v="No"/>
    <x v="0"/>
    <x v="6"/>
  </r>
  <r>
    <s v="Douglas Cline"/>
    <x v="113"/>
    <x v="2"/>
    <x v="2"/>
    <x v="2"/>
    <x v="45"/>
    <x v="2"/>
    <s v="RT - Forearm"/>
    <x v="0"/>
    <s v="Close"/>
    <x v="6"/>
    <s v="No"/>
    <x v="0"/>
    <x v="6"/>
  </r>
  <r>
    <s v="Patricia Castillo"/>
    <x v="113"/>
    <x v="12"/>
    <x v="2"/>
    <x v="28"/>
    <x v="146"/>
    <x v="2"/>
    <s v="LT - Shoulder"/>
    <x v="0"/>
    <s v="Close"/>
    <x v="6"/>
    <s v="No"/>
    <x v="0"/>
    <x v="6"/>
  </r>
  <r>
    <s v="Luis Perez Baldez"/>
    <x v="113"/>
    <x v="2"/>
    <x v="2"/>
    <x v="2"/>
    <x v="143"/>
    <x v="18"/>
    <s v="RT - Ring Finger"/>
    <x v="2"/>
    <s v="Close"/>
    <x v="6"/>
    <s v="Yes"/>
    <x v="0"/>
    <x v="6"/>
  </r>
  <r>
    <s v="Sarah Gonzalez"/>
    <x v="114"/>
    <x v="0"/>
    <x v="0"/>
    <x v="0"/>
    <x v="108"/>
    <x v="2"/>
    <s v="LT - Forearm"/>
    <x v="0"/>
    <s v="Close"/>
    <x v="6"/>
    <s v="No"/>
    <x v="0"/>
    <x v="6"/>
  </r>
  <r>
    <s v="Robyn Evans"/>
    <x v="115"/>
    <x v="8"/>
    <x v="0"/>
    <x v="8"/>
    <x v="155"/>
    <x v="30"/>
    <s v="Strain"/>
    <x v="1"/>
    <m/>
    <x v="7"/>
    <s v="No"/>
    <x v="1"/>
    <x v="7"/>
  </r>
  <r>
    <s v="Maikol Nerey"/>
    <x v="115"/>
    <x v="8"/>
    <x v="0"/>
    <x v="8"/>
    <x v="156"/>
    <x v="18"/>
    <s v="LT - Upper Arm"/>
    <x v="0"/>
    <m/>
    <x v="7"/>
    <s v="No"/>
    <x v="1"/>
    <x v="7"/>
  </r>
  <r>
    <s v="Robyn Evans"/>
    <x v="115"/>
    <x v="8"/>
    <x v="0"/>
    <x v="8"/>
    <x v="155"/>
    <x v="30"/>
    <s v="Strain"/>
    <x v="0"/>
    <s v="Close"/>
    <x v="7"/>
    <s v="No"/>
    <x v="1"/>
    <x v="7"/>
  </r>
  <r>
    <s v="Touthao Yang"/>
    <x v="116"/>
    <x v="6"/>
    <x v="2"/>
    <x v="6"/>
    <x v="154"/>
    <x v="10"/>
    <s v="LT - Thumb"/>
    <x v="0"/>
    <m/>
    <x v="7"/>
    <s v="No"/>
    <x v="1"/>
    <x v="7"/>
  </r>
  <r>
    <s v="Jose Nunez"/>
    <x v="116"/>
    <x v="16"/>
    <x v="2"/>
    <x v="17"/>
    <x v="44"/>
    <x v="31"/>
    <s v="RT - Eye "/>
    <x v="0"/>
    <m/>
    <x v="7"/>
    <s v="No"/>
    <x v="1"/>
    <x v="7"/>
  </r>
  <r>
    <s v="Mauricio Sandoval"/>
    <x v="117"/>
    <x v="2"/>
    <x v="2"/>
    <x v="2"/>
    <x v="32"/>
    <x v="2"/>
    <s v="RT - Mid Upper Back"/>
    <x v="0"/>
    <m/>
    <x v="7"/>
    <s v="No"/>
    <x v="1"/>
    <x v="7"/>
  </r>
  <r>
    <s v="Gerardo Zalazar"/>
    <x v="117"/>
    <x v="17"/>
    <x v="2"/>
    <x v="18"/>
    <x v="68"/>
    <x v="32"/>
    <s v="LT - FOOT (top)"/>
    <x v="0"/>
    <m/>
    <x v="7"/>
    <s v="No"/>
    <x v="1"/>
    <x v="7"/>
  </r>
  <r>
    <s v="Enrique Ramos  "/>
    <x v="117"/>
    <x v="2"/>
    <x v="2"/>
    <x v="2"/>
    <x v="103"/>
    <x v="10"/>
    <s v="RT - Middle Finger"/>
    <x v="0"/>
    <m/>
    <x v="7"/>
    <s v="No"/>
    <x v="1"/>
    <x v="7"/>
  </r>
  <r>
    <s v="Jose Nunez"/>
    <x v="118"/>
    <x v="16"/>
    <x v="2"/>
    <x v="17"/>
    <x v="157"/>
    <x v="33"/>
    <s v="LT - Cheek"/>
    <x v="0"/>
    <m/>
    <x v="7"/>
    <s v="No"/>
    <x v="1"/>
    <x v="7"/>
  </r>
  <r>
    <s v="Michael Gurrusquieta "/>
    <x v="119"/>
    <x v="24"/>
    <x v="0"/>
    <x v="19"/>
    <x v="158"/>
    <x v="2"/>
    <s v="RT - Shoulder"/>
    <x v="0"/>
    <m/>
    <x v="7"/>
    <s v="No"/>
    <x v="1"/>
    <x v="7"/>
  </r>
  <r>
    <s v="Charlie Stevenson "/>
    <x v="119"/>
    <x v="17"/>
    <x v="2"/>
    <x v="30"/>
    <x v="159"/>
    <x v="2"/>
    <s v="RT - Elbow &amp; Bisep"/>
    <x v="0"/>
    <m/>
    <x v="7"/>
    <s v="No"/>
    <x v="1"/>
    <x v="7"/>
  </r>
  <r>
    <s v="Rocio Bernal"/>
    <x v="120"/>
    <x v="8"/>
    <x v="0"/>
    <x v="8"/>
    <x v="19"/>
    <x v="7"/>
    <s v="LT - Forearm"/>
    <x v="0"/>
    <m/>
    <x v="7"/>
    <s v="No"/>
    <x v="1"/>
    <x v="7"/>
  </r>
  <r>
    <s v="Mayra Solarte"/>
    <x v="121"/>
    <x v="19"/>
    <x v="0"/>
    <x v="5"/>
    <x v="160"/>
    <x v="2"/>
    <s v="RT - Elbow"/>
    <x v="0"/>
    <m/>
    <x v="7"/>
    <s v="No"/>
    <x v="1"/>
    <x v="7"/>
  </r>
  <r>
    <s v="Bryan Beceril"/>
    <x v="122"/>
    <x v="14"/>
    <x v="0"/>
    <x v="20"/>
    <x v="161"/>
    <x v="7"/>
    <s v="RT - Forearm"/>
    <x v="0"/>
    <m/>
    <x v="7"/>
    <s v="No"/>
    <x v="1"/>
    <x v="7"/>
  </r>
  <r>
    <s v="Sandra Arredondo"/>
    <x v="123"/>
    <x v="17"/>
    <x v="2"/>
    <x v="18"/>
    <x v="162"/>
    <x v="2"/>
    <s v="RT - Elbow &amp; Forearm"/>
    <x v="0"/>
    <m/>
    <x v="7"/>
    <s v="No"/>
    <x v="1"/>
    <x v="7"/>
  </r>
  <r>
    <s v="Jesus Silvas"/>
    <x v="123"/>
    <x v="2"/>
    <x v="2"/>
    <x v="2"/>
    <x v="32"/>
    <x v="2"/>
    <s v="Bilateral - Arms"/>
    <x v="0"/>
    <m/>
    <x v="7"/>
    <s v="No"/>
    <x v="1"/>
    <x v="7"/>
  </r>
  <r>
    <s v="Michael Gurrusquieta"/>
    <x v="123"/>
    <x v="24"/>
    <x v="0"/>
    <x v="19"/>
    <x v="158"/>
    <x v="10"/>
    <s v="LT - Thumb"/>
    <x v="0"/>
    <m/>
    <x v="7"/>
    <s v="No"/>
    <x v="1"/>
    <x v="7"/>
  </r>
  <r>
    <s v="Gabiel Limas"/>
    <x v="124"/>
    <x v="2"/>
    <x v="2"/>
    <x v="2"/>
    <x v="163"/>
    <x v="10"/>
    <s v="RT - Tight"/>
    <x v="0"/>
    <m/>
    <x v="7"/>
    <s v="No"/>
    <x v="1"/>
    <x v="7"/>
  </r>
  <r>
    <s v="Touthao Yang"/>
    <x v="125"/>
    <x v="6"/>
    <x v="2"/>
    <x v="6"/>
    <x v="154"/>
    <x v="22"/>
    <s v="LT - Ankle"/>
    <x v="0"/>
    <m/>
    <x v="7"/>
    <s v="No"/>
    <x v="1"/>
    <x v="7"/>
  </r>
  <r>
    <s v="Carlos Romen"/>
    <x v="125"/>
    <x v="4"/>
    <x v="0"/>
    <x v="4"/>
    <x v="164"/>
    <x v="5"/>
    <s v="LT - Leg (Shin)"/>
    <x v="2"/>
    <m/>
    <x v="7"/>
    <s v="Yes"/>
    <x v="1"/>
    <x v="7"/>
  </r>
  <r>
    <s v="Alfredo Rodriguez"/>
    <x v="125"/>
    <x v="6"/>
    <x v="2"/>
    <x v="6"/>
    <x v="165"/>
    <x v="2"/>
    <s v="LT - Diggit (Finger) "/>
    <x v="1"/>
    <m/>
    <x v="7"/>
    <s v="No"/>
    <x v="1"/>
    <x v="7"/>
  </r>
  <r>
    <s v="Kathrine Montez"/>
    <x v="125"/>
    <x v="8"/>
    <x v="0"/>
    <x v="13"/>
    <x v="166"/>
    <x v="34"/>
    <s v="RT - Tight"/>
    <x v="0"/>
    <m/>
    <x v="7"/>
    <s v="No"/>
    <x v="1"/>
    <x v="7"/>
  </r>
  <r>
    <s v="Jesus Morales Lopez"/>
    <x v="125"/>
    <x v="4"/>
    <x v="0"/>
    <x v="4"/>
    <x v="5"/>
    <x v="5"/>
    <s v="RT - Shin"/>
    <x v="0"/>
    <m/>
    <x v="7"/>
    <s v="No"/>
    <x v="1"/>
    <x v="7"/>
  </r>
  <r>
    <s v="Michael Valadez"/>
    <x v="126"/>
    <x v="17"/>
    <x v="2"/>
    <x v="18"/>
    <x v="148"/>
    <x v="10"/>
    <s v="RT - Thumb"/>
    <x v="0"/>
    <m/>
    <x v="7"/>
    <s v="No"/>
    <x v="1"/>
    <x v="7"/>
  </r>
  <r>
    <s v="Jose Balderas"/>
    <x v="127"/>
    <x v="0"/>
    <x v="0"/>
    <x v="0"/>
    <x v="167"/>
    <x v="2"/>
    <s v="LT - Diggits (Fingers)"/>
    <x v="1"/>
    <m/>
    <x v="7"/>
    <s v="No"/>
    <x v="1"/>
    <x v="7"/>
  </r>
  <r>
    <s v="Ovidio Sanchez"/>
    <x v="128"/>
    <x v="32"/>
    <x v="2"/>
    <x v="18"/>
    <x v="168"/>
    <x v="35"/>
    <s v="Back Head"/>
    <x v="0"/>
    <m/>
    <x v="7"/>
    <s v="No"/>
    <x v="1"/>
    <x v="7"/>
  </r>
  <r>
    <s v="Jesus Valdez"/>
    <x v="129"/>
    <x v="24"/>
    <x v="0"/>
    <x v="19"/>
    <x v="158"/>
    <x v="2"/>
    <s v="RT - Hand &amp; Forearm"/>
    <x v="0"/>
    <m/>
    <x v="7"/>
    <s v="No"/>
    <x v="1"/>
    <x v="7"/>
  </r>
  <r>
    <s v="Alan Aranda"/>
    <x v="130"/>
    <x v="11"/>
    <x v="2"/>
    <x v="11"/>
    <x v="115"/>
    <x v="31"/>
    <s v="RT - Eye "/>
    <x v="0"/>
    <m/>
    <x v="7"/>
    <s v="No"/>
    <x v="1"/>
    <x v="7"/>
  </r>
  <r>
    <s v="Simona Bejarano"/>
    <x v="131"/>
    <x v="0"/>
    <x v="0"/>
    <x v="0"/>
    <x v="159"/>
    <x v="31"/>
    <s v="RT - Eye "/>
    <x v="0"/>
    <m/>
    <x v="7"/>
    <s v="No"/>
    <x v="1"/>
    <x v="7"/>
  </r>
  <r>
    <s v="German Cerda"/>
    <x v="132"/>
    <x v="2"/>
    <x v="2"/>
    <x v="2"/>
    <x v="40"/>
    <x v="2"/>
    <s v="RT - Thumb"/>
    <x v="0"/>
    <m/>
    <x v="7"/>
    <s v="No"/>
    <x v="1"/>
    <x v="7"/>
  </r>
  <r>
    <s v="Ralph Gonzalez"/>
    <x v="132"/>
    <x v="8"/>
    <x v="0"/>
    <x v="13"/>
    <x v="169"/>
    <x v="7"/>
    <s v="Neck"/>
    <x v="0"/>
    <m/>
    <x v="7"/>
    <s v="No"/>
    <x v="1"/>
    <x v="7"/>
  </r>
  <r>
    <s v="Rosangela Rodriguez"/>
    <x v="133"/>
    <x v="13"/>
    <x v="2"/>
    <x v="15"/>
    <x v="170"/>
    <x v="4"/>
    <s v="RT - Shoulder"/>
    <x v="0"/>
    <m/>
    <x v="8"/>
    <s v="No"/>
    <x v="1"/>
    <x v="8"/>
  </r>
  <r>
    <s v="Hlee Her"/>
    <x v="134"/>
    <x v="12"/>
    <x v="2"/>
    <x v="14"/>
    <x v="37"/>
    <x v="18"/>
    <s v="RT - Hand"/>
    <x v="0"/>
    <m/>
    <x v="8"/>
    <s v="No"/>
    <x v="1"/>
    <x v="8"/>
  </r>
  <r>
    <s v="Joseph Gomez"/>
    <x v="134"/>
    <x v="0"/>
    <x v="0"/>
    <x v="0"/>
    <x v="171"/>
    <x v="36"/>
    <s v="RT - Hand / Thumb"/>
    <x v="0"/>
    <m/>
    <x v="8"/>
    <s v="No"/>
    <x v="1"/>
    <x v="8"/>
  </r>
  <r>
    <s v="Hayden Hensen"/>
    <x v="134"/>
    <x v="14"/>
    <x v="0"/>
    <x v="20"/>
    <x v="172"/>
    <x v="7"/>
    <s v="RT - Thumb"/>
    <x v="0"/>
    <m/>
    <x v="8"/>
    <s v="No"/>
    <x v="1"/>
    <x v="8"/>
  </r>
  <r>
    <s v="Domigo Camberus"/>
    <x v="134"/>
    <x v="24"/>
    <x v="0"/>
    <x v="19"/>
    <x v="158"/>
    <x v="31"/>
    <s v="RT - Eye "/>
    <x v="0"/>
    <m/>
    <x v="8"/>
    <s v="No"/>
    <x v="1"/>
    <x v="8"/>
  </r>
  <r>
    <s v="Jose Silvas"/>
    <x v="135"/>
    <x v="3"/>
    <x v="2"/>
    <x v="3"/>
    <x v="32"/>
    <x v="2"/>
    <s v="RT - Palm"/>
    <x v="0"/>
    <m/>
    <x v="8"/>
    <s v="No"/>
    <x v="1"/>
    <x v="8"/>
  </r>
  <r>
    <s v="Marquiz Cassaway"/>
    <x v="135"/>
    <x v="24"/>
    <x v="0"/>
    <x v="19"/>
    <x v="159"/>
    <x v="7"/>
    <s v="LT - Forearm &amp; RT - Upper Arm"/>
    <x v="0"/>
    <m/>
    <x v="8"/>
    <s v="No"/>
    <x v="1"/>
    <x v="8"/>
  </r>
  <r>
    <s v="Serijei Argueta"/>
    <x v="135"/>
    <x v="8"/>
    <x v="0"/>
    <x v="8"/>
    <x v="81"/>
    <x v="7"/>
    <s v="LF - Forearm"/>
    <x v="0"/>
    <m/>
    <x v="8"/>
    <s v="No"/>
    <x v="1"/>
    <x v="8"/>
  </r>
  <r>
    <s v="Manuel Escobar"/>
    <x v="136"/>
    <x v="1"/>
    <x v="10"/>
    <x v="31"/>
    <x v="1"/>
    <x v="37"/>
    <s v="LT - Pointing Finger"/>
    <x v="0"/>
    <m/>
    <x v="8"/>
    <s v="No"/>
    <x v="1"/>
    <x v="8"/>
  </r>
  <r>
    <s v="Leroy Major"/>
    <x v="137"/>
    <x v="6"/>
    <x v="2"/>
    <x v="6"/>
    <x v="139"/>
    <x v="2"/>
    <s v="RT - Upper Arm  "/>
    <x v="0"/>
    <m/>
    <x v="8"/>
    <s v="No"/>
    <x v="1"/>
    <x v="8"/>
  </r>
  <r>
    <s v="Enrique Ramos  "/>
    <x v="137"/>
    <x v="2"/>
    <x v="2"/>
    <x v="2"/>
    <x v="103"/>
    <x v="37"/>
    <s v="RT - Thumb"/>
    <x v="0"/>
    <m/>
    <x v="8"/>
    <s v="No"/>
    <x v="1"/>
    <x v="8"/>
  </r>
  <r>
    <s v="Christafer Diaz"/>
    <x v="137"/>
    <x v="6"/>
    <x v="2"/>
    <x v="6"/>
    <x v="139"/>
    <x v="10"/>
    <s v="RT - Thumb"/>
    <x v="0"/>
    <m/>
    <x v="8"/>
    <s v="No"/>
    <x v="1"/>
    <x v="8"/>
  </r>
  <r>
    <s v="Patricia Castillo"/>
    <x v="138"/>
    <x v="12"/>
    <x v="2"/>
    <x v="28"/>
    <x v="146"/>
    <x v="38"/>
    <s v="RT - Knee / LT - Shin"/>
    <x v="0"/>
    <m/>
    <x v="8"/>
    <s v="No"/>
    <x v="1"/>
    <x v="8"/>
  </r>
  <r>
    <s v="Raul Flores"/>
    <x v="138"/>
    <x v="6"/>
    <x v="2"/>
    <x v="6"/>
    <x v="173"/>
    <x v="32"/>
    <s v="RT - Forearm"/>
    <x v="0"/>
    <m/>
    <x v="8"/>
    <s v="No"/>
    <x v="1"/>
    <x v="8"/>
  </r>
  <r>
    <s v="Reyna Lopez"/>
    <x v="139"/>
    <x v="19"/>
    <x v="0"/>
    <x v="5"/>
    <x v="174"/>
    <x v="2"/>
    <s v="RT - Elbow"/>
    <x v="0"/>
    <m/>
    <x v="8"/>
    <s v="No"/>
    <x v="1"/>
    <x v="8"/>
  </r>
  <r>
    <s v="Angel Quintero"/>
    <x v="139"/>
    <x v="17"/>
    <x v="2"/>
    <x v="18"/>
    <x v="77"/>
    <x v="2"/>
    <s v="LT - Fingers &amp; Wrist"/>
    <x v="0"/>
    <m/>
    <x v="8"/>
    <s v="No"/>
    <x v="1"/>
    <x v="8"/>
  </r>
  <r>
    <s v="Diego Presiado"/>
    <x v="139"/>
    <x v="14"/>
    <x v="0"/>
    <x v="16"/>
    <x v="35"/>
    <x v="31"/>
    <s v="Both Eyes"/>
    <x v="0"/>
    <m/>
    <x v="8"/>
    <s v="No"/>
    <x v="1"/>
    <x v="8"/>
  </r>
  <r>
    <s v="Israel Douglas"/>
    <x v="140"/>
    <x v="2"/>
    <x v="2"/>
    <x v="2"/>
    <x v="175"/>
    <x v="2"/>
    <s v="Lower Back"/>
    <x v="0"/>
    <m/>
    <x v="8"/>
    <s v="No"/>
    <x v="1"/>
    <x v="8"/>
  </r>
  <r>
    <s v="Daniel Vega"/>
    <x v="140"/>
    <x v="12"/>
    <x v="2"/>
    <x v="28"/>
    <x v="176"/>
    <x v="2"/>
    <s v="RT - Shoulder"/>
    <x v="0"/>
    <m/>
    <x v="8"/>
    <s v="No"/>
    <x v="1"/>
    <x v="8"/>
  </r>
  <r>
    <s v="Nicolas Gonzalez"/>
    <x v="140"/>
    <x v="2"/>
    <x v="2"/>
    <x v="2"/>
    <x v="82"/>
    <x v="37"/>
    <s v="RT - Forearm"/>
    <x v="0"/>
    <m/>
    <x v="8"/>
    <s v="No"/>
    <x v="1"/>
    <x v="8"/>
  </r>
  <r>
    <s v="Ker Vang"/>
    <x v="140"/>
    <x v="0"/>
    <x v="0"/>
    <x v="0"/>
    <x v="177"/>
    <x v="7"/>
    <s v="LT - EYE / LT &amp; RT Shoulders and chest. "/>
    <x v="0"/>
    <m/>
    <x v="8"/>
    <s v="No"/>
    <x v="1"/>
    <x v="8"/>
  </r>
  <r>
    <s v="Edgar Gutierrez"/>
    <x v="141"/>
    <x v="2"/>
    <x v="2"/>
    <x v="2"/>
    <x v="40"/>
    <x v="2"/>
    <s v="LT - Wrist"/>
    <x v="0"/>
    <m/>
    <x v="8"/>
    <s v="No"/>
    <x v="1"/>
    <x v="8"/>
  </r>
  <r>
    <s v="Marcelina Ruiz"/>
    <x v="141"/>
    <x v="11"/>
    <x v="2"/>
    <x v="11"/>
    <x v="104"/>
    <x v="10"/>
    <s v="RT - Palm"/>
    <x v="0"/>
    <m/>
    <x v="8"/>
    <s v="No"/>
    <x v="1"/>
    <x v="8"/>
  </r>
  <r>
    <s v="Fermin Martinez"/>
    <x v="142"/>
    <x v="11"/>
    <x v="2"/>
    <x v="11"/>
    <x v="104"/>
    <x v="2"/>
    <s v="LT - Forearm"/>
    <x v="0"/>
    <m/>
    <x v="8"/>
    <s v="No"/>
    <x v="1"/>
    <x v="8"/>
  </r>
  <r>
    <s v="Julia Orosco "/>
    <x v="142"/>
    <x v="19"/>
    <x v="0"/>
    <x v="5"/>
    <x v="160"/>
    <x v="2"/>
    <s v="RT - Palm (Hand)"/>
    <x v="0"/>
    <m/>
    <x v="8"/>
    <s v="No"/>
    <x v="1"/>
    <x v="8"/>
  </r>
  <r>
    <s v="Joseph Gomez"/>
    <x v="142"/>
    <x v="0"/>
    <x v="0"/>
    <x v="0"/>
    <x v="178"/>
    <x v="5"/>
    <s v="RT - Wrist - LT Obdomon"/>
    <x v="0"/>
    <m/>
    <x v="8"/>
    <s v="No"/>
    <x v="1"/>
    <x v="8"/>
  </r>
  <r>
    <s v="Jose Nunez"/>
    <x v="143"/>
    <x v="16"/>
    <x v="2"/>
    <x v="17"/>
    <x v="157"/>
    <x v="4"/>
    <s v="Both Knees"/>
    <x v="0"/>
    <m/>
    <x v="8"/>
    <s v="No"/>
    <x v="1"/>
    <x v="8"/>
  </r>
  <r>
    <s v="Rocio Bernal"/>
    <x v="143"/>
    <x v="8"/>
    <x v="0"/>
    <x v="8"/>
    <x v="53"/>
    <x v="37"/>
    <s v="LT - Middle Finger"/>
    <x v="0"/>
    <m/>
    <x v="8"/>
    <s v="No"/>
    <x v="1"/>
    <x v="8"/>
  </r>
  <r>
    <s v="Xeng Vue"/>
    <x v="144"/>
    <x v="8"/>
    <x v="0"/>
    <x v="8"/>
    <x v="81"/>
    <x v="39"/>
    <s v="LT - Toe"/>
    <x v="0"/>
    <m/>
    <x v="8"/>
    <s v="No"/>
    <x v="1"/>
    <x v="8"/>
  </r>
  <r>
    <s v="Mauricio Sandoval"/>
    <x v="144"/>
    <x v="3"/>
    <x v="2"/>
    <x v="3"/>
    <x v="32"/>
    <x v="35"/>
    <s v="LT - Wrist"/>
    <x v="0"/>
    <m/>
    <x v="8"/>
    <s v="No"/>
    <x v="1"/>
    <x v="8"/>
  </r>
  <r>
    <s v="Maria Figueroa"/>
    <x v="145"/>
    <x v="8"/>
    <x v="0"/>
    <x v="8"/>
    <x v="11"/>
    <x v="8"/>
    <s v="RT - Wrist / Hand"/>
    <x v="0"/>
    <m/>
    <x v="8"/>
    <s v="No"/>
    <x v="1"/>
    <x v="8"/>
  </r>
  <r>
    <s v="Yvonne Martinez"/>
    <x v="145"/>
    <x v="11"/>
    <x v="2"/>
    <x v="11"/>
    <x v="160"/>
    <x v="7"/>
    <s v="RT/ LT Wrist"/>
    <x v="0"/>
    <m/>
    <x v="8"/>
    <s v="No"/>
    <x v="1"/>
    <x v="8"/>
  </r>
  <r>
    <s v="Kao Vang"/>
    <x v="145"/>
    <x v="12"/>
    <x v="2"/>
    <x v="28"/>
    <x v="146"/>
    <x v="32"/>
    <s v="Rt - Ankle "/>
    <x v="0"/>
    <m/>
    <x v="8"/>
    <s v="No"/>
    <x v="1"/>
    <x v="8"/>
  </r>
  <r>
    <s v="Anthony Cortez"/>
    <x v="146"/>
    <x v="24"/>
    <x v="0"/>
    <x v="19"/>
    <x v="158"/>
    <x v="2"/>
    <s v="LT - Hand"/>
    <x v="0"/>
    <m/>
    <x v="8"/>
    <s v="No"/>
    <x v="1"/>
    <x v="8"/>
  </r>
  <r>
    <s v="Juan Gonzalez"/>
    <x v="146"/>
    <x v="2"/>
    <x v="2"/>
    <x v="2"/>
    <x v="40"/>
    <x v="37"/>
    <s v="RT - Forearm"/>
    <x v="0"/>
    <m/>
    <x v="8"/>
    <s v="No"/>
    <x v="1"/>
    <x v="8"/>
  </r>
  <r>
    <s v="Patricia Estrada"/>
    <x v="146"/>
    <x v="12"/>
    <x v="2"/>
    <x v="28"/>
    <x v="179"/>
    <x v="31"/>
    <s v="RT - Eye "/>
    <x v="0"/>
    <m/>
    <x v="8"/>
    <s v="No"/>
    <x v="1"/>
    <x v="8"/>
  </r>
  <r>
    <s v="Richie Glass"/>
    <x v="146"/>
    <x v="10"/>
    <x v="7"/>
    <x v="24"/>
    <x v="180"/>
    <x v="2"/>
    <s v="RT/ LT Shoulders &amp; Neck"/>
    <x v="0"/>
    <m/>
    <x v="8"/>
    <s v="No"/>
    <x v="1"/>
    <x v="8"/>
  </r>
  <r>
    <s v="Ismael Martinez"/>
    <x v="147"/>
    <x v="13"/>
    <x v="2"/>
    <x v="15"/>
    <x v="181"/>
    <x v="2"/>
    <s v="LT - Shoulder"/>
    <x v="0"/>
    <m/>
    <x v="9"/>
    <s v="No"/>
    <x v="1"/>
    <x v="9"/>
  </r>
  <r>
    <s v="Daniel Verduzco"/>
    <x v="147"/>
    <x v="8"/>
    <x v="0"/>
    <x v="8"/>
    <x v="81"/>
    <x v="31"/>
    <s v="LT - Eye"/>
    <x v="0"/>
    <m/>
    <x v="9"/>
    <s v="No"/>
    <x v="1"/>
    <x v="9"/>
  </r>
  <r>
    <s v="Guillermo Ortiz"/>
    <x v="148"/>
    <x v="3"/>
    <x v="2"/>
    <x v="3"/>
    <x v="176"/>
    <x v="2"/>
    <s v="RT - Shoulder"/>
    <x v="0"/>
    <m/>
    <x v="9"/>
    <s v="No"/>
    <x v="1"/>
    <x v="9"/>
  </r>
  <r>
    <s v="Janette Ramirez"/>
    <x v="148"/>
    <x v="2"/>
    <x v="2"/>
    <x v="11"/>
    <x v="182"/>
    <x v="4"/>
    <s v="RT - Knee &amp; Palm"/>
    <x v="0"/>
    <m/>
    <x v="9"/>
    <s v="No"/>
    <x v="1"/>
    <x v="9"/>
  </r>
  <r>
    <s v=" Sukhbir Sandu "/>
    <x v="148"/>
    <x v="2"/>
    <x v="2"/>
    <x v="2"/>
    <x v="142"/>
    <x v="40"/>
    <s v="RT - Thumb"/>
    <x v="0"/>
    <m/>
    <x v="9"/>
    <s v="No"/>
    <x v="1"/>
    <x v="9"/>
  </r>
  <r>
    <s v="German Cerda"/>
    <x v="149"/>
    <x v="2"/>
    <x v="2"/>
    <x v="2"/>
    <x v="40"/>
    <x v="2"/>
    <s v="RT - Shoulder"/>
    <x v="0"/>
    <m/>
    <x v="9"/>
    <s v="No"/>
    <x v="1"/>
    <x v="9"/>
  </r>
  <r>
    <s v="Vincent Johnson"/>
    <x v="149"/>
    <x v="11"/>
    <x v="2"/>
    <x v="11"/>
    <x v="142"/>
    <x v="2"/>
    <s v="LT - Chest"/>
    <x v="0"/>
    <m/>
    <x v="9"/>
    <s v="No"/>
    <x v="1"/>
    <x v="9"/>
  </r>
  <r>
    <s v="Eduardo Vega"/>
    <x v="149"/>
    <x v="4"/>
    <x v="0"/>
    <x v="4"/>
    <x v="183"/>
    <x v="31"/>
    <s v="LT - Eye"/>
    <x v="1"/>
    <m/>
    <x v="9"/>
    <s v="No"/>
    <x v="1"/>
    <x v="9"/>
  </r>
  <r>
    <s v="Rosendo Granados"/>
    <x v="150"/>
    <x v="24"/>
    <x v="0"/>
    <x v="19"/>
    <x v="158"/>
    <x v="2"/>
    <s v="RT - Shoulder"/>
    <x v="0"/>
    <m/>
    <x v="9"/>
    <s v="No"/>
    <x v="1"/>
    <x v="9"/>
  </r>
  <r>
    <s v="Yvonne Martinez"/>
    <x v="150"/>
    <x v="11"/>
    <x v="2"/>
    <x v="11"/>
    <x v="160"/>
    <x v="31"/>
    <s v="RT - Eye "/>
    <x v="0"/>
    <m/>
    <x v="9"/>
    <s v="No"/>
    <x v="1"/>
    <x v="9"/>
  </r>
  <r>
    <s v="Dulce Monjardin  "/>
    <x v="150"/>
    <x v="19"/>
    <x v="0"/>
    <x v="5"/>
    <x v="27"/>
    <x v="31"/>
    <s v="RT - Eye "/>
    <x v="0"/>
    <m/>
    <x v="9"/>
    <s v="No"/>
    <x v="1"/>
    <x v="9"/>
  </r>
  <r>
    <s v="Evangelina Marron"/>
    <x v="150"/>
    <x v="11"/>
    <x v="2"/>
    <x v="11"/>
    <x v="104"/>
    <x v="31"/>
    <s v="LT - Eye"/>
    <x v="0"/>
    <m/>
    <x v="9"/>
    <s v="No"/>
    <x v="1"/>
    <x v="9"/>
  </r>
  <r>
    <s v="Alexander Eller"/>
    <x v="151"/>
    <x v="27"/>
    <x v="11"/>
    <x v="26"/>
    <x v="184"/>
    <x v="18"/>
    <s v="RT - Middle Finger"/>
    <x v="0"/>
    <m/>
    <x v="9"/>
    <s v="No"/>
    <x v="1"/>
    <x v="9"/>
  </r>
  <r>
    <s v="Edgar Hernandez"/>
    <x v="151"/>
    <x v="19"/>
    <x v="0"/>
    <x v="5"/>
    <x v="185"/>
    <x v="4"/>
    <s v="RT - Knee"/>
    <x v="0"/>
    <m/>
    <x v="9"/>
    <s v="No"/>
    <x v="1"/>
    <x v="9"/>
  </r>
  <r>
    <s v="Nicolas Gonzalez"/>
    <x v="152"/>
    <x v="2"/>
    <x v="2"/>
    <x v="11"/>
    <x v="82"/>
    <x v="2"/>
    <s v="RT - Hand"/>
    <x v="0"/>
    <m/>
    <x v="9"/>
    <s v="No"/>
    <x v="1"/>
    <x v="9"/>
  </r>
  <r>
    <s v="Isacc Mcdowell"/>
    <x v="152"/>
    <x v="14"/>
    <x v="0"/>
    <x v="20"/>
    <x v="186"/>
    <x v="2"/>
    <s v="RT - Upper Back"/>
    <x v="0"/>
    <m/>
    <x v="9"/>
    <s v="No"/>
    <x v="1"/>
    <x v="9"/>
  </r>
  <r>
    <s v="Jose Delgado"/>
    <x v="153"/>
    <x v="3"/>
    <x v="2"/>
    <x v="3"/>
    <x v="187"/>
    <x v="2"/>
    <s v="RT - Hand"/>
    <x v="0"/>
    <m/>
    <x v="9"/>
    <s v="No"/>
    <x v="1"/>
    <x v="9"/>
  </r>
  <r>
    <s v="Saray Pedroza"/>
    <x v="153"/>
    <x v="8"/>
    <x v="0"/>
    <x v="8"/>
    <x v="19"/>
    <x v="8"/>
    <s v="LT - Shoulder"/>
    <x v="0"/>
    <m/>
    <x v="9"/>
    <s v="No"/>
    <x v="1"/>
    <x v="9"/>
  </r>
  <r>
    <s v="Omar Chavez"/>
    <x v="153"/>
    <x v="0"/>
    <x v="0"/>
    <x v="0"/>
    <x v="188"/>
    <x v="31"/>
    <s v="LT - Eye"/>
    <x v="0"/>
    <m/>
    <x v="9"/>
    <s v="No"/>
    <x v="1"/>
    <x v="9"/>
  </r>
  <r>
    <s v="Zosimo Velasquez"/>
    <x v="153"/>
    <x v="6"/>
    <x v="2"/>
    <x v="6"/>
    <x v="165"/>
    <x v="38"/>
    <s v="LT - Eye"/>
    <x v="0"/>
    <m/>
    <x v="9"/>
    <s v="No"/>
    <x v="1"/>
    <x v="9"/>
  </r>
  <r>
    <s v="Raymond Bentacourt"/>
    <x v="154"/>
    <x v="6"/>
    <x v="2"/>
    <x v="6"/>
    <x v="173"/>
    <x v="38"/>
    <s v="RT - Index finger"/>
    <x v="0"/>
    <m/>
    <x v="9"/>
    <s v="No"/>
    <x v="1"/>
    <x v="9"/>
  </r>
  <r>
    <s v="Edgar Hernandez"/>
    <x v="155"/>
    <x v="19"/>
    <x v="0"/>
    <x v="5"/>
    <x v="185"/>
    <x v="32"/>
    <s v="Head"/>
    <x v="0"/>
    <m/>
    <x v="9"/>
    <s v="No"/>
    <x v="1"/>
    <x v="9"/>
  </r>
  <r>
    <s v="Eduardo Ventura"/>
    <x v="155"/>
    <x v="24"/>
    <x v="0"/>
    <x v="19"/>
    <x v="189"/>
    <x v="7"/>
    <s v="RT - Forearm"/>
    <x v="0"/>
    <m/>
    <x v="9"/>
    <s v="No"/>
    <x v="1"/>
    <x v="9"/>
  </r>
  <r>
    <s v="Martel Sanchez"/>
    <x v="156"/>
    <x v="32"/>
    <x v="2"/>
    <x v="2"/>
    <x v="160"/>
    <x v="18"/>
    <s v="RT - Ring Finger"/>
    <x v="0"/>
    <m/>
    <x v="9"/>
    <s v="No"/>
    <x v="1"/>
    <x v="9"/>
  </r>
  <r>
    <s v="Jesus Valdez"/>
    <x v="156"/>
    <x v="24"/>
    <x v="0"/>
    <x v="19"/>
    <x v="158"/>
    <x v="37"/>
    <s v="RT - Forearm"/>
    <x v="0"/>
    <m/>
    <x v="9"/>
    <s v="No"/>
    <x v="1"/>
    <x v="9"/>
  </r>
  <r>
    <s v="Baljit Kaur"/>
    <x v="157"/>
    <x v="11"/>
    <x v="2"/>
    <x v="11"/>
    <x v="190"/>
    <x v="2"/>
    <s v="RT - Upper arm/ Forearm/ wrist/ shoulder &amp; upper back. "/>
    <x v="0"/>
    <m/>
    <x v="9"/>
    <s v="No"/>
    <x v="1"/>
    <x v="9"/>
  </r>
  <r>
    <s v="Miguel Lucatero"/>
    <x v="157"/>
    <x v="13"/>
    <x v="2"/>
    <x v="15"/>
    <x v="191"/>
    <x v="2"/>
    <s v="RT - Shoulder / RT - LT Hands and Wrist"/>
    <x v="0"/>
    <m/>
    <x v="9"/>
    <s v="No"/>
    <x v="1"/>
    <x v="9"/>
  </r>
  <r>
    <s v="Amanda Phrasavath"/>
    <x v="157"/>
    <x v="32"/>
    <x v="2"/>
    <x v="2"/>
    <x v="192"/>
    <x v="22"/>
    <s v="RT - Ankle "/>
    <x v="0"/>
    <m/>
    <x v="9"/>
    <s v="No"/>
    <x v="1"/>
    <x v="9"/>
  </r>
  <r>
    <s v="John Tovar"/>
    <x v="157"/>
    <x v="0"/>
    <x v="0"/>
    <x v="0"/>
    <x v="193"/>
    <x v="35"/>
    <s v="LT - FOOT (top)"/>
    <x v="0"/>
    <m/>
    <x v="9"/>
    <s v="No"/>
    <x v="1"/>
    <x v="9"/>
  </r>
  <r>
    <s v="Efigenia Rodriguez"/>
    <x v="158"/>
    <x v="13"/>
    <x v="2"/>
    <x v="15"/>
    <x v="142"/>
    <x v="10"/>
    <s v="LT - Thumb"/>
    <x v="0"/>
    <m/>
    <x v="9"/>
    <s v="No"/>
    <x v="1"/>
    <x v="9"/>
  </r>
  <r>
    <s v="Michael Valadez"/>
    <x v="158"/>
    <x v="17"/>
    <x v="2"/>
    <x v="18"/>
    <x v="148"/>
    <x v="35"/>
    <s v="RT - Mouth"/>
    <x v="0"/>
    <m/>
    <x v="9"/>
    <s v="No"/>
    <x v="1"/>
    <x v="9"/>
  </r>
  <r>
    <s v="Tong Yang"/>
    <x v="159"/>
    <x v="4"/>
    <x v="0"/>
    <x v="4"/>
    <x v="194"/>
    <x v="18"/>
    <s v="RT - Index finger"/>
    <x v="0"/>
    <m/>
    <x v="9"/>
    <s v="No"/>
    <x v="1"/>
    <x v="9"/>
  </r>
  <r>
    <s v="Nia Caraway"/>
    <x v="160"/>
    <x v="2"/>
    <x v="2"/>
    <x v="11"/>
    <x v="39"/>
    <x v="10"/>
    <s v="Chin"/>
    <x v="0"/>
    <m/>
    <x v="9"/>
    <s v="No"/>
    <x v="1"/>
    <x v="9"/>
  </r>
  <r>
    <s v="Dewly Cassaway"/>
    <x v="161"/>
    <x v="24"/>
    <x v="0"/>
    <x v="19"/>
    <x v="195"/>
    <x v="41"/>
    <s v="LT - Digits"/>
    <x v="0"/>
    <m/>
    <x v="9"/>
    <s v="No"/>
    <x v="1"/>
    <x v="9"/>
  </r>
  <r>
    <s v="Ricardo Vaca"/>
    <x v="161"/>
    <x v="24"/>
    <x v="0"/>
    <x v="19"/>
    <x v="196"/>
    <x v="2"/>
    <s v="Lower Back"/>
    <x v="0"/>
    <m/>
    <x v="9"/>
    <s v="No"/>
    <x v="1"/>
    <x v="9"/>
  </r>
  <r>
    <s v="Jose Ramos Rodriguez"/>
    <x v="161"/>
    <x v="4"/>
    <x v="0"/>
    <x v="4"/>
    <x v="194"/>
    <x v="31"/>
    <s v="RT - Eye "/>
    <x v="0"/>
    <m/>
    <x v="9"/>
    <s v="No"/>
    <x v="1"/>
    <x v="9"/>
  </r>
  <r>
    <s v="Ying Cha"/>
    <x v="161"/>
    <x v="8"/>
    <x v="0"/>
    <x v="8"/>
    <x v="197"/>
    <x v="42"/>
    <s v="RT - Hand"/>
    <x v="0"/>
    <m/>
    <x v="9"/>
    <s v="No"/>
    <x v="1"/>
    <x v="9"/>
  </r>
  <r>
    <s v="Anthony Cortez"/>
    <x v="161"/>
    <x v="24"/>
    <x v="0"/>
    <x v="19"/>
    <x v="158"/>
    <x v="37"/>
    <s v="RT - Forearm"/>
    <x v="0"/>
    <m/>
    <x v="9"/>
    <s v="No"/>
    <x v="1"/>
    <x v="9"/>
  </r>
  <r>
    <s v="Gerardo Rosendo"/>
    <x v="162"/>
    <x v="24"/>
    <x v="0"/>
    <x v="19"/>
    <x v="158"/>
    <x v="43"/>
    <s v="RT - Shoulder"/>
    <x v="0"/>
    <m/>
    <x v="9"/>
    <s v="No"/>
    <x v="1"/>
    <x v="9"/>
  </r>
  <r>
    <s v="Esmeralda Avalos"/>
    <x v="163"/>
    <x v="24"/>
    <x v="0"/>
    <x v="19"/>
    <x v="198"/>
    <x v="2"/>
    <s v="RT - Wrist"/>
    <x v="0"/>
    <m/>
    <x v="9"/>
    <s v="No"/>
    <x v="1"/>
    <x v="9"/>
  </r>
  <r>
    <s v="Gabriela Garcia"/>
    <x v="163"/>
    <x v="13"/>
    <x v="2"/>
    <x v="15"/>
    <x v="142"/>
    <x v="2"/>
    <s v="LT - Thumb"/>
    <x v="0"/>
    <m/>
    <x v="9"/>
    <s v="No"/>
    <x v="1"/>
    <x v="9"/>
  </r>
  <r>
    <s v="Angel Garcia"/>
    <x v="163"/>
    <x v="21"/>
    <x v="2"/>
    <x v="21"/>
    <x v="199"/>
    <x v="10"/>
    <s v="LT - Pointing Finger"/>
    <x v="0"/>
    <m/>
    <x v="9"/>
    <s v="No"/>
    <x v="1"/>
    <x v="9"/>
  </r>
  <r>
    <s v="Fernando Ortega"/>
    <x v="164"/>
    <x v="17"/>
    <x v="2"/>
    <x v="18"/>
    <x v="191"/>
    <x v="2"/>
    <s v="LT - Shoulder &amp; Hand"/>
    <x v="0"/>
    <m/>
    <x v="10"/>
    <s v="No"/>
    <x v="1"/>
    <x v="10"/>
  </r>
  <r>
    <s v="Luis Torres"/>
    <x v="165"/>
    <x v="8"/>
    <x v="0"/>
    <x v="8"/>
    <x v="200"/>
    <x v="2"/>
    <s v="LT - Arm (including hand)"/>
    <x v="0"/>
    <m/>
    <x v="10"/>
    <s v="No"/>
    <x v="1"/>
    <x v="10"/>
  </r>
  <r>
    <s v="Saray Pedroza"/>
    <x v="165"/>
    <x v="8"/>
    <x v="0"/>
    <x v="8"/>
    <x v="201"/>
    <x v="31"/>
    <s v="RT - Eye "/>
    <x v="0"/>
    <m/>
    <x v="10"/>
    <s v="No"/>
    <x v="1"/>
    <x v="10"/>
  </r>
  <r>
    <s v="Isacc Mcdowell"/>
    <x v="166"/>
    <x v="14"/>
    <x v="0"/>
    <x v="20"/>
    <x v="186"/>
    <x v="10"/>
    <s v="RT - Elbow"/>
    <x v="0"/>
    <m/>
    <x v="10"/>
    <s v="No"/>
    <x v="1"/>
    <x v="10"/>
  </r>
  <r>
    <s v="Oscar Mardiz"/>
    <x v="166"/>
    <x v="17"/>
    <x v="2"/>
    <x v="18"/>
    <x v="69"/>
    <x v="38"/>
    <s v="LT - FOOT (top)"/>
    <x v="0"/>
    <m/>
    <x v="10"/>
    <s v="No"/>
    <x v="1"/>
    <x v="10"/>
  </r>
  <r>
    <s v="Touthao Yang"/>
    <x v="166"/>
    <x v="6"/>
    <x v="2"/>
    <x v="6"/>
    <x v="154"/>
    <x v="18"/>
    <s v="LT - Middle Finger"/>
    <x v="0"/>
    <m/>
    <x v="10"/>
    <s v="No"/>
    <x v="1"/>
    <x v="10"/>
  </r>
  <r>
    <s v="Marquiz Cassaway"/>
    <x v="166"/>
    <x v="24"/>
    <x v="0"/>
    <x v="19"/>
    <x v="159"/>
    <x v="7"/>
    <s v="LT - Forearm"/>
    <x v="0"/>
    <m/>
    <x v="10"/>
    <s v="No"/>
    <x v="1"/>
    <x v="10"/>
  </r>
  <r>
    <s v="Deshavana Wells"/>
    <x v="166"/>
    <x v="8"/>
    <x v="0"/>
    <x v="13"/>
    <x v="202"/>
    <x v="8"/>
    <s v="LT - Mid Back"/>
    <x v="0"/>
    <m/>
    <x v="10"/>
    <s v="No"/>
    <x v="1"/>
    <x v="10"/>
  </r>
  <r>
    <s v="John Tovar"/>
    <x v="166"/>
    <x v="0"/>
    <x v="0"/>
    <x v="0"/>
    <x v="193"/>
    <x v="35"/>
    <s v="LT - FOOT (top)"/>
    <x v="0"/>
    <m/>
    <x v="10"/>
    <s v="No"/>
    <x v="1"/>
    <x v="10"/>
  </r>
  <r>
    <s v="Peter Voueth"/>
    <x v="167"/>
    <x v="0"/>
    <x v="0"/>
    <x v="0"/>
    <x v="178"/>
    <x v="2"/>
    <s v="RT - Shoulder &amp; Neck"/>
    <x v="0"/>
    <m/>
    <x v="10"/>
    <s v="No"/>
    <x v="1"/>
    <x v="10"/>
  </r>
  <r>
    <s v="Christian Lopez"/>
    <x v="167"/>
    <x v="33"/>
    <x v="0"/>
    <x v="19"/>
    <x v="120"/>
    <x v="2"/>
    <s v="RT - Neck &amp; Hand Diggits"/>
    <x v="0"/>
    <m/>
    <x v="10"/>
    <s v="No"/>
    <x v="1"/>
    <x v="10"/>
  </r>
  <r>
    <s v="Fautima Peres"/>
    <x v="167"/>
    <x v="32"/>
    <x v="2"/>
    <x v="2"/>
    <x v="82"/>
    <x v="4"/>
    <s v="LT - Shoulder - Arm &amp; Upper Left Leg"/>
    <x v="0"/>
    <m/>
    <x v="10"/>
    <s v="No"/>
    <x v="1"/>
    <x v="10"/>
  </r>
  <r>
    <s v="Felipe Anda"/>
    <x v="167"/>
    <x v="21"/>
    <x v="2"/>
    <x v="21"/>
    <x v="203"/>
    <x v="37"/>
    <s v="RT  - Index Finger"/>
    <x v="0"/>
    <m/>
    <x v="10"/>
    <s v="No"/>
    <x v="1"/>
    <x v="10"/>
  </r>
  <r>
    <s v="Esmeralda Avalos"/>
    <x v="167"/>
    <x v="24"/>
    <x v="0"/>
    <x v="19"/>
    <x v="198"/>
    <x v="7"/>
    <s v="RT - Cheek"/>
    <x v="0"/>
    <m/>
    <x v="10"/>
    <s v="No"/>
    <x v="1"/>
    <x v="10"/>
  </r>
  <r>
    <s v="Jose Ramirez"/>
    <x v="168"/>
    <x v="24"/>
    <x v="0"/>
    <x v="19"/>
    <x v="125"/>
    <x v="37"/>
    <s v="LT - Forearm"/>
    <x v="0"/>
    <m/>
    <x v="10"/>
    <s v="No"/>
    <x v="1"/>
    <x v="10"/>
  </r>
  <r>
    <s v="Oshmar Hernandez"/>
    <x v="168"/>
    <x v="14"/>
    <x v="0"/>
    <x v="16"/>
    <x v="204"/>
    <x v="7"/>
    <s v="Between Tights"/>
    <x v="0"/>
    <m/>
    <x v="10"/>
    <s v="No"/>
    <x v="1"/>
    <x v="10"/>
  </r>
  <r>
    <s v="German Cerda"/>
    <x v="169"/>
    <x v="32"/>
    <x v="2"/>
    <x v="2"/>
    <x v="40"/>
    <x v="2"/>
    <s v="LT - Index Finger"/>
    <x v="0"/>
    <m/>
    <x v="10"/>
    <s v="No"/>
    <x v="1"/>
    <x v="10"/>
  </r>
  <r>
    <s v="Julia Orosco "/>
    <x v="169"/>
    <x v="19"/>
    <x v="0"/>
    <x v="5"/>
    <x v="160"/>
    <x v="31"/>
    <s v="RT - Eye "/>
    <x v="0"/>
    <m/>
    <x v="10"/>
    <s v="No"/>
    <x v="1"/>
    <x v="10"/>
  </r>
  <r>
    <s v="Antonio Cortez"/>
    <x v="170"/>
    <x v="13"/>
    <x v="2"/>
    <x v="15"/>
    <x v="205"/>
    <x v="18"/>
    <s v="RT - Diggits (Pinky) "/>
    <x v="0"/>
    <m/>
    <x v="10"/>
    <s v="No"/>
    <x v="1"/>
    <x v="10"/>
  </r>
  <r>
    <s v="Jesse Garduque"/>
    <x v="170"/>
    <x v="21"/>
    <x v="2"/>
    <x v="21"/>
    <x v="57"/>
    <x v="4"/>
    <s v="RT - Bissep"/>
    <x v="0"/>
    <m/>
    <x v="10"/>
    <s v="No"/>
    <x v="1"/>
    <x v="10"/>
  </r>
  <r>
    <s v="Daisy Sotelo"/>
    <x v="171"/>
    <x v="8"/>
    <x v="0"/>
    <x v="8"/>
    <x v="19"/>
    <x v="7"/>
    <s v="Bilat. Ear"/>
    <x v="0"/>
    <m/>
    <x v="10"/>
    <s v="No"/>
    <x v="1"/>
    <x v="10"/>
  </r>
  <r>
    <s v="Ismael Cruz"/>
    <x v="171"/>
    <x v="0"/>
    <x v="0"/>
    <x v="0"/>
    <x v="6"/>
    <x v="7"/>
    <s v="LT - Diggits &amp; Thumb"/>
    <x v="0"/>
    <m/>
    <x v="10"/>
    <s v="No"/>
    <x v="1"/>
    <x v="10"/>
  </r>
  <r>
    <s v="Alexander Ruiz Flores"/>
    <x v="172"/>
    <x v="17"/>
    <x v="2"/>
    <x v="18"/>
    <x v="148"/>
    <x v="10"/>
    <s v="RT - Wrist"/>
    <x v="0"/>
    <m/>
    <x v="10"/>
    <s v="No"/>
    <x v="1"/>
    <x v="10"/>
  </r>
  <r>
    <s v="Domigo Camberus"/>
    <x v="172"/>
    <x v="24"/>
    <x v="0"/>
    <x v="19"/>
    <x v="158"/>
    <x v="38"/>
    <s v="RT - Thumb"/>
    <x v="0"/>
    <m/>
    <x v="10"/>
    <s v="No"/>
    <x v="1"/>
    <x v="10"/>
  </r>
  <r>
    <s v="Juan Caballos"/>
    <x v="172"/>
    <x v="14"/>
    <x v="0"/>
    <x v="16"/>
    <x v="206"/>
    <x v="18"/>
    <s v="RT - Foot"/>
    <x v="0"/>
    <m/>
    <x v="10"/>
    <s v="No"/>
    <x v="1"/>
    <x v="10"/>
  </r>
  <r>
    <s v="Enrique Ramos  "/>
    <x v="173"/>
    <x v="32"/>
    <x v="2"/>
    <x v="2"/>
    <x v="207"/>
    <x v="37"/>
    <s v="LT - Forearm   "/>
    <x v="0"/>
    <m/>
    <x v="10"/>
    <s v="No"/>
    <x v="1"/>
    <x v="10"/>
  </r>
  <r>
    <s v="Ricardo Vaca"/>
    <x v="174"/>
    <x v="24"/>
    <x v="0"/>
    <x v="19"/>
    <x v="208"/>
    <x v="2"/>
    <s v="Lower Back"/>
    <x v="0"/>
    <m/>
    <x v="10"/>
    <s v="No"/>
    <x v="1"/>
    <x v="10"/>
  </r>
  <r>
    <s v="Peter Thao"/>
    <x v="174"/>
    <x v="14"/>
    <x v="0"/>
    <x v="20"/>
    <x v="209"/>
    <x v="2"/>
    <s v="LT - Diggits"/>
    <x v="0"/>
    <m/>
    <x v="10"/>
    <s v="No"/>
    <x v="1"/>
    <x v="10"/>
  </r>
  <r>
    <s v="Jonathan Sanchez"/>
    <x v="174"/>
    <x v="14"/>
    <x v="0"/>
    <x v="20"/>
    <x v="56"/>
    <x v="10"/>
    <s v="RT - Palm"/>
    <x v="1"/>
    <m/>
    <x v="10"/>
    <s v="No"/>
    <x v="1"/>
    <x v="10"/>
  </r>
  <r>
    <s v="Ronnie D. Fleming"/>
    <x v="175"/>
    <x v="14"/>
    <x v="0"/>
    <x v="16"/>
    <x v="35"/>
    <x v="2"/>
    <s v="RT - Hand Index &amp; Middle Fingers"/>
    <x v="0"/>
    <m/>
    <x v="10"/>
    <s v="No"/>
    <x v="1"/>
    <x v="10"/>
  </r>
  <r>
    <s v="Jesus a la Torre"/>
    <x v="175"/>
    <x v="24"/>
    <x v="0"/>
    <x v="19"/>
    <x v="210"/>
    <x v="22"/>
    <s v="RT - Diggits"/>
    <x v="0"/>
    <m/>
    <x v="10"/>
    <s v="No"/>
    <x v="1"/>
    <x v="10"/>
  </r>
  <r>
    <s v="Baljit Kaur"/>
    <x v="175"/>
    <x v="2"/>
    <x v="2"/>
    <x v="11"/>
    <x v="211"/>
    <x v="2"/>
    <s v="RT - Ring Finger"/>
    <x v="0"/>
    <m/>
    <x v="10"/>
    <s v="No"/>
    <x v="1"/>
    <x v="10"/>
  </r>
  <r>
    <s v="Salvador Maravilla"/>
    <x v="175"/>
    <x v="4"/>
    <x v="0"/>
    <x v="32"/>
    <x v="212"/>
    <x v="8"/>
    <s v="RT - Forearm"/>
    <x v="0"/>
    <m/>
    <x v="10"/>
    <s v="No"/>
    <x v="1"/>
    <x v="10"/>
  </r>
  <r>
    <s v="Omar Ramos"/>
    <x v="176"/>
    <x v="3"/>
    <x v="2"/>
    <x v="3"/>
    <x v="163"/>
    <x v="37"/>
    <s v="RT - Forearm"/>
    <x v="0"/>
    <m/>
    <x v="10"/>
    <s v="No"/>
    <x v="1"/>
    <x v="10"/>
  </r>
  <r>
    <s v="Julia Rosales Flores"/>
    <x v="177"/>
    <x v="24"/>
    <x v="0"/>
    <x v="19"/>
    <x v="213"/>
    <x v="2"/>
    <s v="Bilateral Wrist_x000a_LT - Shoulder &amp; Upper Shoulder"/>
    <x v="0"/>
    <m/>
    <x v="11"/>
    <s v="No"/>
    <x v="1"/>
    <x v="11"/>
  </r>
  <r>
    <s v="Michael Rocha Reyez"/>
    <x v="177"/>
    <x v="17"/>
    <x v="2"/>
    <x v="18"/>
    <x v="78"/>
    <x v="38"/>
    <s v="LT - Index Finger"/>
    <x v="0"/>
    <m/>
    <x v="11"/>
    <s v="No"/>
    <x v="1"/>
    <x v="11"/>
  </r>
  <r>
    <s v="Peter Voueth"/>
    <x v="177"/>
    <x v="0"/>
    <x v="0"/>
    <x v="0"/>
    <x v="178"/>
    <x v="5"/>
    <s v="RT - Wrist &amp; Forearm"/>
    <x v="0"/>
    <m/>
    <x v="11"/>
    <s v="No"/>
    <x v="1"/>
    <x v="11"/>
  </r>
  <r>
    <s v="Salvador Rivas Patino"/>
    <x v="178"/>
    <x v="6"/>
    <x v="2"/>
    <x v="6"/>
    <x v="139"/>
    <x v="2"/>
    <s v="Unclear"/>
    <x v="1"/>
    <m/>
    <x v="11"/>
    <s v="No"/>
    <x v="1"/>
    <x v="11"/>
  </r>
  <r>
    <s v="Vicente Madrigal"/>
    <x v="179"/>
    <x v="17"/>
    <x v="2"/>
    <x v="18"/>
    <x v="214"/>
    <x v="10"/>
    <s v="RT - Knee"/>
    <x v="0"/>
    <m/>
    <x v="11"/>
    <s v="No"/>
    <x v="1"/>
    <x v="11"/>
  </r>
  <r>
    <s v="Moices Bahena"/>
    <x v="179"/>
    <x v="27"/>
    <x v="11"/>
    <x v="26"/>
    <x v="215"/>
    <x v="44"/>
    <s v="LF - Digits"/>
    <x v="0"/>
    <m/>
    <x v="11"/>
    <s v="No"/>
    <x v="1"/>
    <x v="11"/>
  </r>
  <r>
    <s v="Frank Aguero"/>
    <x v="180"/>
    <x v="12"/>
    <x v="2"/>
    <x v="28"/>
    <x v="216"/>
    <x v="22"/>
    <s v="LF - Middle Finger"/>
    <x v="2"/>
    <m/>
    <x v="11"/>
    <s v="Yes"/>
    <x v="1"/>
    <x v="11"/>
  </r>
  <r>
    <s v="Ralph Gonzalez"/>
    <x v="180"/>
    <x v="0"/>
    <x v="0"/>
    <x v="0"/>
    <x v="159"/>
    <x v="7"/>
    <s v="LT - Forearm"/>
    <x v="0"/>
    <m/>
    <x v="11"/>
    <s v="No"/>
    <x v="1"/>
    <x v="11"/>
  </r>
  <r>
    <s v="Magee Brown"/>
    <x v="180"/>
    <x v="34"/>
    <x v="2"/>
    <x v="2"/>
    <x v="160"/>
    <x v="2"/>
    <s v="RT - Hand"/>
    <x v="1"/>
    <m/>
    <x v="11"/>
    <s v="No"/>
    <x v="1"/>
    <x v="11"/>
  </r>
  <r>
    <s v="Keshawn Givins"/>
    <x v="181"/>
    <x v="6"/>
    <x v="2"/>
    <x v="6"/>
    <x v="173"/>
    <x v="22"/>
    <s v="Rt - Ankle "/>
    <x v="0"/>
    <m/>
    <x v="11"/>
    <s v="No"/>
    <x v="1"/>
    <x v="11"/>
  </r>
  <r>
    <s v="Jesus Morales Lopez"/>
    <x v="181"/>
    <x v="4"/>
    <x v="0"/>
    <x v="33"/>
    <x v="5"/>
    <x v="2"/>
    <s v="RT - Hip, Knee, planter"/>
    <x v="0"/>
    <m/>
    <x v="11"/>
    <s v="No"/>
    <x v="1"/>
    <x v="11"/>
  </r>
  <r>
    <s v="Fredy Martinez"/>
    <x v="181"/>
    <x v="2"/>
    <x v="2"/>
    <x v="11"/>
    <x v="117"/>
    <x v="7"/>
    <s v="RT - Wrist"/>
    <x v="0"/>
    <m/>
    <x v="11"/>
    <s v="No"/>
    <x v="1"/>
    <x v="11"/>
  </r>
  <r>
    <s v="Esmeralda Avalos"/>
    <x v="181"/>
    <x v="24"/>
    <x v="0"/>
    <x v="19"/>
    <x v="198"/>
    <x v="8"/>
    <s v="LT - Forearm"/>
    <x v="0"/>
    <m/>
    <x v="11"/>
    <s v="No"/>
    <x v="1"/>
    <x v="11"/>
  </r>
  <r>
    <s v="Raul Reyes"/>
    <x v="182"/>
    <x v="13"/>
    <x v="2"/>
    <x v="15"/>
    <x v="217"/>
    <x v="2"/>
    <s v="Bilateral Forearms"/>
    <x v="0"/>
    <m/>
    <x v="11"/>
    <s v="No"/>
    <x v="1"/>
    <x v="11"/>
  </r>
  <r>
    <s v="Angel Rivera"/>
    <x v="182"/>
    <x v="21"/>
    <x v="2"/>
    <x v="21"/>
    <x v="199"/>
    <x v="2"/>
    <s v="LT - Palm"/>
    <x v="0"/>
    <m/>
    <x v="11"/>
    <s v="No"/>
    <x v="1"/>
    <x v="11"/>
  </r>
  <r>
    <s v="Marcus Borrego"/>
    <x v="182"/>
    <x v="3"/>
    <x v="2"/>
    <x v="3"/>
    <x v="80"/>
    <x v="2"/>
    <s v="RT - Diggits"/>
    <x v="0"/>
    <m/>
    <x v="11"/>
    <s v="No"/>
    <x v="1"/>
    <x v="11"/>
  </r>
  <r>
    <s v="Luis Sanchez"/>
    <x v="183"/>
    <x v="8"/>
    <x v="0"/>
    <x v="8"/>
    <x v="218"/>
    <x v="31"/>
    <s v="LT - Eye  "/>
    <x v="0"/>
    <m/>
    <x v="11"/>
    <s v="No"/>
    <x v="1"/>
    <x v="11"/>
  </r>
  <r>
    <s v="Adolfo Reyes"/>
    <x v="184"/>
    <x v="17"/>
    <x v="2"/>
    <x v="18"/>
    <x v="77"/>
    <x v="2"/>
    <s v="LT - Hand Digits"/>
    <x v="1"/>
    <m/>
    <x v="11"/>
    <s v="No"/>
    <x v="1"/>
    <x v="11"/>
  </r>
  <r>
    <s v="Sukhbia Sandhu"/>
    <x v="185"/>
    <x v="34"/>
    <x v="2"/>
    <x v="2"/>
    <x v="142"/>
    <x v="2"/>
    <s v="RT - Neck &amp; RT - Lower Back"/>
    <x v="0"/>
    <m/>
    <x v="11"/>
    <s v="No"/>
    <x v="1"/>
    <x v="11"/>
  </r>
  <r>
    <s v="Ralph Gonzalez"/>
    <x v="186"/>
    <x v="8"/>
    <x v="0"/>
    <x v="13"/>
    <x v="169"/>
    <x v="15"/>
    <s v="RT - Thumb"/>
    <x v="2"/>
    <m/>
    <x v="11"/>
    <s v="Yes"/>
    <x v="1"/>
    <x v="11"/>
  </r>
  <r>
    <s v="Jose Ramos"/>
    <x v="187"/>
    <x v="4"/>
    <x v="0"/>
    <x v="4"/>
    <x v="194"/>
    <x v="5"/>
    <s v="LT - Rib &amp; RT Mid Back"/>
    <x v="2"/>
    <m/>
    <x v="0"/>
    <s v="Yes"/>
    <x v="1"/>
    <x v="0"/>
  </r>
  <r>
    <s v="Raul Reyes"/>
    <x v="188"/>
    <x v="13"/>
    <x v="2"/>
    <x v="15"/>
    <x v="217"/>
    <x v="2"/>
    <s v="RT - Forearm"/>
    <x v="0"/>
    <m/>
    <x v="0"/>
    <s v="No"/>
    <x v="1"/>
    <x v="0"/>
  </r>
  <r>
    <s v="Raul Reyes"/>
    <x v="189"/>
    <x v="13"/>
    <x v="2"/>
    <x v="15"/>
    <x v="217"/>
    <x v="2"/>
    <s v="RT - Forearm"/>
    <x v="0"/>
    <m/>
    <x v="0"/>
    <s v="No"/>
    <x v="1"/>
    <x v="0"/>
  </r>
  <r>
    <s v="Higinio Marin "/>
    <x v="190"/>
    <x v="21"/>
    <x v="2"/>
    <x v="21"/>
    <x v="199"/>
    <x v="2"/>
    <s v="RT - Hand"/>
    <x v="0"/>
    <m/>
    <x v="0"/>
    <s v="No"/>
    <x v="1"/>
    <x v="0"/>
  </r>
  <r>
    <s v="Christofer Diaz"/>
    <x v="191"/>
    <x v="6"/>
    <x v="2"/>
    <x v="6"/>
    <x v="139"/>
    <x v="45"/>
    <s v="LF - Ankle "/>
    <x v="0"/>
    <m/>
    <x v="0"/>
    <s v="No"/>
    <x v="1"/>
    <x v="0"/>
  </r>
  <r>
    <s v="Morgan Branning"/>
    <x v="192"/>
    <x v="14"/>
    <x v="0"/>
    <x v="20"/>
    <x v="219"/>
    <x v="22"/>
    <s v="LT - Wrist"/>
    <x v="0"/>
    <m/>
    <x v="0"/>
    <s v="No"/>
    <x v="1"/>
    <x v="0"/>
  </r>
  <r>
    <s v="Melquisedec Quiroz"/>
    <x v="192"/>
    <x v="24"/>
    <x v="0"/>
    <x v="16"/>
    <x v="54"/>
    <x v="2"/>
    <s v="RT - Neck"/>
    <x v="0"/>
    <m/>
    <x v="0"/>
    <s v="No"/>
    <x v="1"/>
    <x v="0"/>
  </r>
  <r>
    <s v="Aniken Robinson"/>
    <x v="192"/>
    <x v="14"/>
    <x v="0"/>
    <x v="16"/>
    <x v="204"/>
    <x v="46"/>
    <s v="All Body"/>
    <x v="1"/>
    <m/>
    <x v="0"/>
    <s v="No"/>
    <x v="1"/>
    <x v="0"/>
  </r>
  <r>
    <s v="Ralph Gonzalez"/>
    <x v="193"/>
    <x v="8"/>
    <x v="0"/>
    <x v="13"/>
    <x v="169"/>
    <x v="47"/>
    <s v="LT - Arm"/>
    <x v="0"/>
    <m/>
    <x v="0"/>
    <s v="No"/>
    <x v="1"/>
    <x v="0"/>
  </r>
  <r>
    <s v="Jesse Garduque"/>
    <x v="194"/>
    <x v="21"/>
    <x v="2"/>
    <x v="21"/>
    <x v="57"/>
    <x v="2"/>
    <s v="LT - Wrist"/>
    <x v="0"/>
    <m/>
    <x v="0"/>
    <s v="No"/>
    <x v="1"/>
    <x v="0"/>
  </r>
  <r>
    <s v="Peter Voueth"/>
    <x v="195"/>
    <x v="0"/>
    <x v="0"/>
    <x v="0"/>
    <x v="220"/>
    <x v="22"/>
    <s v="LT - Diggits  "/>
    <x v="1"/>
    <m/>
    <x v="0"/>
    <s v="No"/>
    <x v="1"/>
    <x v="0"/>
  </r>
  <r>
    <s v="Edalia Lopez"/>
    <x v="195"/>
    <x v="8"/>
    <x v="0"/>
    <x v="13"/>
    <x v="160"/>
    <x v="2"/>
    <s v="LT - Shoulder"/>
    <x v="1"/>
    <m/>
    <x v="0"/>
    <s v="No"/>
    <x v="1"/>
    <x v="0"/>
  </r>
  <r>
    <s v="Israel Aldaz"/>
    <x v="196"/>
    <x v="21"/>
    <x v="2"/>
    <x v="21"/>
    <x v="221"/>
    <x v="2"/>
    <s v="RT - Hand"/>
    <x v="0"/>
    <m/>
    <x v="0"/>
    <s v="No"/>
    <x v="1"/>
    <x v="0"/>
  </r>
  <r>
    <s v="Moises Flores"/>
    <x v="197"/>
    <x v="3"/>
    <x v="2"/>
    <x v="3"/>
    <x v="32"/>
    <x v="2"/>
    <s v="RT - Wrist"/>
    <x v="0"/>
    <m/>
    <x v="0"/>
    <s v="No"/>
    <x v="1"/>
    <x v="0"/>
  </r>
  <r>
    <s v="Taily Laynes"/>
    <x v="198"/>
    <x v="17"/>
    <x v="2"/>
    <x v="18"/>
    <x v="222"/>
    <x v="48"/>
    <s v="LF - Face"/>
    <x v="0"/>
    <m/>
    <x v="0"/>
    <s v="No"/>
    <x v="1"/>
    <x v="0"/>
  </r>
  <r>
    <s v="Ralph Gonzalez"/>
    <x v="199"/>
    <x v="8"/>
    <x v="0"/>
    <x v="13"/>
    <x v="169"/>
    <x v="37"/>
    <s v="RT - Forearm"/>
    <x v="0"/>
    <m/>
    <x v="1"/>
    <s v="No"/>
    <x v="1"/>
    <x v="1"/>
  </r>
  <r>
    <s v="Garbriel Sandhu"/>
    <x v="200"/>
    <x v="2"/>
    <x v="2"/>
    <x v="11"/>
    <x v="147"/>
    <x v="2"/>
    <s v="LT - Shoulder"/>
    <x v="1"/>
    <m/>
    <x v="1"/>
    <s v="No"/>
    <x v="1"/>
    <x v="1"/>
  </r>
  <r>
    <s v="Eduardo Haro Esquiuel"/>
    <x v="200"/>
    <x v="35"/>
    <x v="2"/>
    <x v="17"/>
    <x v="157"/>
    <x v="49"/>
    <s v="LT Shoulder"/>
    <x v="1"/>
    <m/>
    <x v="1"/>
    <s v="No"/>
    <x v="1"/>
    <x v="1"/>
  </r>
  <r>
    <s v="Alan Aranda"/>
    <x v="201"/>
    <x v="2"/>
    <x v="2"/>
    <x v="11"/>
    <x v="223"/>
    <x v="2"/>
    <s v="LF - Wrist"/>
    <x v="0"/>
    <m/>
    <x v="1"/>
    <s v="No"/>
    <x v="1"/>
    <x v="1"/>
  </r>
  <r>
    <s v="Jose Ramos"/>
    <x v="201"/>
    <x v="4"/>
    <x v="0"/>
    <x v="4"/>
    <x v="194"/>
    <x v="44"/>
    <s v="RT - Diggits"/>
    <x v="1"/>
    <m/>
    <x v="1"/>
    <s v="No"/>
    <x v="1"/>
    <x v="1"/>
  </r>
  <r>
    <s v="Yvonne Martinez"/>
    <x v="201"/>
    <x v="2"/>
    <x v="2"/>
    <x v="11"/>
    <x v="160"/>
    <x v="2"/>
    <s v="LT - Shoulder"/>
    <x v="1"/>
    <m/>
    <x v="1"/>
    <s v="No"/>
    <x v="1"/>
    <x v="1"/>
  </r>
  <r>
    <s v="Rosendo Granados"/>
    <x v="202"/>
    <x v="24"/>
    <x v="0"/>
    <x v="19"/>
    <x v="158"/>
    <x v="2"/>
    <s v="RT - Shoulder"/>
    <x v="0"/>
    <m/>
    <x v="1"/>
    <s v="No"/>
    <x v="1"/>
    <x v="1"/>
  </r>
  <r>
    <s v="Daniel Martinez"/>
    <x v="202"/>
    <x v="15"/>
    <x v="10"/>
    <x v="31"/>
    <x v="1"/>
    <x v="16"/>
    <s v="LT - Ring Finger"/>
    <x v="0"/>
    <m/>
    <x v="1"/>
    <s v="No"/>
    <x v="1"/>
    <x v="1"/>
  </r>
  <r>
    <s v="Mary Coffee"/>
    <x v="203"/>
    <x v="36"/>
    <x v="2"/>
    <x v="34"/>
    <x v="62"/>
    <x v="50"/>
    <s v="LF - Shoulder"/>
    <x v="1"/>
    <m/>
    <x v="1"/>
    <s v="No"/>
    <x v="1"/>
    <x v="1"/>
  </r>
  <r>
    <s v="Cosme De Anda"/>
    <x v="204"/>
    <x v="27"/>
    <x v="11"/>
    <x v="26"/>
    <x v="165"/>
    <x v="44"/>
    <s v="LT - Hand"/>
    <x v="1"/>
    <m/>
    <x v="1"/>
    <s v="No"/>
    <x v="1"/>
    <x v="1"/>
  </r>
  <r>
    <s v="Juan Lugardo"/>
    <x v="205"/>
    <x v="26"/>
    <x v="0"/>
    <x v="25"/>
    <x v="224"/>
    <x v="2"/>
    <s v="RT - Shoulder"/>
    <x v="1"/>
    <m/>
    <x v="1"/>
    <s v="No"/>
    <x v="1"/>
    <x v="1"/>
  </r>
  <r>
    <s v="Gladys Lujan"/>
    <x v="205"/>
    <x v="24"/>
    <x v="0"/>
    <x v="19"/>
    <x v="58"/>
    <x v="47"/>
    <s v="RT - Foot"/>
    <x v="1"/>
    <m/>
    <x v="1"/>
    <s v="No"/>
    <x v="1"/>
    <x v="1"/>
  </r>
  <r>
    <s v="Raymundo Vargas Jr"/>
    <x v="206"/>
    <x v="17"/>
    <x v="2"/>
    <x v="18"/>
    <x v="54"/>
    <x v="2"/>
    <s v="RT - Wrist"/>
    <x v="0"/>
    <m/>
    <x v="1"/>
    <s v="No"/>
    <x v="1"/>
    <x v="1"/>
  </r>
  <r>
    <s v="Normal Ortega"/>
    <x v="206"/>
    <x v="2"/>
    <x v="2"/>
    <x v="11"/>
    <x v="225"/>
    <x v="2"/>
    <m/>
    <x v="0"/>
    <m/>
    <x v="1"/>
    <s v="No"/>
    <x v="1"/>
    <x v="1"/>
  </r>
  <r>
    <s v="Ezequiel Ambriz"/>
    <x v="206"/>
    <x v="31"/>
    <x v="10"/>
    <x v="9"/>
    <x v="177"/>
    <x v="2"/>
    <s v="RT - Wrist"/>
    <x v="2"/>
    <m/>
    <x v="1"/>
    <s v="Yes"/>
    <x v="1"/>
    <x v="1"/>
  </r>
  <r>
    <s v="Victor Urenas"/>
    <x v="207"/>
    <x v="23"/>
    <x v="12"/>
    <x v="22"/>
    <x v="67"/>
    <x v="41"/>
    <s v="RT - Thumb"/>
    <x v="0"/>
    <m/>
    <x v="1"/>
    <s v="No"/>
    <x v="1"/>
    <x v="1"/>
  </r>
  <r>
    <s v="Gregorio Montemayor"/>
    <x v="207"/>
    <x v="23"/>
    <x v="12"/>
    <x v="22"/>
    <x v="67"/>
    <x v="41"/>
    <s v="LF - Thumb"/>
    <x v="0"/>
    <m/>
    <x v="1"/>
    <s v="No"/>
    <x v="1"/>
    <x v="1"/>
  </r>
  <r>
    <s v="Rogelio Mendoza"/>
    <x v="207"/>
    <x v="37"/>
    <x v="10"/>
    <x v="35"/>
    <x v="46"/>
    <x v="1"/>
    <s v="Bilateral Hands"/>
    <x v="1"/>
    <m/>
    <x v="1"/>
    <s v="No"/>
    <x v="1"/>
    <x v="1"/>
  </r>
  <r>
    <s v="Francisco Chavez"/>
    <x v="207"/>
    <x v="14"/>
    <x v="0"/>
    <x v="16"/>
    <x v="226"/>
    <x v="31"/>
    <s v="RT - Eye "/>
    <x v="1"/>
    <m/>
    <x v="1"/>
    <s v="No"/>
    <x v="1"/>
    <x v="1"/>
  </r>
  <r>
    <s v="Ismael Aldana"/>
    <x v="207"/>
    <x v="21"/>
    <x v="2"/>
    <x v="21"/>
    <x v="199"/>
    <x v="48"/>
    <s v="RT - Thumb"/>
    <x v="0"/>
    <m/>
    <x v="1"/>
    <s v="No"/>
    <x v="1"/>
    <x v="1"/>
  </r>
  <r>
    <s v="Jonny Garcia Soto"/>
    <x v="208"/>
    <x v="4"/>
    <x v="0"/>
    <x v="4"/>
    <x v="5"/>
    <x v="10"/>
    <s v="LF - Pinky &amp; Ring Finger"/>
    <x v="0"/>
    <m/>
    <x v="1"/>
    <s v="No"/>
    <x v="1"/>
    <x v="1"/>
  </r>
  <r>
    <s v="Alejandra Ruiz"/>
    <x v="209"/>
    <x v="38"/>
    <x v="7"/>
    <x v="36"/>
    <x v="227"/>
    <x v="47"/>
    <s v="RT Hand"/>
    <x v="0"/>
    <m/>
    <x v="2"/>
    <s v="No"/>
    <x v="1"/>
    <x v="2"/>
  </r>
  <r>
    <s v="David Cruz"/>
    <x v="209"/>
    <x v="0"/>
    <x v="0"/>
    <x v="0"/>
    <x v="228"/>
    <x v="41"/>
    <s v="RT - Pinky"/>
    <x v="1"/>
    <m/>
    <x v="2"/>
    <s v="No"/>
    <x v="1"/>
    <x v="2"/>
  </r>
  <r>
    <s v="Rosendo Granados"/>
    <x v="210"/>
    <x v="24"/>
    <x v="0"/>
    <x v="19"/>
    <x v="189"/>
    <x v="2"/>
    <s v="RT - Shoulder"/>
    <x v="0"/>
    <m/>
    <x v="2"/>
    <s v="No"/>
    <x v="1"/>
    <x v="2"/>
  </r>
  <r>
    <s v="Berenise Diaz"/>
    <x v="210"/>
    <x v="38"/>
    <x v="7"/>
    <x v="36"/>
    <x v="227"/>
    <x v="47"/>
    <s v="RT - Palm"/>
    <x v="0"/>
    <m/>
    <x v="2"/>
    <s v="No"/>
    <x v="1"/>
    <x v="2"/>
  </r>
  <r>
    <s v="Esmeralda Avalos"/>
    <x v="210"/>
    <x v="24"/>
    <x v="0"/>
    <x v="19"/>
    <x v="198"/>
    <x v="47"/>
    <s v="Buttocks"/>
    <x v="0"/>
    <m/>
    <x v="2"/>
    <s v="No"/>
    <x v="1"/>
    <x v="2"/>
  </r>
  <r>
    <s v="Noe Fraga Ruiz"/>
    <x v="211"/>
    <x v="17"/>
    <x v="2"/>
    <x v="18"/>
    <x v="63"/>
    <x v="32"/>
    <s v="LT - Leg (Shin)"/>
    <x v="0"/>
    <m/>
    <x v="2"/>
    <s v="No"/>
    <x v="1"/>
    <x v="2"/>
  </r>
  <r>
    <s v="Giberto Villasenor"/>
    <x v="212"/>
    <x v="6"/>
    <x v="2"/>
    <x v="6"/>
    <x v="165"/>
    <x v="2"/>
    <s v="Rt - Lower Back"/>
    <x v="0"/>
    <m/>
    <x v="2"/>
    <s v="No"/>
    <x v="1"/>
    <x v="2"/>
  </r>
  <r>
    <s v="Michael Rocha Reyez"/>
    <x v="212"/>
    <x v="17"/>
    <x v="2"/>
    <x v="18"/>
    <x v="78"/>
    <x v="31"/>
    <s v="RT - Eye "/>
    <x v="1"/>
    <m/>
    <x v="2"/>
    <s v="No"/>
    <x v="1"/>
    <x v="2"/>
  </r>
  <r>
    <s v="Melissa  Rajshup"/>
    <x v="212"/>
    <x v="8"/>
    <x v="0"/>
    <x v="8"/>
    <x v="229"/>
    <x v="2"/>
    <s v="RT - Shoulder"/>
    <x v="0"/>
    <m/>
    <x v="2"/>
    <s v="No"/>
    <x v="1"/>
    <x v="2"/>
  </r>
  <r>
    <s v="Jose Lopez"/>
    <x v="213"/>
    <x v="0"/>
    <x v="0"/>
    <x v="0"/>
    <x v="230"/>
    <x v="51"/>
    <s v="Mid &amp; Lower Back"/>
    <x v="0"/>
    <m/>
    <x v="2"/>
    <s v="No"/>
    <x v="1"/>
    <x v="2"/>
  </r>
  <r>
    <s v="Peter Voueth"/>
    <x v="213"/>
    <x v="0"/>
    <x v="0"/>
    <x v="0"/>
    <x v="178"/>
    <x v="48"/>
    <s v="Back of Neck"/>
    <x v="1"/>
    <m/>
    <x v="2"/>
    <s v="No"/>
    <x v="1"/>
    <x v="2"/>
  </r>
  <r>
    <s v="Candelario Pena"/>
    <x v="213"/>
    <x v="14"/>
    <x v="0"/>
    <x v="16"/>
    <x v="231"/>
    <x v="7"/>
    <s v="Neck "/>
    <x v="1"/>
    <m/>
    <x v="2"/>
    <s v="No"/>
    <x v="1"/>
    <x v="2"/>
  </r>
  <r>
    <s v="Noe Fraga Ruiz"/>
    <x v="214"/>
    <x v="17"/>
    <x v="2"/>
    <x v="18"/>
    <x v="63"/>
    <x v="2"/>
    <s v="LT - Shoulder"/>
    <x v="0"/>
    <m/>
    <x v="2"/>
    <s v="No"/>
    <x v="1"/>
    <x v="2"/>
  </r>
  <r>
    <s v="Chue Her"/>
    <x v="214"/>
    <x v="22"/>
    <x v="2"/>
    <x v="37"/>
    <x v="57"/>
    <x v="2"/>
    <s v="LT - Lower back"/>
    <x v="0"/>
    <m/>
    <x v="2"/>
    <s v="No"/>
    <x v="1"/>
    <x v="2"/>
  </r>
  <r>
    <s v="Robyn Evan"/>
    <x v="215"/>
    <x v="8"/>
    <x v="0"/>
    <x v="8"/>
    <x v="232"/>
    <x v="18"/>
    <s v="LT - Forearm"/>
    <x v="1"/>
    <m/>
    <x v="2"/>
    <s v="No"/>
    <x v="1"/>
    <x v="2"/>
  </r>
  <r>
    <s v="Jesus Alatorre"/>
    <x v="216"/>
    <x v="24"/>
    <x v="0"/>
    <x v="19"/>
    <x v="233"/>
    <x v="10"/>
    <s v="LT - Diggits (Pinky)"/>
    <x v="1"/>
    <m/>
    <x v="2"/>
    <s v="No"/>
    <x v="1"/>
    <x v="2"/>
  </r>
  <r>
    <s v="Normal Ortega"/>
    <x v="217"/>
    <x v="2"/>
    <x v="2"/>
    <x v="11"/>
    <x v="117"/>
    <x v="2"/>
    <s v="LT - Wrist"/>
    <x v="0"/>
    <m/>
    <x v="2"/>
    <s v="No"/>
    <x v="1"/>
    <x v="2"/>
  </r>
  <r>
    <s v="Melissa  Rajshup"/>
    <x v="218"/>
    <x v="8"/>
    <x v="0"/>
    <x v="8"/>
    <x v="229"/>
    <x v="2"/>
    <s v="Mid - Lower Back"/>
    <x v="0"/>
    <m/>
    <x v="2"/>
    <s v="No"/>
    <x v="1"/>
    <x v="2"/>
  </r>
  <r>
    <s v="Jose Lopez"/>
    <x v="218"/>
    <x v="0"/>
    <x v="0"/>
    <x v="0"/>
    <x v="230"/>
    <x v="47"/>
    <s v="RT - Hand"/>
    <x v="0"/>
    <m/>
    <x v="2"/>
    <s v="No"/>
    <x v="1"/>
    <x v="2"/>
  </r>
  <r>
    <s v="Fernando Ortega"/>
    <x v="219"/>
    <x v="17"/>
    <x v="2"/>
    <x v="18"/>
    <x v="161"/>
    <x v="2"/>
    <s v="LT - Hand"/>
    <x v="0"/>
    <m/>
    <x v="2"/>
    <s v="No"/>
    <x v="1"/>
    <x v="2"/>
  </r>
  <r>
    <s v="Juan Rangel"/>
    <x v="219"/>
    <x v="14"/>
    <x v="0"/>
    <x v="16"/>
    <x v="35"/>
    <x v="2"/>
    <s v="RT - Shoulder"/>
    <x v="0"/>
    <m/>
    <x v="2"/>
    <s v="No"/>
    <x v="1"/>
    <x v="2"/>
  </r>
  <r>
    <s v="Pascuala Rodriguez"/>
    <x v="220"/>
    <x v="13"/>
    <x v="2"/>
    <x v="15"/>
    <x v="234"/>
    <x v="18"/>
    <s v="RT - Thumb"/>
    <x v="0"/>
    <m/>
    <x v="2"/>
    <s v="No"/>
    <x v="1"/>
    <x v="2"/>
  </r>
  <r>
    <s v="Jesica Roman"/>
    <x v="221"/>
    <x v="23"/>
    <x v="12"/>
    <x v="22"/>
    <x v="41"/>
    <x v="22"/>
    <s v="LT - Ankle"/>
    <x v="0"/>
    <m/>
    <x v="3"/>
    <s v="No"/>
    <x v="1"/>
    <x v="3"/>
  </r>
  <r>
    <s v="Jorge Maldonado"/>
    <x v="221"/>
    <x v="34"/>
    <x v="2"/>
    <x v="2"/>
    <x v="40"/>
    <x v="10"/>
    <s v="LT - Thumb"/>
    <x v="1"/>
    <m/>
    <x v="3"/>
    <s v="No"/>
    <x v="1"/>
    <x v="3"/>
  </r>
  <r>
    <s v="Luis Perez"/>
    <x v="221"/>
    <x v="0"/>
    <x v="0"/>
    <x v="0"/>
    <x v="176"/>
    <x v="47"/>
    <s v="Lower Back"/>
    <x v="0"/>
    <m/>
    <x v="3"/>
    <s v="No"/>
    <x v="1"/>
    <x v="3"/>
  </r>
  <r>
    <s v="Maria Martinez "/>
    <x v="221"/>
    <x v="6"/>
    <x v="2"/>
    <x v="6"/>
    <x v="97"/>
    <x v="4"/>
    <s v="RT - Shoulder"/>
    <x v="0"/>
    <m/>
    <x v="3"/>
    <s v="No"/>
    <x v="1"/>
    <x v="3"/>
  </r>
  <r>
    <s v="Alan Aranda"/>
    <x v="222"/>
    <x v="13"/>
    <x v="2"/>
    <x v="15"/>
    <x v="235"/>
    <x v="2"/>
    <s v="RT - Forearm"/>
    <x v="0"/>
    <m/>
    <x v="3"/>
    <s v="No"/>
    <x v="1"/>
    <x v="3"/>
  </r>
  <r>
    <s v="Vereniz Carrillo"/>
    <x v="222"/>
    <x v="13"/>
    <x v="2"/>
    <x v="15"/>
    <x v="142"/>
    <x v="2"/>
    <s v="RT - Wrist"/>
    <x v="0"/>
    <m/>
    <x v="3"/>
    <s v="No"/>
    <x v="1"/>
    <x v="3"/>
  </r>
  <r>
    <s v="Ismael Aldana"/>
    <x v="223"/>
    <x v="21"/>
    <x v="2"/>
    <x v="21"/>
    <x v="199"/>
    <x v="2"/>
    <s v="RT - Shoulder &amp; Forearm"/>
    <x v="0"/>
    <m/>
    <x v="3"/>
    <s v="No"/>
    <x v="1"/>
    <x v="3"/>
  </r>
  <r>
    <s v="Froylan Nunez"/>
    <x v="223"/>
    <x v="14"/>
    <x v="0"/>
    <x v="20"/>
    <x v="172"/>
    <x v="2"/>
    <s v="RT - Elbow"/>
    <x v="0"/>
    <m/>
    <x v="3"/>
    <s v="No"/>
    <x v="1"/>
    <x v="3"/>
  </r>
  <r>
    <s v="Edgar Gutierrez Rodriguez"/>
    <x v="224"/>
    <x v="34"/>
    <x v="2"/>
    <x v="2"/>
    <x v="40"/>
    <x v="2"/>
    <s v="Both wrist and back"/>
    <x v="0"/>
    <m/>
    <x v="3"/>
    <s v="No"/>
    <x v="1"/>
    <x v="3"/>
  </r>
  <r>
    <s v="Julia Orosco "/>
    <x v="225"/>
    <x v="14"/>
    <x v="0"/>
    <x v="5"/>
    <x v="236"/>
    <x v="2"/>
    <s v="Mid Back"/>
    <x v="0"/>
    <m/>
    <x v="3"/>
    <s v="No"/>
    <x v="1"/>
    <x v="3"/>
  </r>
  <r>
    <s v="Maria Martinez "/>
    <x v="225"/>
    <x v="19"/>
    <x v="0"/>
    <x v="19"/>
    <x v="237"/>
    <x v="41"/>
    <s v="RT Shoulder"/>
    <x v="1"/>
    <m/>
    <x v="3"/>
    <s v="No"/>
    <x v="1"/>
    <x v="3"/>
  </r>
  <r>
    <s v="Luis Meza"/>
    <x v="226"/>
    <x v="3"/>
    <x v="2"/>
    <x v="3"/>
    <x v="32"/>
    <x v="2"/>
    <s v="LT - Lower Back"/>
    <x v="0"/>
    <m/>
    <x v="3"/>
    <s v="No"/>
    <x v="1"/>
    <x v="3"/>
  </r>
  <r>
    <s v="Evangelina Marron"/>
    <x v="227"/>
    <x v="13"/>
    <x v="2"/>
    <x v="11"/>
    <x v="104"/>
    <x v="2"/>
    <s v="LT - Wrist"/>
    <x v="0"/>
    <m/>
    <x v="3"/>
    <s v="No"/>
    <x v="1"/>
    <x v="3"/>
  </r>
  <r>
    <s v="Maritza Martinez"/>
    <x v="228"/>
    <x v="34"/>
    <x v="2"/>
    <x v="2"/>
    <x v="238"/>
    <x v="2"/>
    <s v="RT - Hand/ Palm"/>
    <x v="0"/>
    <m/>
    <x v="3"/>
    <s v="No"/>
    <x v="1"/>
    <x v="3"/>
  </r>
  <r>
    <s v="Lao Yang"/>
    <x v="228"/>
    <x v="17"/>
    <x v="2"/>
    <x v="18"/>
    <x v="239"/>
    <x v="48"/>
    <s v="RT - Shoulder"/>
    <x v="0"/>
    <m/>
    <x v="3"/>
    <s v="No"/>
    <x v="1"/>
    <x v="3"/>
  </r>
  <r>
    <s v="Reynaldo Betancourt"/>
    <x v="229"/>
    <x v="6"/>
    <x v="2"/>
    <x v="6"/>
    <x v="173"/>
    <x v="22"/>
    <s v="Lower Back"/>
    <x v="0"/>
    <m/>
    <x v="3"/>
    <s v="No"/>
    <x v="1"/>
    <x v="3"/>
  </r>
  <r>
    <s v="Bernardo Gonzalez"/>
    <x v="230"/>
    <x v="34"/>
    <x v="2"/>
    <x v="2"/>
    <x v="240"/>
    <x v="2"/>
    <s v="LT - Hand Wrist_x000a_RT - Index &amp; Middle Finger"/>
    <x v="0"/>
    <m/>
    <x v="3"/>
    <s v="No"/>
    <x v="1"/>
    <x v="3"/>
  </r>
  <r>
    <s v="Matthew Marquez"/>
    <x v="231"/>
    <x v="14"/>
    <x v="0"/>
    <x v="16"/>
    <x v="231"/>
    <x v="47"/>
    <s v="RT - Wrist/ Hand/ Palm/ Fingers. "/>
    <x v="2"/>
    <m/>
    <x v="4"/>
    <s v="Yes"/>
    <x v="1"/>
    <x v="4"/>
  </r>
  <r>
    <s v="Higinio Marin "/>
    <x v="232"/>
    <x v="21"/>
    <x v="2"/>
    <x v="21"/>
    <x v="40"/>
    <x v="2"/>
    <s v="RT - Wrist"/>
    <x v="0"/>
    <m/>
    <x v="4"/>
    <s v="No"/>
    <x v="1"/>
    <x v="4"/>
  </r>
  <r>
    <s v="Tania Banegas"/>
    <x v="233"/>
    <x v="17"/>
    <x v="2"/>
    <x v="18"/>
    <x v="241"/>
    <x v="2"/>
    <s v="RT - Elbow"/>
    <x v="0"/>
    <m/>
    <x v="4"/>
    <s v="No"/>
    <x v="1"/>
    <x v="4"/>
  </r>
  <r>
    <s v="Jazmine Gonzalez"/>
    <x v="233"/>
    <x v="14"/>
    <x v="0"/>
    <x v="5"/>
    <x v="160"/>
    <x v="52"/>
    <m/>
    <x v="1"/>
    <m/>
    <x v="4"/>
    <s v="No"/>
    <x v="1"/>
    <x v="4"/>
  </r>
  <r>
    <s v="Saray Pedroza"/>
    <x v="234"/>
    <x v="8"/>
    <x v="0"/>
    <x v="8"/>
    <x v="242"/>
    <x v="47"/>
    <s v="LT - Shoulder"/>
    <x v="0"/>
    <m/>
    <x v="4"/>
    <s v="No"/>
    <x v="1"/>
    <x v="4"/>
  </r>
  <r>
    <s v="Emmanuel Nunez"/>
    <x v="235"/>
    <x v="14"/>
    <x v="0"/>
    <x v="16"/>
    <x v="210"/>
    <x v="22"/>
    <s v="LT - Forearm &amp; Wrist"/>
    <x v="0"/>
    <m/>
    <x v="4"/>
    <s v="No"/>
    <x v="1"/>
    <x v="4"/>
  </r>
  <r>
    <s v="Cruz Lopez"/>
    <x v="235"/>
    <x v="14"/>
    <x v="0"/>
    <x v="16"/>
    <x v="35"/>
    <x v="18"/>
    <s v="RT - Palm"/>
    <x v="1"/>
    <m/>
    <x v="4"/>
    <s v="No"/>
    <x v="1"/>
    <x v="4"/>
  </r>
  <r>
    <s v="Noe Fraga Ruiz"/>
    <x v="236"/>
    <x v="17"/>
    <x v="2"/>
    <x v="18"/>
    <x v="63"/>
    <x v="2"/>
    <s v="Upper - Back"/>
    <x v="0"/>
    <m/>
    <x v="4"/>
    <s v="No"/>
    <x v="1"/>
    <x v="4"/>
  </r>
  <r>
    <s v="Alexander Ruiz Flores"/>
    <x v="236"/>
    <x v="17"/>
    <x v="2"/>
    <x v="18"/>
    <x v="243"/>
    <x v="2"/>
    <s v="RT - Hand / LT - Shoulder "/>
    <x v="0"/>
    <m/>
    <x v="4"/>
    <s v="No"/>
    <x v="1"/>
    <x v="4"/>
  </r>
  <r>
    <s v="Sergio Torres Jimenez"/>
    <x v="236"/>
    <x v="8"/>
    <x v="0"/>
    <x v="8"/>
    <x v="53"/>
    <x v="7"/>
    <s v="LT - RT Hands, Thumbs &amp; Fingers. "/>
    <x v="0"/>
    <m/>
    <x v="4"/>
    <s v="No"/>
    <x v="1"/>
    <x v="4"/>
  </r>
  <r>
    <s v="Yvonne Martinez"/>
    <x v="236"/>
    <x v="39"/>
    <x v="2"/>
    <x v="11"/>
    <x v="160"/>
    <x v="2"/>
    <s v="RT - Diggits"/>
    <x v="0"/>
    <m/>
    <x v="4"/>
    <s v="No"/>
    <x v="1"/>
    <x v="4"/>
  </r>
  <r>
    <s v="Carlos Jose Castano"/>
    <x v="236"/>
    <x v="7"/>
    <x v="10"/>
    <x v="38"/>
    <x v="244"/>
    <x v="53"/>
    <s v="Right - Toe"/>
    <x v="1"/>
    <m/>
    <x v="4"/>
    <s v="No"/>
    <x v="1"/>
    <x v="4"/>
  </r>
  <r>
    <s v="Enrique Ramos Serrano"/>
    <x v="237"/>
    <x v="34"/>
    <x v="2"/>
    <x v="2"/>
    <x v="245"/>
    <x v="2"/>
    <s v="LT - Hand, digits, and forearm"/>
    <x v="0"/>
    <m/>
    <x v="4"/>
    <s v="No"/>
    <x v="1"/>
    <x v="4"/>
  </r>
  <r>
    <s v="Jonny Garcia Soto"/>
    <x v="237"/>
    <x v="4"/>
    <x v="0"/>
    <x v="4"/>
    <x v="5"/>
    <x v="15"/>
    <s v="RT - Arm"/>
    <x v="1"/>
    <m/>
    <x v="4"/>
    <s v="No"/>
    <x v="1"/>
    <x v="4"/>
  </r>
  <r>
    <s v="Anthony Valdez"/>
    <x v="237"/>
    <x v="4"/>
    <x v="0"/>
    <x v="4"/>
    <x v="5"/>
    <x v="15"/>
    <s v="RT - Knee, Leg"/>
    <x v="0"/>
    <m/>
    <x v="4"/>
    <s v="No"/>
    <x v="1"/>
    <x v="4"/>
  </r>
  <r>
    <s v="Ra Thach"/>
    <x v="237"/>
    <x v="3"/>
    <x v="2"/>
    <x v="3"/>
    <x v="45"/>
    <x v="7"/>
    <s v="RT - Forearm"/>
    <x v="0"/>
    <m/>
    <x v="4"/>
    <s v="No"/>
    <x v="1"/>
    <x v="4"/>
  </r>
  <r>
    <s v="Berenize Carrillo "/>
    <x v="238"/>
    <x v="13"/>
    <x v="2"/>
    <x v="15"/>
    <x v="107"/>
    <x v="22"/>
    <s v="LT - Forearm"/>
    <x v="0"/>
    <m/>
    <x v="4"/>
    <s v="No"/>
    <x v="1"/>
    <x v="4"/>
  </r>
  <r>
    <s v="Jose Gonzalez"/>
    <x v="239"/>
    <x v="21"/>
    <x v="2"/>
    <x v="21"/>
    <x v="57"/>
    <x v="2"/>
    <s v="LT - Shoulder"/>
    <x v="0"/>
    <m/>
    <x v="4"/>
    <s v="No"/>
    <x v="1"/>
    <x v="4"/>
  </r>
  <r>
    <s v="Jesus Reyes Martinez"/>
    <x v="240"/>
    <x v="8"/>
    <x v="0"/>
    <x v="13"/>
    <x v="169"/>
    <x v="2"/>
    <s v="RT - Wrist"/>
    <x v="0"/>
    <m/>
    <x v="4"/>
    <s v="No"/>
    <x v="1"/>
    <x v="4"/>
  </r>
  <r>
    <s v="Jesus Reyes Martinez"/>
    <x v="240"/>
    <x v="8"/>
    <x v="0"/>
    <x v="13"/>
    <x v="169"/>
    <x v="2"/>
    <s v="RT - Knee"/>
    <x v="0"/>
    <m/>
    <x v="4"/>
    <s v="No"/>
    <x v="1"/>
    <x v="4"/>
  </r>
  <r>
    <s v="Rosedo Grenados"/>
    <x v="241"/>
    <x v="19"/>
    <x v="0"/>
    <x v="19"/>
    <x v="246"/>
    <x v="22"/>
    <s v="RT - Wrist"/>
    <x v="0"/>
    <m/>
    <x v="4"/>
    <s v="No"/>
    <x v="1"/>
    <x v="4"/>
  </r>
  <r>
    <s v="Jesus Morales Lopez"/>
    <x v="241"/>
    <x v="4"/>
    <x v="0"/>
    <x v="32"/>
    <x v="247"/>
    <x v="54"/>
    <s v="RT - Eye "/>
    <x v="0"/>
    <m/>
    <x v="4"/>
    <s v="No"/>
    <x v="1"/>
    <x v="4"/>
  </r>
  <r>
    <s v="Eliza Lopez Leon"/>
    <x v="242"/>
    <x v="8"/>
    <x v="0"/>
    <x v="13"/>
    <x v="248"/>
    <x v="55"/>
    <s v="RT - Wrist"/>
    <x v="0"/>
    <m/>
    <x v="4"/>
    <s v="No"/>
    <x v="1"/>
    <x v="4"/>
  </r>
  <r>
    <s v="Rosaangela Rodriguez"/>
    <x v="242"/>
    <x v="39"/>
    <x v="2"/>
    <x v="11"/>
    <x v="160"/>
    <x v="2"/>
    <s v="RT - Shoulder"/>
    <x v="0"/>
    <m/>
    <x v="4"/>
    <s v="No"/>
    <x v="1"/>
    <x v="4"/>
  </r>
  <r>
    <s v="Tomas Garcia"/>
    <x v="243"/>
    <x v="34"/>
    <x v="2"/>
    <x v="2"/>
    <x v="40"/>
    <x v="41"/>
    <s v="LT - Index Finger"/>
    <x v="0"/>
    <m/>
    <x v="5"/>
    <s v="No"/>
    <x v="1"/>
    <x v="5"/>
  </r>
  <r>
    <s v="Jonathan Campas"/>
    <x v="243"/>
    <x v="8"/>
    <x v="0"/>
    <x v="13"/>
    <x v="202"/>
    <x v="48"/>
    <s v="RT - Diggits"/>
    <x v="0"/>
    <m/>
    <x v="5"/>
    <s v="No"/>
    <x v="1"/>
    <x v="5"/>
  </r>
  <r>
    <s v="Morgan Branning"/>
    <x v="244"/>
    <x v="14"/>
    <x v="0"/>
    <x v="20"/>
    <x v="219"/>
    <x v="2"/>
    <s v="RT - Thumb "/>
    <x v="0"/>
    <m/>
    <x v="5"/>
    <s v="No"/>
    <x v="1"/>
    <x v="5"/>
  </r>
  <r>
    <s v="Eduardo Contreras"/>
    <x v="244"/>
    <x v="14"/>
    <x v="0"/>
    <x v="5"/>
    <x v="249"/>
    <x v="4"/>
    <s v="NA"/>
    <x v="1"/>
    <m/>
    <x v="5"/>
    <s v="No"/>
    <x v="1"/>
    <x v="5"/>
  </r>
  <r>
    <s v="Salvador Maravilla"/>
    <x v="245"/>
    <x v="4"/>
    <x v="0"/>
    <x v="32"/>
    <x v="212"/>
    <x v="47"/>
    <s v="LT - Forearm"/>
    <x v="0"/>
    <m/>
    <x v="5"/>
    <s v="No"/>
    <x v="1"/>
    <x v="5"/>
  </r>
  <r>
    <s v="Raul Reyes"/>
    <x v="245"/>
    <x v="0"/>
    <x v="0"/>
    <x v="0"/>
    <x v="159"/>
    <x v="56"/>
    <s v="Respiratory System"/>
    <x v="0"/>
    <m/>
    <x v="5"/>
    <s v="No"/>
    <x v="1"/>
    <x v="5"/>
  </r>
  <r>
    <s v="Christian Nicholas"/>
    <x v="246"/>
    <x v="14"/>
    <x v="0"/>
    <x v="16"/>
    <x v="35"/>
    <x v="7"/>
    <s v="RT - Arm"/>
    <x v="1"/>
    <m/>
    <x v="5"/>
    <s v="No"/>
    <x v="1"/>
    <x v="5"/>
  </r>
  <r>
    <s v="Victor Garcia"/>
    <x v="247"/>
    <x v="13"/>
    <x v="2"/>
    <x v="15"/>
    <x v="41"/>
    <x v="18"/>
    <s v="LT pointing Finger"/>
    <x v="0"/>
    <m/>
    <x v="5"/>
    <s v="No"/>
    <x v="1"/>
    <x v="5"/>
  </r>
  <r>
    <s v="Nicholas Gonzales"/>
    <x v="248"/>
    <x v="34"/>
    <x v="2"/>
    <x v="2"/>
    <x v="82"/>
    <x v="2"/>
    <s v="RT - Thummb"/>
    <x v="0"/>
    <m/>
    <x v="5"/>
    <s v="No"/>
    <x v="1"/>
    <x v="5"/>
  </r>
  <r>
    <s v="Manuel Rodriguez"/>
    <x v="249"/>
    <x v="14"/>
    <x v="0"/>
    <x v="5"/>
    <x v="250"/>
    <x v="2"/>
    <s v="LT-RT Wrist"/>
    <x v="0"/>
    <m/>
    <x v="5"/>
    <s v="No"/>
    <x v="1"/>
    <x v="5"/>
  </r>
  <r>
    <s v="Victor Garcia"/>
    <x v="249"/>
    <x v="13"/>
    <x v="2"/>
    <x v="15"/>
    <x v="41"/>
    <x v="18"/>
    <s v="RT - Thumb "/>
    <x v="0"/>
    <m/>
    <x v="5"/>
    <s v="No"/>
    <x v="1"/>
    <x v="5"/>
  </r>
  <r>
    <s v="Jesus Morales Lopez"/>
    <x v="250"/>
    <x v="4"/>
    <x v="0"/>
    <x v="32"/>
    <x v="247"/>
    <x v="22"/>
    <s v="RT - Popliteal      "/>
    <x v="0"/>
    <m/>
    <x v="5"/>
    <s v="No"/>
    <x v="1"/>
    <x v="5"/>
  </r>
  <r>
    <s v="Cristo Robles Torres"/>
    <x v="250"/>
    <x v="14"/>
    <x v="0"/>
    <x v="5"/>
    <x v="160"/>
    <x v="2"/>
    <s v="RT - Wrist"/>
    <x v="2"/>
    <m/>
    <x v="5"/>
    <s v="Yes"/>
    <x v="1"/>
    <x v="5"/>
  </r>
  <r>
    <s v="Maria Sanchez"/>
    <x v="250"/>
    <x v="17"/>
    <x v="2"/>
    <x v="18"/>
    <x v="41"/>
    <x v="54"/>
    <s v="RT - Knee"/>
    <x v="0"/>
    <m/>
    <x v="5"/>
    <s v="No"/>
    <x v="1"/>
    <x v="5"/>
  </r>
  <r>
    <s v="Angel Damian"/>
    <x v="251"/>
    <x v="14"/>
    <x v="0"/>
    <x v="5"/>
    <x v="251"/>
    <x v="18"/>
    <s v="LT - Shoulder"/>
    <x v="2"/>
    <m/>
    <x v="5"/>
    <s v="Yes"/>
    <x v="1"/>
    <x v="5"/>
  </r>
  <r>
    <s v="Melisa Salazar"/>
    <x v="252"/>
    <x v="12"/>
    <x v="2"/>
    <x v="28"/>
    <x v="146"/>
    <x v="51"/>
    <s v="Upper - Back"/>
    <x v="2"/>
    <m/>
    <x v="5"/>
    <s v="Yes"/>
    <x v="1"/>
    <x v="5"/>
  </r>
  <r>
    <s v="Miguel Sanchez"/>
    <x v="252"/>
    <x v="26"/>
    <x v="0"/>
    <x v="20"/>
    <x v="252"/>
    <x v="2"/>
    <s v="Lower Back"/>
    <x v="0"/>
    <m/>
    <x v="5"/>
    <s v="No"/>
    <x v="1"/>
    <x v="5"/>
  </r>
  <r>
    <s v="Amado Jardon Flores"/>
    <x v="253"/>
    <x v="10"/>
    <x v="7"/>
    <x v="36"/>
    <x v="253"/>
    <x v="57"/>
    <s v="Lower Back"/>
    <x v="1"/>
    <m/>
    <x v="5"/>
    <s v="No"/>
    <x v="1"/>
    <x v="5"/>
  </r>
  <r>
    <s v="Jorge Vanancio"/>
    <x v="254"/>
    <x v="14"/>
    <x v="0"/>
    <x v="5"/>
    <x v="254"/>
    <x v="22"/>
    <s v="LT- Lower back"/>
    <x v="0"/>
    <m/>
    <x v="5"/>
    <s v="No"/>
    <x v="1"/>
    <x v="5"/>
  </r>
  <r>
    <s v="Jonathon Campas"/>
    <x v="255"/>
    <x v="8"/>
    <x v="0"/>
    <x v="8"/>
    <x v="202"/>
    <x v="31"/>
    <s v="RT- Eye &amp; Nose"/>
    <x v="0"/>
    <m/>
    <x v="6"/>
    <s v="No"/>
    <x v="1"/>
    <x v="6"/>
  </r>
  <r>
    <s v="Mayra Solarte"/>
    <x v="255"/>
    <x v="14"/>
    <x v="0"/>
    <x v="5"/>
    <x v="160"/>
    <x v="47"/>
    <s v="Lt - Chest"/>
    <x v="0"/>
    <m/>
    <x v="6"/>
    <s v="No"/>
    <x v="1"/>
    <x v="6"/>
  </r>
  <r>
    <s v="Raul Reyes"/>
    <x v="256"/>
    <x v="34"/>
    <x v="2"/>
    <x v="15"/>
    <x v="255"/>
    <x v="2"/>
    <s v="RT - Elbow"/>
    <x v="0"/>
    <m/>
    <x v="6"/>
    <s v="No"/>
    <x v="1"/>
    <x v="6"/>
  </r>
  <r>
    <s v="Raul Reyes"/>
    <x v="256"/>
    <x v="34"/>
    <x v="2"/>
    <x v="15"/>
    <x v="41"/>
    <x v="22"/>
    <s v="Rt - Lower Back"/>
    <x v="0"/>
    <m/>
    <x v="6"/>
    <s v="No"/>
    <x v="1"/>
    <x v="6"/>
  </r>
  <r>
    <s v="Domingo Camberos"/>
    <x v="257"/>
    <x v="19"/>
    <x v="0"/>
    <x v="19"/>
    <x v="246"/>
    <x v="10"/>
    <s v="RT - Hand"/>
    <x v="0"/>
    <m/>
    <x v="6"/>
    <s v="No"/>
    <x v="1"/>
    <x v="6"/>
  </r>
  <r>
    <s v="Daniel Ortega"/>
    <x v="258"/>
    <x v="14"/>
    <x v="0"/>
    <x v="5"/>
    <x v="256"/>
    <x v="58"/>
    <s v="LT - Thumb"/>
    <x v="0"/>
    <m/>
    <x v="6"/>
    <s v="No"/>
    <x v="1"/>
    <x v="6"/>
  </r>
  <r>
    <s v="Daniel Vega"/>
    <x v="259"/>
    <x v="12"/>
    <x v="2"/>
    <x v="14"/>
    <x v="257"/>
    <x v="2"/>
    <s v="Rt - Shoulder"/>
    <x v="0"/>
    <m/>
    <x v="6"/>
    <s v="No"/>
    <x v="1"/>
    <x v="6"/>
  </r>
  <r>
    <s v="Juan Lugardo"/>
    <x v="259"/>
    <x v="33"/>
    <x v="0"/>
    <x v="25"/>
    <x v="258"/>
    <x v="59"/>
    <s v="Rt - Shoulder"/>
    <x v="0"/>
    <m/>
    <x v="6"/>
    <s v="No"/>
    <x v="1"/>
    <x v="6"/>
  </r>
  <r>
    <s v="Antonio Gomez"/>
    <x v="260"/>
    <x v="6"/>
    <x v="2"/>
    <x v="6"/>
    <x v="176"/>
    <x v="22"/>
    <s v="LT - Ankle"/>
    <x v="0"/>
    <m/>
    <x v="6"/>
    <s v="No"/>
    <x v="1"/>
    <x v="6"/>
  </r>
  <r>
    <s v="Jonathan Campas"/>
    <x v="261"/>
    <x v="26"/>
    <x v="0"/>
    <x v="13"/>
    <x v="202"/>
    <x v="22"/>
    <s v="LT - Middle Finger"/>
    <x v="0"/>
    <m/>
    <x v="6"/>
    <s v="No"/>
    <x v="1"/>
    <x v="6"/>
  </r>
  <r>
    <s v="Raul Reyes"/>
    <x v="261"/>
    <x v="34"/>
    <x v="2"/>
    <x v="15"/>
    <x v="41"/>
    <x v="10"/>
    <s v="LT - Middle Finger"/>
    <x v="0"/>
    <m/>
    <x v="6"/>
    <s v="No"/>
    <x v="1"/>
    <x v="6"/>
  </r>
  <r>
    <s v="Jose Luis Ramirez"/>
    <x v="261"/>
    <x v="19"/>
    <x v="0"/>
    <x v="19"/>
    <x v="125"/>
    <x v="48"/>
    <s v="RT - Hand"/>
    <x v="2"/>
    <m/>
    <x v="6"/>
    <s v="Yes"/>
    <x v="1"/>
    <x v="6"/>
  </r>
  <r>
    <s v="Leobardo Avila"/>
    <x v="262"/>
    <x v="34"/>
    <x v="2"/>
    <x v="15"/>
    <x v="259"/>
    <x v="2"/>
    <s v="Rt - Wrist  "/>
    <x v="0"/>
    <m/>
    <x v="6"/>
    <s v="No"/>
    <x v="1"/>
    <x v="6"/>
  </r>
  <r>
    <s v="Jose Lopez"/>
    <x v="263"/>
    <x v="0"/>
    <x v="0"/>
    <x v="0"/>
    <x v="260"/>
    <x v="18"/>
    <s v="LT - Middle Finger"/>
    <x v="0"/>
    <m/>
    <x v="6"/>
    <s v="No"/>
    <x v="1"/>
    <x v="6"/>
  </r>
  <r>
    <s v="Luz Torres"/>
    <x v="264"/>
    <x v="21"/>
    <x v="2"/>
    <x v="21"/>
    <x v="236"/>
    <x v="60"/>
    <s v="LT/ Rt Hands/ Index Fingers"/>
    <x v="0"/>
    <m/>
    <x v="6"/>
    <s v="No"/>
    <x v="1"/>
    <x v="6"/>
  </r>
  <r>
    <s v="Fernando Robles"/>
    <x v="265"/>
    <x v="40"/>
    <x v="2"/>
    <x v="24"/>
    <x v="227"/>
    <x v="2"/>
    <s v="Rt - Ankle "/>
    <x v="1"/>
    <m/>
    <x v="6"/>
    <s v="No"/>
    <x v="1"/>
    <x v="6"/>
  </r>
  <r>
    <s v="Marcos Marroquin"/>
    <x v="265"/>
    <x v="6"/>
    <x v="2"/>
    <x v="6"/>
    <x v="261"/>
    <x v="61"/>
    <s v="Rt - Thumb/ Nail"/>
    <x v="1"/>
    <m/>
    <x v="6"/>
    <s v="No"/>
    <x v="1"/>
    <x v="6"/>
  </r>
  <r>
    <s v="Alejandro Calvillo"/>
    <x v="266"/>
    <x v="17"/>
    <x v="2"/>
    <x v="18"/>
    <x v="79"/>
    <x v="22"/>
    <s v="Rt - Wrist &amp; Thumb"/>
    <x v="0"/>
    <m/>
    <x v="6"/>
    <s v="No"/>
    <x v="1"/>
    <x v="6"/>
  </r>
  <r>
    <s v="Pascuala Rodriguez"/>
    <x v="266"/>
    <x v="34"/>
    <x v="2"/>
    <x v="15"/>
    <x v="104"/>
    <x v="22"/>
    <s v="Rt - Shoulder"/>
    <x v="0"/>
    <m/>
    <x v="6"/>
    <s v="No"/>
    <x v="1"/>
    <x v="6"/>
  </r>
  <r>
    <s v="Dulce Monjardin  "/>
    <x v="266"/>
    <x v="14"/>
    <x v="0"/>
    <x v="5"/>
    <x v="262"/>
    <x v="2"/>
    <s v="Abdomon "/>
    <x v="0"/>
    <m/>
    <x v="6"/>
    <s v="No"/>
    <x v="1"/>
    <x v="6"/>
  </r>
  <r>
    <s v="Jesus Avila"/>
    <x v="267"/>
    <x v="14"/>
    <x v="0"/>
    <x v="5"/>
    <x v="263"/>
    <x v="47"/>
    <s v="LT - Eye/ Face/ Arm, Shoulder. "/>
    <x v="0"/>
    <m/>
    <x v="6"/>
    <s v="No"/>
    <x v="1"/>
    <x v="6"/>
  </r>
  <r>
    <s v="Manuel Flores "/>
    <x v="267"/>
    <x v="17"/>
    <x v="2"/>
    <x v="18"/>
    <x v="77"/>
    <x v="2"/>
    <s v="Rt - Wrist &amp; Thumb"/>
    <x v="0"/>
    <m/>
    <x v="6"/>
    <s v="No"/>
    <x v="1"/>
    <x v="6"/>
  </r>
  <r>
    <s v="Kenneth Rayburn"/>
    <x v="268"/>
    <x v="17"/>
    <x v="2"/>
    <x v="18"/>
    <x v="69"/>
    <x v="41"/>
    <s v="LT - Index Finger"/>
    <x v="0"/>
    <m/>
    <x v="6"/>
    <s v="No"/>
    <x v="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A65A14-22B1-43B2-B0CB-CB0DDD3688FE}" name="pvtInjury"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66" firstHeaderRow="1" firstDataRow="1" firstDataCol="1"/>
  <pivotFields count="14">
    <pivotField dataField="1" showAll="0"/>
    <pivotField numFmtId="14" showAll="0"/>
    <pivotField showAll="0"/>
    <pivotField showAll="0"/>
    <pivotField showAll="0"/>
    <pivotField showAll="0"/>
    <pivotField axis="axisRow" showAll="0">
      <items count="75">
        <item x="55"/>
        <item x="6"/>
        <item x="37"/>
        <item x="25"/>
        <item x="51"/>
        <item x="30"/>
        <item x="8"/>
        <item x="47"/>
        <item x="19"/>
        <item x="41"/>
        <item x="27"/>
        <item x="38"/>
        <item x="58"/>
        <item x="15"/>
        <item x="16"/>
        <item x="1"/>
        <item m="1" x="70"/>
        <item x="32"/>
        <item x="17"/>
        <item x="31"/>
        <item x="0"/>
        <item m="1" x="68"/>
        <item m="1" x="73"/>
        <item x="46"/>
        <item x="53"/>
        <item x="28"/>
        <item x="56"/>
        <item x="14"/>
        <item x="11"/>
        <item x="50"/>
        <item x="18"/>
        <item x="61"/>
        <item x="26"/>
        <item x="13"/>
        <item x="44"/>
        <item x="23"/>
        <item x="29"/>
        <item x="10"/>
        <item x="7"/>
        <item x="42"/>
        <item x="24"/>
        <item x="43"/>
        <item x="4"/>
        <item m="1" x="67"/>
        <item x="22"/>
        <item x="34"/>
        <item x="2"/>
        <item x="21"/>
        <item m="1" x="69"/>
        <item x="36"/>
        <item x="40"/>
        <item x="49"/>
        <item m="1" x="72"/>
        <item x="20"/>
        <item x="9"/>
        <item x="54"/>
        <item x="5"/>
        <item x="12"/>
        <item x="39"/>
        <item x="45"/>
        <item x="35"/>
        <item x="3"/>
        <item x="48"/>
        <item x="57"/>
        <item x="60"/>
        <item x="59"/>
        <item x="33"/>
        <item x="52"/>
        <item m="1" x="71"/>
        <item m="1" x="66"/>
        <item m="1" x="65"/>
        <item m="1" x="64"/>
        <item m="1" x="63"/>
        <item m="1" x="62"/>
        <item t="default"/>
      </items>
    </pivotField>
    <pivotField showAll="0"/>
    <pivotField showAll="0"/>
    <pivotField showAll="0"/>
    <pivotField showAll="0"/>
    <pivotField showAll="0"/>
    <pivotField showAll="0"/>
    <pivotField showAll="0"/>
  </pivotFields>
  <rowFields count="1">
    <field x="6"/>
  </rowFields>
  <rowItems count="63">
    <i>
      <x/>
    </i>
    <i>
      <x v="1"/>
    </i>
    <i>
      <x v="2"/>
    </i>
    <i>
      <x v="3"/>
    </i>
    <i>
      <x v="4"/>
    </i>
    <i>
      <x v="5"/>
    </i>
    <i>
      <x v="6"/>
    </i>
    <i>
      <x v="7"/>
    </i>
    <i>
      <x v="8"/>
    </i>
    <i>
      <x v="9"/>
    </i>
    <i>
      <x v="10"/>
    </i>
    <i>
      <x v="11"/>
    </i>
    <i>
      <x v="12"/>
    </i>
    <i>
      <x v="13"/>
    </i>
    <i>
      <x v="14"/>
    </i>
    <i>
      <x v="15"/>
    </i>
    <i>
      <x v="17"/>
    </i>
    <i>
      <x v="18"/>
    </i>
    <i>
      <x v="19"/>
    </i>
    <i>
      <x v="20"/>
    </i>
    <i>
      <x v="23"/>
    </i>
    <i>
      <x v="24"/>
    </i>
    <i>
      <x v="25"/>
    </i>
    <i>
      <x v="26"/>
    </i>
    <i>
      <x v="27"/>
    </i>
    <i>
      <x v="28"/>
    </i>
    <i>
      <x v="29"/>
    </i>
    <i>
      <x v="30"/>
    </i>
    <i>
      <x v="31"/>
    </i>
    <i>
      <x v="32"/>
    </i>
    <i>
      <x v="33"/>
    </i>
    <i>
      <x v="34"/>
    </i>
    <i>
      <x v="35"/>
    </i>
    <i>
      <x v="36"/>
    </i>
    <i>
      <x v="37"/>
    </i>
    <i>
      <x v="38"/>
    </i>
    <i>
      <x v="39"/>
    </i>
    <i>
      <x v="40"/>
    </i>
    <i>
      <x v="41"/>
    </i>
    <i>
      <x v="42"/>
    </i>
    <i>
      <x v="44"/>
    </i>
    <i>
      <x v="45"/>
    </i>
    <i>
      <x v="46"/>
    </i>
    <i>
      <x v="47"/>
    </i>
    <i>
      <x v="49"/>
    </i>
    <i>
      <x v="50"/>
    </i>
    <i>
      <x v="51"/>
    </i>
    <i>
      <x v="53"/>
    </i>
    <i>
      <x v="54"/>
    </i>
    <i>
      <x v="55"/>
    </i>
    <i>
      <x v="56"/>
    </i>
    <i>
      <x v="57"/>
    </i>
    <i>
      <x v="58"/>
    </i>
    <i>
      <x v="59"/>
    </i>
    <i>
      <x v="60"/>
    </i>
    <i>
      <x v="61"/>
    </i>
    <i>
      <x v="62"/>
    </i>
    <i>
      <x v="63"/>
    </i>
    <i>
      <x v="64"/>
    </i>
    <i>
      <x v="65"/>
    </i>
    <i>
      <x v="66"/>
    </i>
    <i>
      <x v="67"/>
    </i>
    <i t="grand">
      <x/>
    </i>
  </rowItems>
  <colItems count="1">
    <i/>
  </colItems>
  <dataFields count="1">
    <dataField name="In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A2BD77-A6B7-4E4B-B2C6-706FDB827655}" name="pvtYear"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5" firstHeaderRow="1" firstDataRow="1" firstDataCol="1"/>
  <pivotFields count="14">
    <pivotField dataField="1"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5">
        <item h="1" m="1" x="2"/>
        <item h="1" m="1" x="3"/>
        <item x="1"/>
        <item h="1" x="0"/>
        <item t="default"/>
      </items>
    </pivotField>
    <pivotField showAll="0"/>
  </pivotFields>
  <rowFields count="1">
    <field x="12"/>
  </rowFields>
  <rowItems count="2">
    <i>
      <x v="2"/>
    </i>
    <i t="grand">
      <x/>
    </i>
  </rowItems>
  <colItems count="1">
    <i/>
  </colItems>
  <dataFields count="1">
    <dataField name="In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E17BE6-3CE3-4D1E-9C4F-1C0F2B4E6321}" name="pvtDept"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2" firstHeaderRow="1" firstDataRow="1" firstDataCol="1"/>
  <pivotFields count="14">
    <pivotField dataField="1" showAll="0"/>
    <pivotField numFmtId="14" showAll="0"/>
    <pivotField showAll="0"/>
    <pivotField axis="axisRow" showAll="0">
      <items count="16">
        <item x="5"/>
        <item x="3"/>
        <item m="1" x="14"/>
        <item x="2"/>
        <item x="7"/>
        <item x="0"/>
        <item x="4"/>
        <item x="1"/>
        <item x="10"/>
        <item x="8"/>
        <item x="12"/>
        <item x="6"/>
        <item x="9"/>
        <item x="11"/>
        <item m="1" x="13"/>
        <item t="default"/>
      </items>
    </pivotField>
    <pivotField showAll="0"/>
    <pivotField showAll="0"/>
    <pivotField showAll="0"/>
    <pivotField showAll="0"/>
    <pivotField showAll="0"/>
    <pivotField showAll="0"/>
    <pivotField showAll="0">
      <items count="14">
        <item x="6"/>
        <item x="5"/>
        <item h="1" x="4"/>
        <item h="1" x="3"/>
        <item h="1" x="2"/>
        <item h="1" x="1"/>
        <item h="1" x="0"/>
        <item h="1" x="11"/>
        <item h="1" x="10"/>
        <item h="1" x="9"/>
        <item h="1" x="8"/>
        <item h="1" x="7"/>
        <item h="1" m="1" x="12"/>
        <item t="default"/>
      </items>
    </pivotField>
    <pivotField showAll="0"/>
    <pivotField showAll="0">
      <items count="5">
        <item m="1" x="2"/>
        <item m="1" x="3"/>
        <item x="1"/>
        <item x="0"/>
        <item t="default"/>
      </items>
    </pivotField>
    <pivotField showAll="0"/>
  </pivotFields>
  <rowFields count="1">
    <field x="3"/>
  </rowFields>
  <rowItems count="9">
    <i>
      <x v="1"/>
    </i>
    <i>
      <x v="3"/>
    </i>
    <i>
      <x v="4"/>
    </i>
    <i>
      <x v="5"/>
    </i>
    <i>
      <x v="6"/>
    </i>
    <i>
      <x v="7"/>
    </i>
    <i>
      <x v="9"/>
    </i>
    <i>
      <x v="12"/>
    </i>
    <i t="grand">
      <x/>
    </i>
  </rowItems>
  <colItems count="1">
    <i/>
  </colItems>
  <dataFields count="1">
    <dataField name="In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3236F1-8561-4724-9969-96E5317351FB}" name="pvtESI"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4">
    <pivotField dataField="1" showAll="0"/>
    <pivotField numFmtId="14" showAll="0"/>
    <pivotField showAll="0"/>
    <pivotField showAll="0"/>
    <pivotField showAll="0"/>
    <pivotField showAll="0"/>
    <pivotField showAll="0"/>
    <pivotField showAll="0"/>
    <pivotField axis="axisRow" showAll="0">
      <items count="5">
        <item x="0"/>
        <item x="2"/>
        <item x="1"/>
        <item m="1" x="3"/>
        <item t="default"/>
      </items>
    </pivotField>
    <pivotField showAll="0"/>
    <pivotField showAll="0"/>
    <pivotField showAll="0"/>
    <pivotField showAll="0"/>
    <pivotField showAll="0"/>
  </pivotFields>
  <rowFields count="1">
    <field x="8"/>
  </rowFields>
  <rowItems count="4">
    <i>
      <x/>
    </i>
    <i>
      <x v="1"/>
    </i>
    <i>
      <x v="2"/>
    </i>
    <i t="grand">
      <x/>
    </i>
  </rowItems>
  <colItems count="1">
    <i/>
  </colItems>
  <dataFields count="1">
    <dataField name="In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86AD90-0FCA-42FC-9593-E8560C30AE71}" name="PivotTable12" cacheId="130" applyNumberFormats="0" applyBorderFormats="0" applyFontFormats="0" applyPatternFormats="0" applyAlignmentFormats="0" applyWidthHeightFormats="1" dataCaption="Values" updatedVersion="8" minRefreshableVersion="5" useAutoFormatting="1" itemPrintTitles="1" createdVersion="8" indent="0" showHeaders="0" outline="1" outlineData="1" multipleFieldFilters="0" chartFormat="64">
  <location ref="A3:B8" firstHeaderRow="1" firstDataRow="1" firstDataCol="1"/>
  <pivotFields count="14">
    <pivotField showAll="0"/>
    <pivotField dataField="1" showAll="0"/>
    <pivotField showAll="0"/>
    <pivotField showAll="0"/>
    <pivotField showAll="0"/>
    <pivotField showAll="0"/>
    <pivotField showAll="0"/>
    <pivotField showAll="0"/>
    <pivotField showAll="0"/>
    <pivotField showAll="0"/>
    <pivotField axis="axisRow" showAll="0">
      <items count="14">
        <item h="1" x="6"/>
        <item x="5"/>
        <item h="1" x="4"/>
        <item x="3"/>
        <item x="2"/>
        <item x="1"/>
        <item h="1" x="0"/>
        <item h="1" x="11"/>
        <item h="1" x="10"/>
        <item h="1" x="9"/>
        <item h="1" x="8"/>
        <item h="1" x="7"/>
        <item h="1" m="1" x="12"/>
        <item t="default"/>
      </items>
    </pivotField>
    <pivotField showAll="0"/>
    <pivotField showAll="0">
      <items count="5">
        <item m="1" x="2"/>
        <item m="1" x="3"/>
        <item x="1"/>
        <item x="0"/>
        <item t="default"/>
      </items>
    </pivotField>
    <pivotField showAll="0"/>
  </pivotFields>
  <rowFields count="1">
    <field x="10"/>
  </rowFields>
  <rowItems count="5">
    <i>
      <x v="1"/>
    </i>
    <i>
      <x v="3"/>
    </i>
    <i>
      <x v="4"/>
    </i>
    <i>
      <x v="5"/>
    </i>
    <i t="grand">
      <x/>
    </i>
  </rowItems>
  <colItems count="1">
    <i/>
  </colItems>
  <dataFields count="1">
    <dataField name="Count of DOI" fld="1" subtotal="count" baseField="0" baseItem="0"/>
  </dataFields>
  <chartFormats count="4">
    <chartFormat chart="13" format="184" series="1">
      <pivotArea type="data" outline="0" fieldPosition="0">
        <references count="1">
          <reference field="4294967294" count="1" selected="0">
            <x v="0"/>
          </reference>
        </references>
      </pivotArea>
    </chartFormat>
    <chartFormat chart="32" format="186" series="1">
      <pivotArea type="data" outline="0" fieldPosition="0">
        <references count="1">
          <reference field="4294967294" count="1" selected="0">
            <x v="0"/>
          </reference>
        </references>
      </pivotArea>
    </chartFormat>
    <chartFormat chart="33" format="187"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32" name="DOI">
      <autoFilter ref="A1">
        <filterColumn colId="0">
          <customFilters and="1">
            <customFilter operator="greaterThanOrEqual" val="46023"/>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AFF2EC-62ED-49E0-87C3-D40BAB30A2C9}" name="PivotTable2" cacheId="1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8">
  <location ref="A3:C12" firstHeaderRow="1" firstDataRow="2" firstDataCol="1"/>
  <pivotFields count="14">
    <pivotField showAll="0"/>
    <pivotField dataField="1" numFmtId="14" showAll="0"/>
    <pivotField showAll="0"/>
    <pivotField showAll="0"/>
    <pivotField showAll="0"/>
    <pivotField showAll="0"/>
    <pivotField showAll="0"/>
    <pivotField showAll="0"/>
    <pivotField axis="axisCol" showAll="0">
      <items count="5">
        <item h="1" x="0"/>
        <item x="2"/>
        <item h="1" x="1"/>
        <item h="1" m="1" x="3"/>
        <item t="default"/>
      </items>
    </pivotField>
    <pivotField showAll="0"/>
    <pivotField axis="axisRow" showAll="0">
      <items count="14">
        <item h="1" x="6"/>
        <item x="5"/>
        <item h="1" x="4"/>
        <item x="3"/>
        <item x="2"/>
        <item x="1"/>
        <item h="1" x="0"/>
        <item h="1" x="11"/>
        <item h="1" x="10"/>
        <item h="1" x="9"/>
        <item h="1" x="8"/>
        <item h="1" x="7"/>
        <item h="1" m="1" x="12"/>
        <item t="default"/>
      </items>
    </pivotField>
    <pivotField showAll="0"/>
    <pivotField axis="axisRow" showAll="0">
      <items count="5">
        <item x="1"/>
        <item x="0"/>
        <item m="1" x="2"/>
        <item m="1" x="3"/>
        <item t="default"/>
      </items>
    </pivotField>
    <pivotField showAll="0"/>
  </pivotFields>
  <rowFields count="2">
    <field x="12"/>
    <field x="10"/>
  </rowFields>
  <rowItems count="8">
    <i>
      <x/>
    </i>
    <i r="1">
      <x v="1"/>
    </i>
    <i r="1">
      <x v="5"/>
    </i>
    <i>
      <x v="1"/>
    </i>
    <i r="1">
      <x v="3"/>
    </i>
    <i r="1">
      <x v="4"/>
    </i>
    <i r="1">
      <x v="5"/>
    </i>
    <i t="grand">
      <x/>
    </i>
  </rowItems>
  <colFields count="1">
    <field x="8"/>
  </colFields>
  <colItems count="2">
    <i>
      <x v="1"/>
    </i>
    <i t="grand">
      <x/>
    </i>
  </colItems>
  <dataFields count="1">
    <dataField name="Count of DOI" fld="1" subtotal="count" baseField="0" baseItem="0"/>
  </dataFields>
  <chartFormats count="4">
    <chartFormat chart="110" format="0" series="1">
      <pivotArea type="data" outline="0" fieldPosition="0">
        <references count="2">
          <reference field="4294967294" count="1" selected="0">
            <x v="0"/>
          </reference>
          <reference field="8" count="1" selected="0">
            <x v="0"/>
          </reference>
        </references>
      </pivotArea>
    </chartFormat>
    <chartFormat chart="110" format="1" series="1">
      <pivotArea type="data" outline="0" fieldPosition="0">
        <references count="2">
          <reference field="4294967294" count="1" selected="0">
            <x v="0"/>
          </reference>
          <reference field="8" count="1" selected="0">
            <x v="1"/>
          </reference>
        </references>
      </pivotArea>
    </chartFormat>
    <chartFormat chart="110" format="2" series="1">
      <pivotArea type="data" outline="0" fieldPosition="0">
        <references count="2">
          <reference field="4294967294" count="1" selected="0">
            <x v="0"/>
          </reference>
          <reference field="8" count="1" selected="0">
            <x v="2"/>
          </reference>
        </references>
      </pivotArea>
    </chartFormat>
    <chartFormat chart="1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99" name="DOI">
      <autoFilter ref="A1">
        <filterColumn colId="0">
          <customFilters and="1">
            <customFilter operator="greaterThanOrEqual" val="46023"/>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FE3E61-C261-461D-B02C-3A96D2FE6693}" name="PivotTable8" cacheId="1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6" firstHeaderRow="1" firstDataRow="1" firstDataCol="1"/>
  <pivotFields count="14">
    <pivotField showAll="0"/>
    <pivotField dataField="1" showAll="0"/>
    <pivotField showAll="0"/>
    <pivotField showAll="0"/>
    <pivotField showAll="0"/>
    <pivotField showAll="0"/>
    <pivotField showAll="0"/>
    <pivotField showAll="0"/>
    <pivotField showAll="0"/>
    <pivotField showAll="0"/>
    <pivotField showAll="0">
      <items count="14">
        <item h="1" x="6"/>
        <item x="5"/>
        <item h="1" x="4"/>
        <item x="3"/>
        <item x="2"/>
        <item x="1"/>
        <item h="1" x="0"/>
        <item h="1" x="11"/>
        <item h="1" x="10"/>
        <item h="1" x="9"/>
        <item h="1" x="8"/>
        <item h="1" x="7"/>
        <item h="1" m="1" x="12"/>
        <item t="default"/>
      </items>
    </pivotField>
    <pivotField showAll="0"/>
    <pivotField axis="axisRow" showAll="0">
      <items count="5">
        <item x="1"/>
        <item x="0"/>
        <item m="1" x="2"/>
        <item m="1" x="3"/>
        <item t="default"/>
      </items>
    </pivotField>
    <pivotField showAll="0"/>
  </pivotFields>
  <rowFields count="1">
    <field x="12"/>
  </rowFields>
  <rowItems count="3">
    <i>
      <x/>
    </i>
    <i>
      <x v="1"/>
    </i>
    <i t="grand">
      <x/>
    </i>
  </rowItems>
  <colItems count="1">
    <i/>
  </colItems>
  <dataFields count="1">
    <dataField name="Count of DOI" fld="1" subtotal="count"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38" name="DOI">
      <autoFilter ref="A1">
        <filterColumn colId="0">
          <customFilters and="1">
            <customFilter operator="greaterThanOrEqual" val="46023"/>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D3EA41-9D98-42B3-9CBD-40F20297D373}" name="PivotTable3" cacheId="1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3:A4" firstHeaderRow="1" firstDataRow="1" firstDataCol="0"/>
  <pivotFields count="14">
    <pivotField showAll="0"/>
    <pivotField dataField="1" numFmtId="14"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DOI" fld="1" subtotal="count" baseField="0" baseItem="0"/>
  </dataFields>
  <chartFormats count="4">
    <chartFormat chart="25" format="4" series="1">
      <pivotArea type="data" outline="0" fieldPosition="0">
        <references count="1">
          <reference field="4294967294" count="1" selected="0">
            <x v="0"/>
          </reference>
        </references>
      </pivotArea>
    </chartFormat>
    <chartFormat chart="25" format="5">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38" name="DOI">
      <autoFilter ref="A1">
        <filterColumn colId="0">
          <customFilters and="1">
            <customFilter operator="greaterThanOrEqual" val="46023"/>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94D65B-5B6B-44C2-AA77-23392FE7365B}" name="PivotTable4" cacheId="1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A3:B16" firstHeaderRow="1" firstDataRow="1" firstDataCol="1"/>
  <pivotFields count="14">
    <pivotField showAll="0"/>
    <pivotField dataField="1" numFmtId="14" showAll="0"/>
    <pivotField showAll="0"/>
    <pivotField axis="axisRow" showAll="0">
      <items count="16">
        <item x="3"/>
        <item x="2"/>
        <item x="7"/>
        <item x="0"/>
        <item x="4"/>
        <item x="1"/>
        <item x="10"/>
        <item x="8"/>
        <item x="12"/>
        <item x="9"/>
        <item x="11"/>
        <item m="1" x="13"/>
        <item m="1" x="14"/>
        <item x="5"/>
        <item x="6"/>
        <item t="default"/>
      </items>
    </pivotField>
    <pivotField showAll="0"/>
    <pivotField showAll="0"/>
    <pivotField showAll="0"/>
    <pivotField showAll="0"/>
    <pivotField showAll="0">
      <items count="5">
        <item h="1" x="0"/>
        <item x="2"/>
        <item h="1" x="1"/>
        <item h="1" m="1" x="3"/>
        <item t="default"/>
      </items>
    </pivotField>
    <pivotField showAll="0"/>
    <pivotField showAll="0"/>
    <pivotField showAll="0"/>
    <pivotField axis="axisRow" showAll="0">
      <items count="5">
        <item x="1"/>
        <item x="0"/>
        <item m="1" x="2"/>
        <item m="1" x="3"/>
        <item t="default"/>
      </items>
    </pivotField>
    <pivotField showAll="0"/>
  </pivotFields>
  <rowFields count="2">
    <field x="3"/>
    <field x="12"/>
  </rowFields>
  <rowItems count="13">
    <i>
      <x/>
    </i>
    <i r="1">
      <x v="1"/>
    </i>
    <i>
      <x v="1"/>
    </i>
    <i r="1">
      <x/>
    </i>
    <i r="1">
      <x v="1"/>
    </i>
    <i>
      <x v="3"/>
    </i>
    <i r="1">
      <x/>
    </i>
    <i r="1">
      <x v="1"/>
    </i>
    <i>
      <x v="6"/>
    </i>
    <i r="1">
      <x/>
    </i>
    <i>
      <x v="7"/>
    </i>
    <i r="1">
      <x v="1"/>
    </i>
    <i t="grand">
      <x/>
    </i>
  </rowItems>
  <colItems count="1">
    <i/>
  </colItems>
  <dataFields count="1">
    <dataField name="Count of DOI" fld="1" subtotal="count" baseField="0" baseItem="0"/>
  </dataFields>
  <chartFormats count="2">
    <chartFormat chart="31" format="0" series="1">
      <pivotArea type="data" outline="0" fieldPosition="0">
        <references count="2">
          <reference field="4294967294" count="1" selected="0">
            <x v="0"/>
          </reference>
          <reference field="12" count="1" selected="0">
            <x v="1"/>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75" name="DOI">
      <autoFilter ref="A1">
        <filterColumn colId="0">
          <customFilters and="1">
            <customFilter operator="greaterThanOrEqual" val="46023"/>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7C6F98-F397-4F7F-BBA5-4A113A573442}" name="PivotTable11"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08" firstHeaderRow="1" firstDataRow="1" firstDataCol="1"/>
  <pivotFields count="14">
    <pivotField showAll="0"/>
    <pivotField showAll="0"/>
    <pivotField showAll="0"/>
    <pivotField showAll="0"/>
    <pivotField showAll="0"/>
    <pivotField showAll="0"/>
    <pivotField axis="axisRow" showAll="0">
      <items count="75">
        <item x="55"/>
        <item x="6"/>
        <item x="37"/>
        <item x="51"/>
        <item x="30"/>
        <item x="8"/>
        <item x="47"/>
        <item x="41"/>
        <item x="27"/>
        <item x="38"/>
        <item x="58"/>
        <item x="15"/>
        <item x="16"/>
        <item x="1"/>
        <item x="32"/>
        <item x="31"/>
        <item m="1" x="68"/>
        <item m="1" x="73"/>
        <item x="46"/>
        <item x="53"/>
        <item x="28"/>
        <item x="56"/>
        <item x="14"/>
        <item x="50"/>
        <item x="18"/>
        <item x="61"/>
        <item x="44"/>
        <item x="29"/>
        <item x="10"/>
        <item x="7"/>
        <item x="42"/>
        <item x="43"/>
        <item x="4"/>
        <item x="22"/>
        <item x="34"/>
        <item x="2"/>
        <item x="36"/>
        <item x="40"/>
        <item x="49"/>
        <item x="54"/>
        <item x="5"/>
        <item x="39"/>
        <item x="45"/>
        <item x="35"/>
        <item x="3"/>
        <item x="48"/>
        <item x="57"/>
        <item x="60"/>
        <item x="59"/>
        <item x="33"/>
        <item x="52"/>
        <item x="19"/>
        <item x="9"/>
        <item x="12"/>
        <item x="21"/>
        <item x="20"/>
        <item x="25"/>
        <item x="24"/>
        <item m="1" x="70"/>
        <item x="26"/>
        <item x="23"/>
        <item x="0"/>
        <item m="1" x="69"/>
        <item x="11"/>
        <item m="1" x="72"/>
        <item x="13"/>
        <item m="1" x="67"/>
        <item x="17"/>
        <item m="1" x="71"/>
        <item m="1" x="66"/>
        <item m="1" x="65"/>
        <item m="1" x="64"/>
        <item m="1" x="63"/>
        <item m="1" x="62"/>
        <item t="default"/>
      </items>
    </pivotField>
    <pivotField dataField="1" showAll="0"/>
    <pivotField showAll="0"/>
    <pivotField showAll="0"/>
    <pivotField axis="axisRow" showAll="0">
      <items count="14">
        <item x="6"/>
        <item x="5"/>
        <item x="4"/>
        <item x="3"/>
        <item x="2"/>
        <item x="1"/>
        <item x="0"/>
        <item x="11"/>
        <item x="10"/>
        <item x="9"/>
        <item x="8"/>
        <item x="7"/>
        <item h="1" m="1" x="12"/>
        <item t="default"/>
      </items>
    </pivotField>
    <pivotField showAll="0"/>
    <pivotField axis="axisRow" showAll="0">
      <items count="5">
        <item h="1" x="1"/>
        <item x="0"/>
        <item h="1" m="1" x="2"/>
        <item h="1" m="1" x="3"/>
        <item t="default"/>
      </items>
    </pivotField>
    <pivotField showAll="0"/>
  </pivotFields>
  <rowFields count="3">
    <field x="12"/>
    <field x="10"/>
    <field x="6"/>
  </rowFields>
  <rowItems count="105">
    <i>
      <x v="1"/>
    </i>
    <i r="1">
      <x/>
    </i>
    <i r="2">
      <x v="1"/>
    </i>
    <i r="2">
      <x v="5"/>
    </i>
    <i r="2">
      <x v="24"/>
    </i>
    <i r="2">
      <x v="27"/>
    </i>
    <i r="2">
      <x v="28"/>
    </i>
    <i r="2">
      <x v="29"/>
    </i>
    <i r="2">
      <x v="32"/>
    </i>
    <i r="2">
      <x v="33"/>
    </i>
    <i r="2">
      <x v="35"/>
    </i>
    <i r="2">
      <x v="61"/>
    </i>
    <i r="1">
      <x v="1"/>
    </i>
    <i r="2">
      <x v="1"/>
    </i>
    <i r="2">
      <x v="5"/>
    </i>
    <i r="2">
      <x v="8"/>
    </i>
    <i r="2">
      <x v="20"/>
    </i>
    <i r="2">
      <x v="22"/>
    </i>
    <i r="2">
      <x v="24"/>
    </i>
    <i r="2">
      <x v="28"/>
    </i>
    <i r="2">
      <x v="29"/>
    </i>
    <i r="2">
      <x v="32"/>
    </i>
    <i r="2">
      <x v="33"/>
    </i>
    <i r="2">
      <x v="35"/>
    </i>
    <i r="2">
      <x v="40"/>
    </i>
    <i r="2">
      <x v="44"/>
    </i>
    <i r="2">
      <x v="53"/>
    </i>
    <i r="2">
      <x v="61"/>
    </i>
    <i r="1">
      <x v="2"/>
    </i>
    <i r="2">
      <x v="12"/>
    </i>
    <i r="2">
      <x v="24"/>
    </i>
    <i r="2">
      <x v="28"/>
    </i>
    <i r="2">
      <x v="29"/>
    </i>
    <i r="2">
      <x v="32"/>
    </i>
    <i r="2">
      <x v="35"/>
    </i>
    <i r="2">
      <x v="40"/>
    </i>
    <i r="2">
      <x v="51"/>
    </i>
    <i r="2">
      <x v="52"/>
    </i>
    <i r="2">
      <x v="53"/>
    </i>
    <i r="2">
      <x v="54"/>
    </i>
    <i r="2">
      <x v="61"/>
    </i>
    <i r="1">
      <x v="3"/>
    </i>
    <i r="2">
      <x v="1"/>
    </i>
    <i r="2">
      <x v="5"/>
    </i>
    <i r="2">
      <x v="12"/>
    </i>
    <i r="2">
      <x v="24"/>
    </i>
    <i r="2">
      <x v="28"/>
    </i>
    <i r="2">
      <x v="29"/>
    </i>
    <i r="2">
      <x v="32"/>
    </i>
    <i r="2">
      <x v="33"/>
    </i>
    <i r="2">
      <x v="35"/>
    </i>
    <i r="2">
      <x v="40"/>
    </i>
    <i r="2">
      <x v="51"/>
    </i>
    <i r="2">
      <x v="55"/>
    </i>
    <i r="2">
      <x v="56"/>
    </i>
    <i r="2">
      <x v="57"/>
    </i>
    <i r="2">
      <x v="59"/>
    </i>
    <i r="2">
      <x v="61"/>
    </i>
    <i r="1">
      <x v="4"/>
    </i>
    <i r="2">
      <x v="1"/>
    </i>
    <i r="2">
      <x v="5"/>
    </i>
    <i r="2">
      <x v="12"/>
    </i>
    <i r="2">
      <x v="13"/>
    </i>
    <i r="2">
      <x v="28"/>
    </i>
    <i r="2">
      <x v="29"/>
    </i>
    <i r="2">
      <x v="32"/>
    </i>
    <i r="2">
      <x v="35"/>
    </i>
    <i r="2">
      <x v="51"/>
    </i>
    <i r="2">
      <x v="52"/>
    </i>
    <i r="2">
      <x v="61"/>
    </i>
    <i r="1">
      <x v="5"/>
    </i>
    <i r="2">
      <x v="5"/>
    </i>
    <i r="2">
      <x v="12"/>
    </i>
    <i r="2">
      <x v="28"/>
    </i>
    <i r="2">
      <x v="29"/>
    </i>
    <i r="2">
      <x v="32"/>
    </i>
    <i r="2">
      <x v="33"/>
    </i>
    <i r="2">
      <x v="35"/>
    </i>
    <i r="2">
      <x v="51"/>
    </i>
    <i r="2">
      <x v="54"/>
    </i>
    <i r="2">
      <x v="55"/>
    </i>
    <i r="2">
      <x v="60"/>
    </i>
    <i r="2">
      <x v="61"/>
    </i>
    <i r="2">
      <x v="63"/>
    </i>
    <i r="1">
      <x v="6"/>
    </i>
    <i r="2">
      <x v="1"/>
    </i>
    <i r="2">
      <x v="5"/>
    </i>
    <i r="2">
      <x v="11"/>
    </i>
    <i r="2">
      <x v="12"/>
    </i>
    <i r="2">
      <x v="13"/>
    </i>
    <i r="2">
      <x v="22"/>
    </i>
    <i r="2">
      <x v="24"/>
    </i>
    <i r="2">
      <x v="28"/>
    </i>
    <i r="2">
      <x v="29"/>
    </i>
    <i r="2">
      <x v="32"/>
    </i>
    <i r="2">
      <x v="35"/>
    </i>
    <i r="2">
      <x v="40"/>
    </i>
    <i r="2">
      <x v="44"/>
    </i>
    <i r="2">
      <x v="52"/>
    </i>
    <i r="2">
      <x v="53"/>
    </i>
    <i r="2">
      <x v="61"/>
    </i>
    <i r="2">
      <x v="63"/>
    </i>
    <i r="2">
      <x v="65"/>
    </i>
    <i r="2">
      <x v="67"/>
    </i>
    <i t="grand">
      <x/>
    </i>
  </rowItems>
  <colItems count="1">
    <i/>
  </colItems>
  <dataFields count="1">
    <dataField name="Count of Body Location" fld="7" subtotal="count" baseField="0" baseItem="0"/>
  </dataFields>
  <chartFormats count="1">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E9413D-BB8E-4CAD-9976-5D9A72AA82B7}" name="PivotTable1"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location ref="A4:B7" firstHeaderRow="1" firstDataRow="1" firstDataCol="1" rowPageCount="2" colPageCount="1"/>
  <pivotFields count="14">
    <pivotField showAll="0"/>
    <pivotField dataField="1" numFmtId="14" showAll="0"/>
    <pivotField showAll="0">
      <items count="59">
        <item x="5"/>
        <item x="31"/>
        <item x="13"/>
        <item x="24"/>
        <item x="7"/>
        <item x="23"/>
        <item x="28"/>
        <item x="2"/>
        <item x="35"/>
        <item x="11"/>
        <item x="16"/>
        <item x="6"/>
        <item m="1" x="57"/>
        <item x="33"/>
        <item x="34"/>
        <item x="27"/>
        <item x="1"/>
        <item x="18"/>
        <item x="32"/>
        <item x="9"/>
        <item x="3"/>
        <item x="21"/>
        <item m="1" x="49"/>
        <item m="1" x="55"/>
        <item x="15"/>
        <item x="37"/>
        <item x="12"/>
        <item m="1" x="43"/>
        <item x="4"/>
        <item m="1" x="44"/>
        <item x="22"/>
        <item m="1" x="47"/>
        <item m="1" x="54"/>
        <item x="14"/>
        <item m="1" x="50"/>
        <item x="20"/>
        <item x="17"/>
        <item x="26"/>
        <item x="38"/>
        <item x="30"/>
        <item m="1" x="51"/>
        <item m="1" x="56"/>
        <item m="1" x="48"/>
        <item x="10"/>
        <item x="0"/>
        <item x="29"/>
        <item x="19"/>
        <item m="1" x="42"/>
        <item m="1" x="45"/>
        <item m="1" x="53"/>
        <item m="1" x="46"/>
        <item m="1" x="52"/>
        <item x="8"/>
        <item x="40"/>
        <item x="36"/>
        <item x="25"/>
        <item x="39"/>
        <item m="1" x="41"/>
        <item t="default"/>
      </items>
    </pivotField>
    <pivotField showAll="0">
      <items count="16">
        <item x="5"/>
        <item x="3"/>
        <item m="1" x="14"/>
        <item x="2"/>
        <item x="7"/>
        <item x="0"/>
        <item x="4"/>
        <item x="1"/>
        <item x="10"/>
        <item x="8"/>
        <item x="12"/>
        <item x="6"/>
        <item x="9"/>
        <item x="11"/>
        <item m="1" x="13"/>
        <item t="default"/>
      </items>
    </pivotField>
    <pivotField axis="axisRow" showAll="0">
      <items count="60">
        <item x="38"/>
        <item x="29"/>
        <item x="27"/>
        <item x="33"/>
        <item x="31"/>
        <item x="24"/>
        <item x="35"/>
        <item x="30"/>
        <item x="6"/>
        <item x="1"/>
        <item x="22"/>
        <item x="36"/>
        <item x="37"/>
        <item x="34"/>
        <item x="9"/>
        <item x="26"/>
        <item h="1" x="23"/>
        <item h="1" x="7"/>
        <item h="1" x="10"/>
        <item h="1" m="1" x="52"/>
        <item h="1" m="1" x="43"/>
        <item h="1" m="1" x="49"/>
        <item h="1" m="1" x="55"/>
        <item h="1" m="1" x="41"/>
        <item h="1" m="1" x="47"/>
        <item h="1" m="1" x="53"/>
        <item h="1" m="1" x="48"/>
        <item h="1" m="1" x="56"/>
        <item h="1" m="1" x="44"/>
        <item h="1" m="1" x="57"/>
        <item h="1" m="1" x="54"/>
        <item h="1" m="1" x="58"/>
        <item h="1" m="1" x="39"/>
        <item h="1" m="1" x="50"/>
        <item h="1" m="1" x="45"/>
        <item h="1" m="1" x="42"/>
        <item h="1" m="1" x="40"/>
        <item h="1" m="1" x="51"/>
        <item h="1" m="1" x="46"/>
        <item h="1" x="2"/>
        <item h="1" x="3"/>
        <item h="1" x="0"/>
        <item h="1" x="4"/>
        <item h="1" x="5"/>
        <item h="1" x="8"/>
        <item h="1" x="11"/>
        <item h="1" x="12"/>
        <item h="1" x="13"/>
        <item h="1" x="14"/>
        <item h="1" x="15"/>
        <item h="1" x="16"/>
        <item h="1" x="17"/>
        <item h="1" x="18"/>
        <item h="1" x="19"/>
        <item h="1" x="20"/>
        <item h="1" x="21"/>
        <item h="1" x="25"/>
        <item h="1" x="28"/>
        <item h="1" x="32"/>
        <item t="default"/>
      </items>
    </pivotField>
    <pivotField showAll="0">
      <items count="266">
        <item m="1" x="264"/>
        <item x="135"/>
        <item x="190"/>
        <item x="121"/>
        <item x="155"/>
        <item x="167"/>
        <item x="230"/>
        <item x="66"/>
        <item x="188"/>
        <item x="72"/>
        <item x="7"/>
        <item x="4"/>
        <item x="228"/>
        <item x="23"/>
        <item x="208"/>
        <item x="98"/>
        <item x="245"/>
        <item x="182"/>
        <item x="260"/>
        <item x="92"/>
        <item x="219"/>
        <item x="45"/>
        <item x="187"/>
        <item x="170"/>
        <item x="10"/>
        <item x="146"/>
        <item x="205"/>
        <item x="143"/>
        <item x="145"/>
        <item x="235"/>
        <item x="36"/>
        <item x="91"/>
        <item x="217"/>
        <item x="255"/>
        <item x="173"/>
        <item x="232"/>
        <item x="257"/>
        <item x="63"/>
        <item x="88"/>
        <item x="79"/>
        <item x="161"/>
        <item x="241"/>
        <item x="38"/>
        <item x="6"/>
        <item x="140"/>
        <item x="27"/>
        <item x="28"/>
        <item x="183"/>
        <item x="203"/>
        <item x="17"/>
        <item x="166"/>
        <item x="202"/>
        <item x="48"/>
        <item x="175"/>
        <item x="169"/>
        <item x="76"/>
        <item x="3"/>
        <item x="199"/>
        <item x="148"/>
        <item x="57"/>
        <item x="207"/>
        <item x="54"/>
        <item x="262"/>
        <item x="41"/>
        <item x="78"/>
        <item x="243"/>
        <item x="55"/>
        <item x="34"/>
        <item x="44"/>
        <item x="33"/>
        <item x="15"/>
        <item x="157"/>
        <item x="158"/>
        <item x="101"/>
        <item x="61"/>
        <item x="234"/>
        <item x="246"/>
        <item x="206"/>
        <item x="195"/>
        <item x="65"/>
        <item x="1"/>
        <item x="25"/>
        <item x="168"/>
        <item x="222"/>
        <item x="162"/>
        <item x="71"/>
        <item x="237"/>
        <item x="225"/>
        <item x="254"/>
        <item x="39"/>
        <item x="117"/>
        <item x="73"/>
        <item x="165"/>
        <item x="95"/>
        <item x="239"/>
        <item x="253"/>
        <item x="86"/>
        <item x="180"/>
        <item x="244"/>
        <item x="20"/>
        <item x="247"/>
        <item x="99"/>
        <item x="35"/>
        <item x="74"/>
        <item x="110"/>
        <item x="122"/>
        <item x="172"/>
        <item x="132"/>
        <item x="156"/>
        <item x="96"/>
        <item x="226"/>
        <item x="5"/>
        <item x="164"/>
        <item x="149"/>
        <item x="194"/>
        <item x="174"/>
        <item x="144"/>
        <item x="22"/>
        <item x="248"/>
        <item x="81"/>
        <item x="11"/>
        <item x="83"/>
        <item x="90"/>
        <item x="224"/>
        <item x="106"/>
        <item x="263"/>
        <item x="77"/>
        <item x="159"/>
        <item x="126"/>
        <item x="176"/>
        <item x="105"/>
        <item x="109"/>
        <item x="130"/>
        <item x="119"/>
        <item x="229"/>
        <item x="154"/>
        <item x="84"/>
        <item x="100"/>
        <item x="256"/>
        <item x="136"/>
        <item x="193"/>
        <item x="59"/>
        <item x="125"/>
        <item x="216"/>
        <item x="46"/>
        <item x="60"/>
        <item x="118"/>
        <item x="42"/>
        <item x="50"/>
        <item x="62"/>
        <item x="52"/>
        <item x="14"/>
        <item x="18"/>
        <item x="197"/>
        <item x="67"/>
        <item x="215"/>
        <item x="94"/>
        <item x="242"/>
        <item x="114"/>
        <item x="19"/>
        <item x="137"/>
        <item x="138"/>
        <item x="179"/>
        <item x="151"/>
        <item x="214"/>
        <item x="153"/>
        <item x="97"/>
        <item x="139"/>
        <item x="85"/>
        <item x="250"/>
        <item x="249"/>
        <item x="233"/>
        <item x="210"/>
        <item x="40"/>
        <item x="231"/>
        <item x="141"/>
        <item x="134"/>
        <item x="107"/>
        <item x="129"/>
        <item x="227"/>
        <item x="13"/>
        <item x="184"/>
        <item x="212"/>
        <item x="82"/>
        <item x="240"/>
        <item x="221"/>
        <item x="238"/>
        <item x="80"/>
        <item x="49"/>
        <item x="68"/>
        <item x="191"/>
        <item x="124"/>
        <item x="37"/>
        <item x="261"/>
        <item x="220"/>
        <item x="0"/>
        <item x="178"/>
        <item x="51"/>
        <item x="192"/>
        <item x="258"/>
        <item x="103"/>
        <item x="127"/>
        <item x="93"/>
        <item x="251"/>
        <item x="16"/>
        <item x="58"/>
        <item x="196"/>
        <item x="112"/>
        <item x="204"/>
        <item x="24"/>
        <item x="43"/>
        <item x="198"/>
        <item x="8"/>
        <item x="171"/>
        <item x="115"/>
        <item x="26"/>
        <item x="120"/>
        <item x="102"/>
        <item x="31"/>
        <item x="47"/>
        <item x="111"/>
        <item x="185"/>
        <item x="133"/>
        <item x="213"/>
        <item x="89"/>
        <item x="32"/>
        <item x="29"/>
        <item x="123"/>
        <item x="56"/>
        <item x="186"/>
        <item x="163"/>
        <item x="147"/>
        <item x="116"/>
        <item x="209"/>
        <item x="223"/>
        <item x="30"/>
        <item x="152"/>
        <item x="142"/>
        <item x="104"/>
        <item x="75"/>
        <item x="87"/>
        <item x="211"/>
        <item x="53"/>
        <item x="200"/>
        <item x="218"/>
        <item x="64"/>
        <item x="189"/>
        <item x="12"/>
        <item x="177"/>
        <item x="128"/>
        <item x="201"/>
        <item x="9"/>
        <item x="252"/>
        <item x="113"/>
        <item x="150"/>
        <item x="108"/>
        <item x="2"/>
        <item x="21"/>
        <item x="131"/>
        <item x="160"/>
        <item x="69"/>
        <item x="236"/>
        <item x="259"/>
        <item x="70"/>
        <item x="181"/>
        <item t="default"/>
      </items>
    </pivotField>
    <pivotField showAll="0"/>
    <pivotField showAll="0"/>
    <pivotField showAll="0"/>
    <pivotField showAll="0"/>
    <pivotField showAll="0"/>
    <pivotField showAll="0"/>
    <pivotField axis="axisPage" multipleItemSelectionAllowed="1" showAll="0">
      <items count="5">
        <item h="1" x="1"/>
        <item x="0"/>
        <item h="1" m="1" x="2"/>
        <item h="1" m="1" x="3"/>
        <item t="default"/>
      </items>
    </pivotField>
    <pivotField axis="axisPage" multipleItemSelectionAllowed="1" showAll="0">
      <items count="14">
        <item h="1" x="6"/>
        <item h="1" x="5"/>
        <item h="1" x="4"/>
        <item h="1" x="3"/>
        <item x="2"/>
        <item h="1" x="1"/>
        <item h="1" x="0"/>
        <item h="1" x="11"/>
        <item h="1" x="10"/>
        <item h="1" x="9"/>
        <item h="1" x="8"/>
        <item h="1" x="7"/>
        <item h="1" m="1" x="12"/>
        <item t="default"/>
      </items>
    </pivotField>
  </pivotFields>
  <rowFields count="1">
    <field x="4"/>
  </rowFields>
  <rowItems count="3">
    <i>
      <x v="5"/>
    </i>
    <i>
      <x v="14"/>
    </i>
    <i t="grand">
      <x/>
    </i>
  </rowItems>
  <colItems count="1">
    <i/>
  </colItems>
  <pageFields count="2">
    <pageField fld="13" hier="-1"/>
    <pageField fld="12" hier="-1"/>
  </pageFields>
  <dataFields count="1">
    <dataField name="Count of DOI" fld="1" subtotal="count" baseField="0" baseItem="0"/>
  </dataFields>
  <chartFormats count="19">
    <chartFormat chart="0" format="919" series="1">
      <pivotArea type="data" outline="0" fieldPosition="0">
        <references count="2">
          <reference field="4294967294" count="1" selected="0">
            <x v="0"/>
          </reference>
          <reference field="4" count="1" selected="0">
            <x v="0"/>
          </reference>
        </references>
      </pivotArea>
    </chartFormat>
    <chartFormat chart="0" format="920" series="1">
      <pivotArea type="data" outline="0" fieldPosition="0">
        <references count="2">
          <reference field="4294967294" count="1" selected="0">
            <x v="0"/>
          </reference>
          <reference field="4" count="1" selected="0">
            <x v="1"/>
          </reference>
        </references>
      </pivotArea>
    </chartFormat>
    <chartFormat chart="0" format="921" series="1">
      <pivotArea type="data" outline="0" fieldPosition="0">
        <references count="2">
          <reference field="4294967294" count="1" selected="0">
            <x v="0"/>
          </reference>
          <reference field="4" count="1" selected="0">
            <x v="2"/>
          </reference>
        </references>
      </pivotArea>
    </chartFormat>
    <chartFormat chart="0" format="922" series="1">
      <pivotArea type="data" outline="0" fieldPosition="0">
        <references count="2">
          <reference field="4294967294" count="1" selected="0">
            <x v="0"/>
          </reference>
          <reference field="4" count="1" selected="0">
            <x v="3"/>
          </reference>
        </references>
      </pivotArea>
    </chartFormat>
    <chartFormat chart="0" format="923" series="1">
      <pivotArea type="data" outline="0" fieldPosition="0">
        <references count="2">
          <reference field="4294967294" count="1" selected="0">
            <x v="0"/>
          </reference>
          <reference field="4" count="1" selected="0">
            <x v="4"/>
          </reference>
        </references>
      </pivotArea>
    </chartFormat>
    <chartFormat chart="0" format="924" series="1">
      <pivotArea type="data" outline="0" fieldPosition="0">
        <references count="2">
          <reference field="4294967294" count="1" selected="0">
            <x v="0"/>
          </reference>
          <reference field="4" count="1" selected="0">
            <x v="5"/>
          </reference>
        </references>
      </pivotArea>
    </chartFormat>
    <chartFormat chart="0" format="925" series="1">
      <pivotArea type="data" outline="0" fieldPosition="0">
        <references count="2">
          <reference field="4294967294" count="1" selected="0">
            <x v="0"/>
          </reference>
          <reference field="4" count="1" selected="0">
            <x v="6"/>
          </reference>
        </references>
      </pivotArea>
    </chartFormat>
    <chartFormat chart="0" format="926" series="1">
      <pivotArea type="data" outline="0" fieldPosition="0">
        <references count="2">
          <reference field="4294967294" count="1" selected="0">
            <x v="0"/>
          </reference>
          <reference field="4" count="1" selected="0">
            <x v="7"/>
          </reference>
        </references>
      </pivotArea>
    </chartFormat>
    <chartFormat chart="0" format="927" series="1">
      <pivotArea type="data" outline="0" fieldPosition="0">
        <references count="2">
          <reference field="4294967294" count="1" selected="0">
            <x v="0"/>
          </reference>
          <reference field="4" count="1" selected="0">
            <x v="8"/>
          </reference>
        </references>
      </pivotArea>
    </chartFormat>
    <chartFormat chart="0" format="928" series="1">
      <pivotArea type="data" outline="0" fieldPosition="0">
        <references count="2">
          <reference field="4294967294" count="1" selected="0">
            <x v="0"/>
          </reference>
          <reference field="4" count="1" selected="0">
            <x v="9"/>
          </reference>
        </references>
      </pivotArea>
    </chartFormat>
    <chartFormat chart="0" format="929" series="1">
      <pivotArea type="data" outline="0" fieldPosition="0">
        <references count="2">
          <reference field="4294967294" count="1" selected="0">
            <x v="0"/>
          </reference>
          <reference field="4" count="1" selected="0">
            <x v="10"/>
          </reference>
        </references>
      </pivotArea>
    </chartFormat>
    <chartFormat chart="0" format="930" series="1">
      <pivotArea type="data" outline="0" fieldPosition="0">
        <references count="2">
          <reference field="4294967294" count="1" selected="0">
            <x v="0"/>
          </reference>
          <reference field="4" count="1" selected="0">
            <x v="11"/>
          </reference>
        </references>
      </pivotArea>
    </chartFormat>
    <chartFormat chart="0" format="931" series="1">
      <pivotArea type="data" outline="0" fieldPosition="0">
        <references count="2">
          <reference field="4294967294" count="1" selected="0">
            <x v="0"/>
          </reference>
          <reference field="4" count="1" selected="0">
            <x v="12"/>
          </reference>
        </references>
      </pivotArea>
    </chartFormat>
    <chartFormat chart="0" format="932" series="1">
      <pivotArea type="data" outline="0" fieldPosition="0">
        <references count="2">
          <reference field="4294967294" count="1" selected="0">
            <x v="0"/>
          </reference>
          <reference field="4" count="1" selected="0">
            <x v="13"/>
          </reference>
        </references>
      </pivotArea>
    </chartFormat>
    <chartFormat chart="0" format="933" series="1">
      <pivotArea type="data" outline="0" fieldPosition="0">
        <references count="2">
          <reference field="4294967294" count="1" selected="0">
            <x v="0"/>
          </reference>
          <reference field="4" count="1" selected="0">
            <x v="14"/>
          </reference>
        </references>
      </pivotArea>
    </chartFormat>
    <chartFormat chart="0" format="934" series="1">
      <pivotArea type="data" outline="0" fieldPosition="0">
        <references count="2">
          <reference field="4294967294" count="1" selected="0">
            <x v="0"/>
          </reference>
          <reference field="4" count="1" selected="0">
            <x v="15"/>
          </reference>
        </references>
      </pivotArea>
    </chartFormat>
    <chartFormat chart="0" format="935" series="1">
      <pivotArea type="data" outline="0" fieldPosition="0">
        <references count="1">
          <reference field="4294967294" count="1" selected="0">
            <x v="0"/>
          </reference>
        </references>
      </pivotArea>
    </chartFormat>
    <chartFormat chart="46" format="755" series="1">
      <pivotArea type="data" outline="0" fieldPosition="0">
        <references count="1">
          <reference field="4294967294" count="1" selected="0">
            <x v="0"/>
          </reference>
        </references>
      </pivotArea>
    </chartFormat>
    <chartFormat chart="47" format="75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4F7EF2-9F5D-456B-8C81-4978B98B068B}" name="PivotTable1"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C16" firstHeaderRow="0" firstDataRow="1" firstDataCol="1"/>
  <pivotFields count="14">
    <pivotField showAll="0"/>
    <pivotField axis="axisRow" numFmtId="14" showAll="0">
      <items count="270">
        <item h="1" x="268"/>
        <item h="1" x="267"/>
        <item h="1" x="266"/>
        <item h="1" x="265"/>
        <item h="1" x="264"/>
        <item h="1" x="263"/>
        <item h="1" x="262"/>
        <item h="1" x="261"/>
        <item h="1" x="260"/>
        <item h="1" x="259"/>
        <item h="1" x="258"/>
        <item h="1" x="257"/>
        <item h="1" x="256"/>
        <item h="1" x="255"/>
        <item h="1" x="254"/>
        <item h="1" x="253"/>
        <item h="1" x="252"/>
        <item h="1" x="251"/>
        <item h="1" x="250"/>
        <item h="1" x="249"/>
        <item h="1" x="248"/>
        <item h="1" x="247"/>
        <item h="1" x="246"/>
        <item h="1" x="245"/>
        <item h="1" x="244"/>
        <item h="1" x="243"/>
        <item h="1" x="242"/>
        <item h="1" x="241"/>
        <item h="1" x="240"/>
        <item h="1" x="239"/>
        <item h="1" x="238"/>
        <item h="1" x="237"/>
        <item h="1" x="236"/>
        <item h="1" x="235"/>
        <item h="1" x="234"/>
        <item h="1" x="233"/>
        <item h="1" x="232"/>
        <item h="1" x="231"/>
        <item h="1" x="230"/>
        <item h="1" x="229"/>
        <item h="1" x="228"/>
        <item h="1" x="227"/>
        <item h="1" x="226"/>
        <item h="1" x="225"/>
        <item h="1" x="224"/>
        <item h="1" x="223"/>
        <item h="1" x="222"/>
        <item h="1" x="221"/>
        <item h="1" x="220"/>
        <item h="1" x="219"/>
        <item h="1" x="218"/>
        <item h="1" x="217"/>
        <item h="1" x="216"/>
        <item h="1" x="215"/>
        <item h="1" x="214"/>
        <item h="1" x="213"/>
        <item h="1" x="212"/>
        <item h="1" x="211"/>
        <item h="1" x="210"/>
        <item h="1" x="209"/>
        <item h="1" x="208"/>
        <item h="1" x="207"/>
        <item h="1" x="206"/>
        <item h="1" x="205"/>
        <item h="1" x="204"/>
        <item h="1" x="203"/>
        <item h="1" x="202"/>
        <item h="1" x="201"/>
        <item h="1" x="200"/>
        <item h="1" x="199"/>
        <item h="1" x="198"/>
        <item h="1" x="197"/>
        <item h="1" x="196"/>
        <item h="1" x="195"/>
        <item h="1" x="194"/>
        <item h="1" x="193"/>
        <item h="1" x="192"/>
        <item h="1" x="191"/>
        <item h="1" x="190"/>
        <item h="1" x="189"/>
        <item h="1" x="188"/>
        <item h="1" x="187"/>
        <item h="1" x="186"/>
        <item h="1" x="185"/>
        <item h="1" x="184"/>
        <item h="1" x="183"/>
        <item h="1" x="182"/>
        <item h="1" x="181"/>
        <item h="1" x="180"/>
        <item h="1" x="179"/>
        <item h="1" x="178"/>
        <item h="1" x="177"/>
        <item h="1" x="176"/>
        <item h="1" x="175"/>
        <item h="1" x="174"/>
        <item h="1" x="173"/>
        <item h="1" x="172"/>
        <item h="1" x="171"/>
        <item h="1" x="170"/>
        <item h="1" x="169"/>
        <item h="1" x="168"/>
        <item h="1" x="167"/>
        <item h="1" x="166"/>
        <item h="1" x="165"/>
        <item h="1" x="164"/>
        <item h="1" x="163"/>
        <item h="1" x="162"/>
        <item h="1" x="161"/>
        <item h="1" x="160"/>
        <item h="1" x="159"/>
        <item h="1" x="158"/>
        <item h="1" x="157"/>
        <item h="1" x="156"/>
        <item h="1" x="155"/>
        <item h="1" x="154"/>
        <item h="1" x="153"/>
        <item h="1" x="152"/>
        <item h="1" x="151"/>
        <item h="1" x="150"/>
        <item h="1" x="149"/>
        <item h="1" x="148"/>
        <item h="1" x="147"/>
        <item h="1" x="146"/>
        <item h="1" x="145"/>
        <item h="1" x="144"/>
        <item h="1" x="143"/>
        <item h="1" x="142"/>
        <item h="1" x="141"/>
        <item h="1" x="140"/>
        <item h="1" x="139"/>
        <item h="1" x="138"/>
        <item h="1" x="137"/>
        <item h="1" x="136"/>
        <item h="1" x="135"/>
        <item h="1" x="134"/>
        <item h="1" x="133"/>
        <item h="1" x="132"/>
        <item h="1" x="131"/>
        <item h="1" x="130"/>
        <item h="1" x="129"/>
        <item h="1" x="128"/>
        <item h="1" x="127"/>
        <item h="1" x="126"/>
        <item h="1" x="125"/>
        <item h="1" x="124"/>
        <item h="1" x="123"/>
        <item h="1" x="122"/>
        <item h="1" x="121"/>
        <item h="1" x="120"/>
        <item h="1" x="119"/>
        <item h="1" x="118"/>
        <item h="1" x="117"/>
        <item h="1" x="116"/>
        <item h="1" x="115"/>
        <item h="1" x="114"/>
        <item h="1" x="113"/>
        <item h="1" x="112"/>
        <item h="1" x="111"/>
        <item h="1" x="110"/>
        <item h="1" x="109"/>
        <item h="1" x="108"/>
        <item h="1" x="107"/>
        <item h="1" x="106"/>
        <item h="1" x="105"/>
        <item h="1" x="104"/>
        <item h="1" x="103"/>
        <item h="1" x="102"/>
        <item h="1" x="101"/>
        <item h="1" x="100"/>
        <item h="1" x="99"/>
        <item h="1" x="98"/>
        <item h="1" x="97"/>
        <item h="1" x="96"/>
        <item h="1" x="95"/>
        <item h="1" x="93"/>
        <item h="1" x="92"/>
        <item h="1" x="91"/>
        <item h="1" x="90"/>
        <item x="89"/>
        <item x="88"/>
        <item x="87"/>
        <item x="86"/>
        <item x="85"/>
        <item h="1" x="84"/>
        <item h="1" x="83"/>
        <item h="1" x="82"/>
        <item h="1" x="81"/>
        <item h="1" x="80"/>
        <item h="1" x="79"/>
        <item h="1" x="78"/>
        <item h="1" x="77"/>
        <item h="1" x="76"/>
        <item h="1" x="75"/>
        <item h="1" x="74"/>
        <item h="1" x="72"/>
        <item h="1" x="73"/>
        <item h="1" x="71"/>
        <item h="1" x="70"/>
        <item h="1" x="69"/>
        <item h="1" x="68"/>
        <item h="1" x="67"/>
        <item h="1" x="66"/>
        <item h="1" x="65"/>
        <item h="1" x="64"/>
        <item h="1" x="63"/>
        <item h="1" x="62"/>
        <item h="1" x="61"/>
        <item h="1" x="60"/>
        <item h="1" x="59"/>
        <item h="1" x="58"/>
        <item h="1" x="57"/>
        <item h="1" x="56"/>
        <item h="1" x="55"/>
        <item h="1" x="54"/>
        <item h="1" x="52"/>
        <item h="1" x="53"/>
        <item h="1" x="51"/>
        <item h="1" x="50"/>
        <item h="1" x="49"/>
        <item h="1" x="48"/>
        <item h="1" x="47"/>
        <item h="1" x="46"/>
        <item h="1" x="45"/>
        <item h="1" x="44"/>
        <item h="1" x="43"/>
        <item h="1" x="42"/>
        <item h="1" x="41"/>
        <item h="1" x="40"/>
        <item h="1" x="39"/>
        <item h="1" x="38"/>
        <item h="1" x="37"/>
        <item h="1" x="36"/>
        <item h="1" x="94"/>
        <item h="1" x="35"/>
        <item h="1" x="34"/>
        <item h="1" x="33"/>
        <item h="1" x="32"/>
        <item h="1" x="31"/>
        <item h="1" x="30"/>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h="1" x="4"/>
        <item h="1" x="3"/>
        <item h="1" x="2"/>
        <item h="1" x="0"/>
        <item h="1" x="1"/>
        <item t="default"/>
      </items>
    </pivotField>
    <pivotField showAll="0"/>
    <pivotField axis="axisRow" showAll="0">
      <items count="16">
        <item x="3"/>
        <item x="2"/>
        <item x="7"/>
        <item x="0"/>
        <item x="4"/>
        <item x="1"/>
        <item x="10"/>
        <item x="8"/>
        <item x="12"/>
        <item x="9"/>
        <item x="11"/>
        <item h="1" m="1" x="13"/>
        <item h="1" m="1" x="14"/>
        <item h="1" x="5"/>
        <item h="1" x="6"/>
        <item t="default"/>
      </items>
    </pivotField>
    <pivotField showAll="0"/>
    <pivotField showAll="0"/>
    <pivotField dataField="1" showAll="0"/>
    <pivotField dataField="1" showAll="0"/>
    <pivotField showAll="0"/>
    <pivotField showAll="0"/>
    <pivotField showAll="0"/>
    <pivotField showAll="0"/>
    <pivotField showAll="0"/>
    <pivotField showAll="0"/>
  </pivotFields>
  <rowFields count="2">
    <field x="3"/>
    <field x="1"/>
  </rowFields>
  <rowItems count="11">
    <i>
      <x v="1"/>
    </i>
    <i r="1">
      <x v="178"/>
    </i>
    <i r="1">
      <x v="180"/>
    </i>
    <i r="1">
      <x v="182"/>
    </i>
    <i>
      <x v="3"/>
    </i>
    <i r="1">
      <x v="179"/>
    </i>
    <i r="1">
      <x v="180"/>
    </i>
    <i r="1">
      <x v="181"/>
    </i>
    <i>
      <x v="9"/>
    </i>
    <i r="1">
      <x v="178"/>
    </i>
    <i t="grand">
      <x/>
    </i>
  </rowItems>
  <colFields count="1">
    <field x="-2"/>
  </colFields>
  <colItems count="2">
    <i>
      <x/>
    </i>
    <i i="1">
      <x v="1"/>
    </i>
  </colItems>
  <dataFields count="2">
    <dataField name="Count of Body Location" fld="7" subtotal="count" baseField="0" baseItem="0"/>
    <dataField name="Count of Injury/Illness Typ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320C8E8-754B-400D-9E22-A6ED7C45EE05}" name="PivotTable2" cacheId="13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75">
  <location ref="A3:D9" firstHeaderRow="1" firstDataRow="2" firstDataCol="1"/>
  <pivotFields count="14">
    <pivotField showAll="0"/>
    <pivotField axis="axisRow" dataField="1" numFmtId="14" showAll="0">
      <items count="270">
        <item h="1" x="268"/>
        <item h="1" x="267"/>
        <item h="1" x="266"/>
        <item h="1" x="265"/>
        <item h="1" x="264"/>
        <item h="1" x="263"/>
        <item h="1" x="262"/>
        <item h="1" x="261"/>
        <item h="1" x="260"/>
        <item h="1" x="259"/>
        <item h="1" x="258"/>
        <item h="1" x="257"/>
        <item h="1" x="256"/>
        <item h="1" x="255"/>
        <item h="1" x="254"/>
        <item h="1" x="253"/>
        <item h="1" x="252"/>
        <item h="1" x="251"/>
        <item h="1" x="250"/>
        <item h="1" x="249"/>
        <item h="1" x="248"/>
        <item h="1" x="247"/>
        <item h="1" x="246"/>
        <item h="1" x="245"/>
        <item h="1" x="244"/>
        <item h="1" x="243"/>
        <item h="1" x="242"/>
        <item h="1" x="241"/>
        <item h="1" x="240"/>
        <item h="1" x="239"/>
        <item h="1" x="238"/>
        <item h="1" x="237"/>
        <item h="1" x="236"/>
        <item h="1" x="235"/>
        <item h="1" x="234"/>
        <item h="1" x="233"/>
        <item h="1" x="232"/>
        <item h="1" x="231"/>
        <item h="1" x="230"/>
        <item h="1" x="229"/>
        <item h="1" x="228"/>
        <item h="1" x="227"/>
        <item h="1" x="226"/>
        <item h="1" x="225"/>
        <item h="1" x="224"/>
        <item h="1" x="223"/>
        <item h="1" x="222"/>
        <item h="1" x="221"/>
        <item h="1" x="220"/>
        <item h="1" x="219"/>
        <item h="1" x="218"/>
        <item h="1" x="217"/>
        <item h="1" x="216"/>
        <item h="1" x="215"/>
        <item h="1" x="214"/>
        <item h="1" x="213"/>
        <item h="1" x="212"/>
        <item h="1" x="211"/>
        <item h="1" x="210"/>
        <item h="1" x="209"/>
        <item h="1" x="208"/>
        <item h="1" x="207"/>
        <item h="1" x="206"/>
        <item h="1" x="205"/>
        <item h="1" x="204"/>
        <item h="1" x="203"/>
        <item h="1" x="202"/>
        <item h="1" x="201"/>
        <item h="1" x="200"/>
        <item h="1" x="199"/>
        <item h="1" x="198"/>
        <item h="1" x="197"/>
        <item h="1" x="196"/>
        <item h="1" x="195"/>
        <item h="1" x="194"/>
        <item h="1" x="193"/>
        <item h="1" x="192"/>
        <item h="1" x="191"/>
        <item h="1" x="190"/>
        <item h="1" x="189"/>
        <item h="1" x="188"/>
        <item h="1" x="187"/>
        <item h="1" x="186"/>
        <item h="1" x="185"/>
        <item h="1" x="184"/>
        <item h="1" x="183"/>
        <item h="1" x="182"/>
        <item h="1" x="181"/>
        <item h="1" x="180"/>
        <item h="1" x="179"/>
        <item h="1" x="178"/>
        <item h="1" x="177"/>
        <item h="1" x="176"/>
        <item h="1" x="175"/>
        <item h="1" x="174"/>
        <item h="1" x="173"/>
        <item h="1" x="172"/>
        <item h="1" x="171"/>
        <item h="1" x="170"/>
        <item h="1" x="169"/>
        <item h="1" x="168"/>
        <item h="1" x="167"/>
        <item h="1" x="166"/>
        <item h="1" x="165"/>
        <item h="1" x="164"/>
        <item h="1" x="163"/>
        <item h="1" x="162"/>
        <item h="1" x="161"/>
        <item h="1" x="160"/>
        <item h="1" x="159"/>
        <item h="1" x="158"/>
        <item h="1" x="157"/>
        <item h="1" x="156"/>
        <item h="1" x="155"/>
        <item h="1" x="154"/>
        <item h="1" x="153"/>
        <item h="1" x="152"/>
        <item h="1" x="151"/>
        <item h="1" x="150"/>
        <item h="1" x="149"/>
        <item h="1" x="148"/>
        <item h="1" x="147"/>
        <item h="1" x="146"/>
        <item h="1" x="145"/>
        <item h="1" x="144"/>
        <item h="1" x="143"/>
        <item h="1" x="142"/>
        <item h="1" x="141"/>
        <item h="1" x="140"/>
        <item h="1" x="139"/>
        <item h="1" x="138"/>
        <item h="1" x="137"/>
        <item h="1" x="136"/>
        <item h="1" x="135"/>
        <item h="1" x="134"/>
        <item h="1" x="133"/>
        <item h="1" x="132"/>
        <item h="1" x="131"/>
        <item h="1" x="130"/>
        <item h="1" x="129"/>
        <item h="1" x="128"/>
        <item h="1" x="127"/>
        <item h="1" x="126"/>
        <item h="1" x="125"/>
        <item h="1" x="124"/>
        <item h="1" x="123"/>
        <item h="1" x="122"/>
        <item h="1" x="121"/>
        <item h="1" x="120"/>
        <item h="1" x="119"/>
        <item h="1" x="118"/>
        <item h="1" x="117"/>
        <item h="1" x="116"/>
        <item h="1" x="115"/>
        <item h="1" x="114"/>
        <item h="1" x="113"/>
        <item h="1" x="112"/>
        <item h="1" x="111"/>
        <item h="1" x="110"/>
        <item h="1" x="109"/>
        <item h="1" x="108"/>
        <item h="1" x="107"/>
        <item h="1" x="106"/>
        <item h="1" x="105"/>
        <item h="1" x="104"/>
        <item h="1" x="103"/>
        <item h="1" x="102"/>
        <item h="1" x="101"/>
        <item h="1" x="100"/>
        <item h="1" x="99"/>
        <item h="1" x="98"/>
        <item h="1" x="97"/>
        <item h="1" x="96"/>
        <item h="1" x="95"/>
        <item h="1" x="93"/>
        <item h="1" x="92"/>
        <item h="1" x="91"/>
        <item h="1" x="90"/>
        <item h="1" x="89"/>
        <item h="1" x="88"/>
        <item h="1" x="87"/>
        <item h="1" x="86"/>
        <item h="1" x="85"/>
        <item h="1" x="84"/>
        <item h="1" x="83"/>
        <item h="1" x="82"/>
        <item h="1" x="81"/>
        <item h="1" x="80"/>
        <item h="1" x="79"/>
        <item h="1" x="78"/>
        <item h="1" x="77"/>
        <item h="1" x="76"/>
        <item h="1" x="75"/>
        <item h="1" x="74"/>
        <item h="1" x="72"/>
        <item h="1" x="73"/>
        <item h="1" x="71"/>
        <item h="1" x="70"/>
        <item h="1" x="69"/>
        <item h="1" x="68"/>
        <item h="1" x="67"/>
        <item h="1" x="66"/>
        <item h="1" x="65"/>
        <item h="1" x="64"/>
        <item h="1" x="63"/>
        <item h="1" x="62"/>
        <item h="1" x="61"/>
        <item h="1" x="60"/>
        <item h="1" x="59"/>
        <item h="1" x="58"/>
        <item h="1" x="57"/>
        <item h="1" x="56"/>
        <item h="1" x="55"/>
        <item h="1" x="54"/>
        <item h="1" x="52"/>
        <item h="1" x="53"/>
        <item h="1" x="51"/>
        <item h="1" x="50"/>
        <item h="1" x="49"/>
        <item h="1" x="48"/>
        <item h="1" x="47"/>
        <item h="1" x="46"/>
        <item h="1" x="45"/>
        <item h="1" x="44"/>
        <item h="1" x="43"/>
        <item h="1" x="42"/>
        <item h="1" x="41"/>
        <item h="1" x="40"/>
        <item h="1" x="39"/>
        <item h="1" x="38"/>
        <item h="1" x="37"/>
        <item h="1" x="36"/>
        <item h="1" x="94"/>
        <item h="1" x="35"/>
        <item h="1" x="34"/>
        <item h="1" x="33"/>
        <item h="1" x="32"/>
        <item h="1" x="31"/>
        <item h="1" x="30"/>
        <item h="1" x="29"/>
        <item h="1" x="28"/>
        <item h="1" x="27"/>
        <item h="1" x="26"/>
        <item h="1" x="25"/>
        <item h="1" x="24"/>
        <item h="1" x="23"/>
        <item h="1" x="22"/>
        <item h="1" x="21"/>
        <item h="1" x="20"/>
        <item h="1" x="19"/>
        <item h="1" x="18"/>
        <item h="1" x="17"/>
        <item h="1" x="16"/>
        <item h="1" x="15"/>
        <item h="1" x="14"/>
        <item h="1" x="13"/>
        <item x="12"/>
        <item x="11"/>
        <item x="10"/>
        <item x="9"/>
        <item h="1" x="8"/>
        <item h="1" x="7"/>
        <item h="1" x="6"/>
        <item h="1" x="5"/>
        <item h="1" x="4"/>
        <item h="1" x="3"/>
        <item h="1" x="2"/>
        <item h="1" x="0"/>
        <item h="1" x="1"/>
        <item t="default"/>
      </items>
    </pivotField>
    <pivotField showAll="0"/>
    <pivotField showAll="0"/>
    <pivotField showAll="0"/>
    <pivotField showAll="0"/>
    <pivotField showAll="0"/>
    <pivotField showAll="0"/>
    <pivotField axis="axisCol" showAll="0">
      <items count="5">
        <item x="0"/>
        <item x="2"/>
        <item x="1"/>
        <item h="1" m="1" x="3"/>
        <item t="default"/>
      </items>
    </pivotField>
    <pivotField showAll="0"/>
    <pivotField showAll="0"/>
    <pivotField showAll="0"/>
    <pivotField showAll="0"/>
    <pivotField showAll="0"/>
  </pivotFields>
  <rowFields count="1">
    <field x="1"/>
  </rowFields>
  <rowItems count="5">
    <i>
      <x v="256"/>
    </i>
    <i>
      <x v="257"/>
    </i>
    <i>
      <x v="258"/>
    </i>
    <i>
      <x v="259"/>
    </i>
    <i t="grand">
      <x/>
    </i>
  </rowItems>
  <colFields count="1">
    <field x="8"/>
  </colFields>
  <colItems count="3">
    <i>
      <x/>
    </i>
    <i>
      <x v="2"/>
    </i>
    <i t="grand">
      <x/>
    </i>
  </colItems>
  <dataFields count="1">
    <dataField name="Count of DOI" fld="1" subtotal="count" baseField="0" baseItem="0"/>
  </dataFields>
  <chartFormats count="3">
    <chartFormat chart="30" format="0" series="1">
      <pivotArea type="data" outline="0" fieldPosition="0">
        <references count="2">
          <reference field="4294967294" count="1" selected="0">
            <x v="0"/>
          </reference>
          <reference field="8" count="1" selected="0">
            <x v="0"/>
          </reference>
        </references>
      </pivotArea>
    </chartFormat>
    <chartFormat chart="30" format="1" series="1">
      <pivotArea type="data" outline="0" fieldPosition="0">
        <references count="2">
          <reference field="4294967294" count="1" selected="0">
            <x v="0"/>
          </reference>
          <reference field="8" count="1" selected="0">
            <x v="1"/>
          </reference>
        </references>
      </pivotArea>
    </chartFormat>
    <chartFormat chart="30" format="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A00-000000000000}" autoFormatId="16" applyNumberFormats="0" applyBorderFormats="0" applyFontFormats="0" applyPatternFormats="0" applyAlignmentFormats="0" applyWidthHeightFormats="0">
  <queryTableRefresh nextId="23">
    <queryTableFields count="14">
      <queryTableField id="1" name="Employee Name " tableColumnId="1"/>
      <queryTableField id="2" name="DOI" tableColumnId="2"/>
      <queryTableField id="3" name="Supervisor" tableColumnId="3"/>
      <queryTableField id="4" name="Department " tableColumnId="4"/>
      <queryTableField id="5" name="Area" tableColumnId="5"/>
      <queryTableField id="6" name="JTP:" tableColumnId="6"/>
      <queryTableField id="7" name="Injury/Illness Type" tableColumnId="7"/>
      <queryTableField id="8" name="Body Location" tableColumnId="8"/>
      <queryTableField id="14" name="ESI Status" tableColumnId="14"/>
      <queryTableField id="21" name="Status" tableColumnId="10"/>
      <queryTableField id="15" name="Month" tableColumnId="15"/>
      <queryTableField id="18" name="Recordable_Flag" tableColumnId="18"/>
      <queryTableField id="17" name="year" tableColumnId="17"/>
      <queryTableField id="19" name="Month.1"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SI_Status" xr10:uid="{FAE10473-0247-4590-AFF2-ED8FA8EEED60}" sourceName="ESI Status">
  <pivotTables>
    <pivotTable tabId="6" name="PivotTable2"/>
    <pivotTable tabId="9" name="PivotTable4"/>
  </pivotTables>
  <data>
    <tabular pivotCacheId="477514728">
      <items count="4">
        <i x="0"/>
        <i x="2" s="1"/>
        <i x="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20BEC25-C6DB-431C-A9A3-05FC65803D43}" sourceName="Year">
  <pivotTables>
    <pivotTable tabId="12" name="PivotTable8"/>
    <pivotTable tabId="9" name="PivotTable4"/>
    <pivotTable tabId="6" name="PivotTable2"/>
    <pivotTable tabId="15" name="PivotTable12"/>
  </pivotTables>
  <data>
    <tabular pivotCacheId="477514728">
      <items count="4">
        <i x="1" s="1"/>
        <i x="0" s="1"/>
        <i x="2"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ervisor" xr10:uid="{F5A0BDBF-423E-482B-BDE6-C261E4A57928}" sourceName="Supervisor">
  <pivotTables>
    <pivotTable tabId="17" name="PivotTable1"/>
  </pivotTables>
  <data>
    <tabular pivotCacheId="477514728">
      <items count="58">
        <i x="15" s="1"/>
        <i x="25" s="1"/>
        <i x="5" s="1" nd="1"/>
        <i x="31" s="1" nd="1"/>
        <i x="13" s="1" nd="1"/>
        <i x="24" s="1" nd="1"/>
        <i x="7" s="1" nd="1"/>
        <i x="23" s="1" nd="1"/>
        <i x="28" s="1" nd="1"/>
        <i x="2" s="1" nd="1"/>
        <i x="35" s="1" nd="1"/>
        <i x="11" s="1" nd="1"/>
        <i x="16" s="1" nd="1"/>
        <i x="6" s="1" nd="1"/>
        <i x="57" s="1" nd="1"/>
        <i x="33" s="1" nd="1"/>
        <i x="34" s="1" nd="1"/>
        <i x="27" s="1" nd="1"/>
        <i x="1" s="1" nd="1"/>
        <i x="18" s="1" nd="1"/>
        <i x="32" s="1" nd="1"/>
        <i x="9" s="1" nd="1"/>
        <i x="3" s="1" nd="1"/>
        <i x="21" s="1" nd="1"/>
        <i x="49" s="1" nd="1"/>
        <i x="55" s="1" nd="1"/>
        <i x="37" s="1" nd="1"/>
        <i x="12" s="1" nd="1"/>
        <i x="43" s="1" nd="1"/>
        <i x="4" s="1" nd="1"/>
        <i x="44" s="1" nd="1"/>
        <i x="22" s="1" nd="1"/>
        <i x="47" s="1" nd="1"/>
        <i x="54" s="1" nd="1"/>
        <i x="14" s="1" nd="1"/>
        <i x="50" s="1" nd="1"/>
        <i x="20" s="1" nd="1"/>
        <i x="17" s="1" nd="1"/>
        <i x="26" s="1" nd="1"/>
        <i x="38" s="1" nd="1"/>
        <i x="30" s="1" nd="1"/>
        <i x="51" s="1" nd="1"/>
        <i x="56" s="1" nd="1"/>
        <i x="48" s="1" nd="1"/>
        <i x="10" s="1" nd="1"/>
        <i x="0" s="1" nd="1"/>
        <i x="29" s="1" nd="1"/>
        <i x="19" s="1" nd="1"/>
        <i x="42" s="1" nd="1"/>
        <i x="45" s="1" nd="1"/>
        <i x="53" s="1" nd="1"/>
        <i x="46" s="1" nd="1"/>
        <i x="52" s="1" nd="1"/>
        <i x="8" s="1" nd="1"/>
        <i x="40" s="1" nd="1"/>
        <i x="36" s="1" nd="1"/>
        <i x="39" s="1" nd="1"/>
        <i x="4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646BB4A-CABC-4A17-92D0-53318D2411DA}" sourceName="Department ">
  <pivotTables>
    <pivotTable tabId="17" name="PivotTable1"/>
    <pivotTable tabId="9" name="PivotTable4"/>
  </pivotTables>
  <data>
    <tabular pivotCacheId="477514728">
      <items count="15">
        <i x="3" s="1"/>
        <i x="2" s="1"/>
        <i x="0" s="1"/>
        <i x="1" s="1"/>
        <i x="10" s="1"/>
        <i x="8" s="1"/>
        <i x="5" s="1" nd="1"/>
        <i x="14" s="1" nd="1"/>
        <i x="7" s="1" nd="1"/>
        <i x="4" s="1" nd="1"/>
        <i x="12" s="1" nd="1"/>
        <i x="6" s="1" nd="1"/>
        <i x="9" s="1" nd="1"/>
        <i x="11"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8E2B9A44-6CF2-48B5-B623-63FBB75D70B1}" sourceName="Area">
  <pivotTables>
    <pivotTable tabId="17" name="PivotTable1"/>
  </pivotTables>
  <data>
    <tabular pivotCacheId="477514728">
      <items count="59">
        <i x="4"/>
        <i x="0"/>
        <i x="5"/>
        <i x="16"/>
        <i x="13"/>
        <i x="8"/>
        <i x="18"/>
        <i x="2"/>
        <i x="3"/>
        <i x="21"/>
        <i x="11"/>
        <i x="24" s="1"/>
        <i x="23"/>
        <i x="9" s="1"/>
        <i x="42" nd="1"/>
        <i x="41" nd="1"/>
        <i x="43" nd="1"/>
        <i x="56" nd="1"/>
        <i x="54" nd="1"/>
        <i x="50" nd="1"/>
        <i x="53" nd="1"/>
        <i x="47" nd="1"/>
        <i x="44" nd="1"/>
        <i x="46" nd="1"/>
        <i x="58" nd="1"/>
        <i x="51" nd="1"/>
        <i x="52" nd="1"/>
        <i x="39" nd="1"/>
        <i x="40" nd="1"/>
        <i x="55" nd="1"/>
        <i x="45" nd="1"/>
        <i x="49" nd="1"/>
        <i x="57" nd="1"/>
        <i x="48" nd="1"/>
        <i x="25" nd="1"/>
        <i x="20" nd="1"/>
        <i x="19" nd="1"/>
        <i x="12" nd="1"/>
        <i x="32" nd="1"/>
        <i x="17" nd="1"/>
        <i x="15" nd="1"/>
        <i x="28" nd="1"/>
        <i x="14" nd="1"/>
        <i x="7" nd="1"/>
        <i x="38" s="1" nd="1"/>
        <i x="29" s="1" nd="1"/>
        <i x="27" s="1" nd="1"/>
        <i x="33" s="1" nd="1"/>
        <i x="31" s="1" nd="1"/>
        <i x="10" nd="1"/>
        <i x="35" s="1" nd="1"/>
        <i x="30" s="1" nd="1"/>
        <i x="6" s="1" nd="1"/>
        <i x="1" s="1" nd="1"/>
        <i x="22" s="1" nd="1"/>
        <i x="36" s="1" nd="1"/>
        <i x="37" s="1" nd="1"/>
        <i x="34" s="1" nd="1"/>
        <i x="2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TP" xr10:uid="{36AB6DE6-F746-418E-AC91-D5225A07F636}" sourceName="JTP:">
  <pivotTables>
    <pivotTable tabId="17" name="PivotTable1"/>
  </pivotTables>
  <data>
    <tabular pivotCacheId="477514728">
      <items count="265">
        <i x="1" s="1"/>
        <i x="86" s="1"/>
        <i x="264" s="1" nd="1"/>
        <i x="135" s="1" nd="1"/>
        <i x="190" s="1" nd="1"/>
        <i x="121" s="1" nd="1"/>
        <i x="155" s="1" nd="1"/>
        <i x="167" s="1" nd="1"/>
        <i x="230" s="1" nd="1"/>
        <i x="66" s="1" nd="1"/>
        <i x="188" s="1" nd="1"/>
        <i x="72" s="1" nd="1"/>
        <i x="7" s="1" nd="1"/>
        <i x="4" s="1" nd="1"/>
        <i x="228" s="1" nd="1"/>
        <i x="23" s="1" nd="1"/>
        <i x="208" s="1" nd="1"/>
        <i x="98" s="1" nd="1"/>
        <i x="245" s="1" nd="1"/>
        <i x="182" s="1" nd="1"/>
        <i x="260" s="1" nd="1"/>
        <i x="92" s="1" nd="1"/>
        <i x="219" s="1" nd="1"/>
        <i x="45" s="1" nd="1"/>
        <i x="187" s="1" nd="1"/>
        <i x="170" s="1" nd="1"/>
        <i x="10" s="1" nd="1"/>
        <i x="146" s="1" nd="1"/>
        <i x="205" s="1" nd="1"/>
        <i x="143" s="1" nd="1"/>
        <i x="145" s="1" nd="1"/>
        <i x="235" s="1" nd="1"/>
        <i x="36" s="1" nd="1"/>
        <i x="91" s="1" nd="1"/>
        <i x="217" s="1" nd="1"/>
        <i x="255" s="1" nd="1"/>
        <i x="173" s="1" nd="1"/>
        <i x="232" s="1" nd="1"/>
        <i x="257" s="1" nd="1"/>
        <i x="63" s="1" nd="1"/>
        <i x="88" s="1" nd="1"/>
        <i x="79" s="1" nd="1"/>
        <i x="161" s="1" nd="1"/>
        <i x="241" s="1" nd="1"/>
        <i x="38" s="1" nd="1"/>
        <i x="6" s="1" nd="1"/>
        <i x="140" s="1" nd="1"/>
        <i x="27" s="1" nd="1"/>
        <i x="28" s="1" nd="1"/>
        <i x="183" s="1" nd="1"/>
        <i x="203" s="1" nd="1"/>
        <i x="17" s="1" nd="1"/>
        <i x="166" s="1" nd="1"/>
        <i x="202" s="1" nd="1"/>
        <i x="48" s="1" nd="1"/>
        <i x="175" s="1" nd="1"/>
        <i x="169" s="1" nd="1"/>
        <i x="76" s="1" nd="1"/>
        <i x="3" s="1" nd="1"/>
        <i x="199" s="1" nd="1"/>
        <i x="148" s="1" nd="1"/>
        <i x="57" s="1" nd="1"/>
        <i x="207" s="1" nd="1"/>
        <i x="54" s="1" nd="1"/>
        <i x="262" s="1" nd="1"/>
        <i x="41" s="1" nd="1"/>
        <i x="78" s="1" nd="1"/>
        <i x="243" s="1" nd="1"/>
        <i x="55" s="1" nd="1"/>
        <i x="34" s="1" nd="1"/>
        <i x="44" s="1" nd="1"/>
        <i x="33" s="1" nd="1"/>
        <i x="15" s="1" nd="1"/>
        <i x="157" s="1" nd="1"/>
        <i x="158" s="1" nd="1"/>
        <i x="101" s="1" nd="1"/>
        <i x="61" s="1" nd="1"/>
        <i x="234" s="1" nd="1"/>
        <i x="246" s="1" nd="1"/>
        <i x="206" s="1" nd="1"/>
        <i x="195" s="1" nd="1"/>
        <i x="65" s="1" nd="1"/>
        <i x="25" s="1" nd="1"/>
        <i x="168" s="1" nd="1"/>
        <i x="222" s="1" nd="1"/>
        <i x="162" s="1" nd="1"/>
        <i x="71" s="1" nd="1"/>
        <i x="237" s="1" nd="1"/>
        <i x="225" s="1" nd="1"/>
        <i x="254" s="1" nd="1"/>
        <i x="39" s="1" nd="1"/>
        <i x="117" s="1" nd="1"/>
        <i x="73" s="1" nd="1"/>
        <i x="165" s="1" nd="1"/>
        <i x="95" s="1" nd="1"/>
        <i x="239" s="1" nd="1"/>
        <i x="253" s="1" nd="1"/>
        <i x="180" s="1" nd="1"/>
        <i x="244" s="1" nd="1"/>
        <i x="20" s="1" nd="1"/>
        <i x="247" s="1" nd="1"/>
        <i x="99" s="1" nd="1"/>
        <i x="35" s="1" nd="1"/>
        <i x="74" s="1" nd="1"/>
        <i x="110" s="1" nd="1"/>
        <i x="122" s="1" nd="1"/>
        <i x="172" s="1" nd="1"/>
        <i x="132" s="1" nd="1"/>
        <i x="156" s="1" nd="1"/>
        <i x="96" s="1" nd="1"/>
        <i x="226" s="1" nd="1"/>
        <i x="5" s="1" nd="1"/>
        <i x="164" s="1" nd="1"/>
        <i x="149" s="1" nd="1"/>
        <i x="194" s="1" nd="1"/>
        <i x="174" s="1" nd="1"/>
        <i x="144" s="1" nd="1"/>
        <i x="22" s="1" nd="1"/>
        <i x="248" s="1" nd="1"/>
        <i x="81" s="1" nd="1"/>
        <i x="11" s="1" nd="1"/>
        <i x="83" s="1" nd="1"/>
        <i x="90" s="1" nd="1"/>
        <i x="224" s="1" nd="1"/>
        <i x="106" s="1" nd="1"/>
        <i x="263" s="1" nd="1"/>
        <i x="77" s="1" nd="1"/>
        <i x="159" s="1" nd="1"/>
        <i x="126" s="1" nd="1"/>
        <i x="176" s="1" nd="1"/>
        <i x="105" s="1" nd="1"/>
        <i x="109" s="1" nd="1"/>
        <i x="130" s="1" nd="1"/>
        <i x="119" s="1" nd="1"/>
        <i x="229" s="1" nd="1"/>
        <i x="154" s="1" nd="1"/>
        <i x="84" s="1" nd="1"/>
        <i x="100" s="1" nd="1"/>
        <i x="256" s="1" nd="1"/>
        <i x="136" s="1" nd="1"/>
        <i x="193" s="1" nd="1"/>
        <i x="59" s="1" nd="1"/>
        <i x="125" s="1" nd="1"/>
        <i x="216" s="1" nd="1"/>
        <i x="46" s="1" nd="1"/>
        <i x="60" s="1" nd="1"/>
        <i x="118" s="1" nd="1"/>
        <i x="42" s="1" nd="1"/>
        <i x="50" s="1" nd="1"/>
        <i x="62" s="1" nd="1"/>
        <i x="52" s="1" nd="1"/>
        <i x="14" s="1" nd="1"/>
        <i x="18" s="1" nd="1"/>
        <i x="197" s="1" nd="1"/>
        <i x="67" s="1" nd="1"/>
        <i x="215" s="1" nd="1"/>
        <i x="94" s="1" nd="1"/>
        <i x="242" s="1" nd="1"/>
        <i x="114" s="1" nd="1"/>
        <i x="19" s="1" nd="1"/>
        <i x="137" s="1" nd="1"/>
        <i x="138" s="1" nd="1"/>
        <i x="179" s="1" nd="1"/>
        <i x="151" s="1" nd="1"/>
        <i x="214" s="1" nd="1"/>
        <i x="153" s="1" nd="1"/>
        <i x="97" s="1" nd="1"/>
        <i x="139" s="1" nd="1"/>
        <i x="85" s="1" nd="1"/>
        <i x="250" s="1" nd="1"/>
        <i x="249" s="1" nd="1"/>
        <i x="233" s="1" nd="1"/>
        <i x="210" s="1" nd="1"/>
        <i x="40" s="1" nd="1"/>
        <i x="231" s="1" nd="1"/>
        <i x="141" s="1" nd="1"/>
        <i x="134" s="1" nd="1"/>
        <i x="107" s="1" nd="1"/>
        <i x="129" s="1" nd="1"/>
        <i x="227" s="1" nd="1"/>
        <i x="13" s="1" nd="1"/>
        <i x="184" s="1" nd="1"/>
        <i x="212" s="1" nd="1"/>
        <i x="82" s="1" nd="1"/>
        <i x="240" s="1" nd="1"/>
        <i x="221" s="1" nd="1"/>
        <i x="238" s="1" nd="1"/>
        <i x="80" s="1" nd="1"/>
        <i x="49" s="1" nd="1"/>
        <i x="68" s="1" nd="1"/>
        <i x="191" s="1" nd="1"/>
        <i x="124" s="1" nd="1"/>
        <i x="37" s="1" nd="1"/>
        <i x="261" s="1" nd="1"/>
        <i x="220" s="1" nd="1"/>
        <i x="0" s="1" nd="1"/>
        <i x="178" s="1" nd="1"/>
        <i x="51" s="1" nd="1"/>
        <i x="192" s="1" nd="1"/>
        <i x="258" s="1" nd="1"/>
        <i x="103" s="1" nd="1"/>
        <i x="127" s="1" nd="1"/>
        <i x="93" s="1" nd="1"/>
        <i x="251" s="1" nd="1"/>
        <i x="16" s="1" nd="1"/>
        <i x="58" s="1" nd="1"/>
        <i x="196" s="1" nd="1"/>
        <i x="112" s="1" nd="1"/>
        <i x="204" s="1" nd="1"/>
        <i x="24" s="1" nd="1"/>
        <i x="43" s="1" nd="1"/>
        <i x="198" s="1" nd="1"/>
        <i x="8" s="1" nd="1"/>
        <i x="171" s="1" nd="1"/>
        <i x="115" s="1" nd="1"/>
        <i x="26" s="1" nd="1"/>
        <i x="120" s="1" nd="1"/>
        <i x="102" s="1" nd="1"/>
        <i x="31" s="1" nd="1"/>
        <i x="47" s="1" nd="1"/>
        <i x="111" s="1" nd="1"/>
        <i x="185" s="1" nd="1"/>
        <i x="133" s="1" nd="1"/>
        <i x="213" s="1" nd="1"/>
        <i x="89" s="1" nd="1"/>
        <i x="32" s="1" nd="1"/>
        <i x="29" s="1" nd="1"/>
        <i x="123" s="1" nd="1"/>
        <i x="56" s="1" nd="1"/>
        <i x="186" s="1" nd="1"/>
        <i x="163" s="1" nd="1"/>
        <i x="147" s="1" nd="1"/>
        <i x="116" s="1" nd="1"/>
        <i x="209" s="1" nd="1"/>
        <i x="223" s="1" nd="1"/>
        <i x="30" s="1" nd="1"/>
        <i x="152" s="1" nd="1"/>
        <i x="142" s="1" nd="1"/>
        <i x="104" s="1" nd="1"/>
        <i x="75" s="1" nd="1"/>
        <i x="87" s="1" nd="1"/>
        <i x="211" s="1" nd="1"/>
        <i x="53" s="1" nd="1"/>
        <i x="200" s="1" nd="1"/>
        <i x="218" s="1" nd="1"/>
        <i x="64" s="1" nd="1"/>
        <i x="189" s="1" nd="1"/>
        <i x="12" s="1" nd="1"/>
        <i x="177" s="1" nd="1"/>
        <i x="128" s="1" nd="1"/>
        <i x="201" s="1" nd="1"/>
        <i x="9" s="1" nd="1"/>
        <i x="252" s="1" nd="1"/>
        <i x="113" s="1" nd="1"/>
        <i x="150" s="1" nd="1"/>
        <i x="108" s="1" nd="1"/>
        <i x="2" s="1" nd="1"/>
        <i x="21" s="1" nd="1"/>
        <i x="131" s="1" nd="1"/>
        <i x="160" s="1" nd="1"/>
        <i x="69" s="1" nd="1"/>
        <i x="236" s="1" nd="1"/>
        <i x="259" s="1" nd="1"/>
        <i x="70" s="1" nd="1"/>
        <i x="181"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12ACE72-9379-4C18-A1C0-0BD85B77EFE7}" sourceName="Month">
  <pivotTables>
    <pivotTable tabId="15" name="PivotTable12"/>
    <pivotTable tabId="6" name="PivotTable2"/>
    <pivotTable tabId="12" name="PivotTable8"/>
  </pivotTables>
  <data>
    <tabular pivotCacheId="477514728">
      <items count="13">
        <i x="6"/>
        <i x="5" s="1"/>
        <i x="4"/>
        <i x="3" s="1"/>
        <i x="2" s="1"/>
        <i x="1" s="1"/>
        <i x="0"/>
        <i x="11"/>
        <i x="10"/>
        <i x="9"/>
        <i x="8"/>
        <i x="7"/>
        <i x="12"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C7902EB4-FB13-4222-B91E-5C0A6E085973}" sourceName="Month">
  <pivotTables>
    <pivotTable tabId="39" name="pvtDept"/>
  </pivotTables>
  <data>
    <tabular pivotCacheId="477514728">
      <items count="13">
        <i x="6" s="1"/>
        <i x="5" s="1"/>
        <i x="4"/>
        <i x="3"/>
        <i x="2"/>
        <i x="1"/>
        <i x="0"/>
        <i x="11"/>
        <i x="10"/>
        <i x="9"/>
        <i x="8"/>
        <i x="7"/>
        <i x="12"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965C381A-FFA0-41EA-A275-6621473386BA}" sourceName="Year">
  <pivotTables>
    <pivotTable tabId="39" name="pvtDept"/>
  </pivotTables>
  <data>
    <tabular pivotCacheId="477514728">
      <items count="4">
        <i x="1" s="1"/>
        <i x="0" s="1"/>
        <i x="2"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2B8874B8-0802-4CF0-9743-F3B089AD2D96}" cache="Slicer_Month1" caption="Month" rowHeight="257175"/>
  <slicer name="Year 1" xr10:uid="{B909F659-6D73-4566-9718-4D985A203860}" cache="Slicer_Year1" caption="Yea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BE87C79-AAA6-4787-8E57-F33CBBBB9D2B}" cache="Slicer_Month" caption="Month"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I Status" xr10:uid="{9791A4F1-A702-4AD9-958A-BA912E923AC2}" cache="Slicer_ESI_Status" caption="ESI Status" style="SlicerStyleOther2"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07121E5-8453-4C11-A775-5FBCDF132F6D}" cache="Slicer_Year" caption="Year" style="SlicerStyleOther2"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ervisor" xr10:uid="{9158F1B8-B536-40D0-A802-2C9EE10AE60E}" cache="Slicer_Supervisor" caption="Supervisor" rowHeight="257175"/>
  <slicer name="Department " xr10:uid="{BEC691E1-F9FB-4901-BD24-A2AD9B3CA27D}" cache="Slicer_Department" caption="Department " rowHeight="257175"/>
  <slicer name="Area" xr10:uid="{DF3D9090-B8DE-442C-9AFF-CF139D0D6DA5}" cache="Slicer_Area" caption="Area" rowHeight="257175"/>
  <slicer name="JTP:" xr10:uid="{266DA71E-54ED-4D19-993E-E6CF9744B34D}" cache="Slicer_JTP" caption="JTP:"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0DF821-17F7-411E-9698-F05804749826}" name="Master_List_Of_Injuries" displayName="Master_List_Of_Injuries" ref="A1:N581" tableType="queryTable" totalsRowShown="0" headerRowDxfId="15">
  <autoFilter ref="A1:N581" xr:uid="{C80DF821-17F7-411E-9698-F05804749826}">
    <filterColumn colId="1">
      <customFilters>
        <customFilter operator="notEqual" val=" "/>
      </customFilters>
    </filterColumn>
  </autoFilter>
  <sortState xmlns:xlrd2="http://schemas.microsoft.com/office/spreadsheetml/2017/richdata2" ref="A2:N581">
    <sortCondition descending="1" ref="B1:B581"/>
  </sortState>
  <tableColumns count="14">
    <tableColumn id="1" xr3:uid="{3390552A-B39A-4DA2-A570-15D3F7C7DA8A}" uniqueName="1" name="Employee Name " queryTableFieldId="1" dataDxfId="8"/>
    <tableColumn id="2" xr3:uid="{B2509EDE-16FB-410F-899F-0B80769B2A76}" uniqueName="2" name="DOI" queryTableFieldId="2" dataDxfId="7"/>
    <tableColumn id="3" xr3:uid="{0591798D-333D-42D3-8D87-A8D754745249}" uniqueName="3" name="Supervisor" queryTableFieldId="3" dataDxfId="6"/>
    <tableColumn id="4" xr3:uid="{2FD12D02-58A5-4939-85DC-BBAB41501BA3}" uniqueName="4" name="Department " queryTableFieldId="4" dataDxfId="5"/>
    <tableColumn id="5" xr3:uid="{E78A0141-B941-488B-956E-91A28CECCEAA}" uniqueName="5" name="Area" queryTableFieldId="5" dataDxfId="4"/>
    <tableColumn id="6" xr3:uid="{33205C4B-A7FC-4F7C-ACF4-B7C5988B9E0F}" uniqueName="6" name="JTP:" queryTableFieldId="6" dataDxfId="3"/>
    <tableColumn id="7" xr3:uid="{32A83E52-1BBE-4A45-A561-62D94F11EC5E}" uniqueName="7" name="Injury/Illness Type" queryTableFieldId="7" dataDxfId="2"/>
    <tableColumn id="8" xr3:uid="{4D86D499-E167-4B9B-9934-EACA92B5B20D}" uniqueName="8" name="Body Location" queryTableFieldId="8" dataDxfId="1"/>
    <tableColumn id="14" xr3:uid="{53BD296E-1D05-4BC3-9867-6B939AE761D5}" uniqueName="14" name="ESI Status" queryTableFieldId="14" dataDxfId="0"/>
    <tableColumn id="10" xr3:uid="{BCEF271C-D4DD-40AA-8216-F8A5BC04BEEC}" uniqueName="10" name="Status" queryTableFieldId="21"/>
    <tableColumn id="15" xr3:uid="{689D4317-0C31-4B1E-A23B-56A624E33D39}" uniqueName="15" name="Month" queryTableFieldId="15"/>
    <tableColumn id="18" xr3:uid="{18BA885D-3BA6-4FA9-90B0-71E23E00DA95}" uniqueName="18" name="Recordable_Flag" queryTableFieldId="18"/>
    <tableColumn id="17" xr3:uid="{E3B0831E-1BFD-477A-83A5-F367E074C86D}" uniqueName="17" name="Year" queryTableFieldId="17"/>
    <tableColumn id="9" xr3:uid="{28ED3E11-0BB9-4694-A8F5-096F0D4C4482}" uniqueName="9" name="Month.1" queryTableFieldId="19"/>
  </tableColumns>
  <tableStyleInfo name="TableStyleMedium2" showFirstColumn="0" showLastColumn="0" showRowStripes="1" showColumnStripes="0"/>
</table>
</file>

<file path=xl/theme/theme1.xml><?xml version="1.0" encoding="utf-8"?>
<a:theme xmlns:a="http://schemas.openxmlformats.org/drawingml/2006/main" name="View">
  <a:themeElements>
    <a:clrScheme name="LEO">
      <a:dk1>
        <a:srgbClr val="000000"/>
      </a:dk1>
      <a:lt1>
        <a:srgbClr val="C9C7C3"/>
      </a:lt1>
      <a:dk2>
        <a:srgbClr val="46464A"/>
      </a:dk2>
      <a:lt2>
        <a:srgbClr val="000000"/>
      </a:lt2>
      <a:accent1>
        <a:srgbClr val="6F6F74"/>
      </a:accent1>
      <a:accent2>
        <a:srgbClr val="92A9B9"/>
      </a:accent2>
      <a:accent3>
        <a:srgbClr val="A7B789"/>
      </a:accent3>
      <a:accent4>
        <a:srgbClr val="B9A489"/>
      </a:accent4>
      <a:accent5>
        <a:srgbClr val="8D6374"/>
      </a:accent5>
      <a:accent6>
        <a:srgbClr val="9B7362"/>
      </a:accent6>
      <a:hlink>
        <a:srgbClr val="67AABF"/>
      </a:hlink>
      <a:folHlink>
        <a:srgbClr val="ABAFA5"/>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threadedComments/threadedComment1.xml><?xml version="1.0" encoding="utf-8"?>
<ThreadedComments xmlns="http://schemas.microsoft.com/office/spreadsheetml/2018/threadedcomments" xmlns:x="http://schemas.openxmlformats.org/spreadsheetml/2006/main">
  <threadedComment ref="V3" dT="2026-07-24T21:41:03.22" personId="{C502EDFC-3593-4CAC-82D7-E03526861914}" id="{7F78797C-52C0-4AA8-9405-2FC7039246F4}">
    <text>Link the 'DOI From' scroll bar Cell link here (Min 0, Max 565).</text>
  </threadedComment>
  <threadedComment ref="V4" dT="2026-07-24T21:41:03.23" personId="{C502EDFC-3593-4CAC-82D7-E03526861914}" id="{C6B188A6-393C-4E2C-941E-EE5BDAD8C91B}">
    <text>Link the 'DOI To' scroll bar Cell link here (Min 0, Max 565).</text>
  </threadedComment>
</ThreadedComments>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5" Type="http://schemas.microsoft.com/office/2011/relationships/webextension" Target="webextension5.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383" row="7">
    <wetp:webextensionref xmlns:r="http://schemas.openxmlformats.org/officeDocument/2006/relationships" r:id="rId1"/>
  </wetp:taskpane>
  <wetp:taskpane dockstate="right" visibility="0" width="350" row="9">
    <wetp:webextensionref xmlns:r="http://schemas.openxmlformats.org/officeDocument/2006/relationships" r:id="rId2"/>
  </wetp:taskpane>
  <wetp:taskpane dockstate="right" visibility="0" width="350" row="9">
    <wetp:webextensionref xmlns:r="http://schemas.openxmlformats.org/officeDocument/2006/relationships" r:id="rId3"/>
  </wetp:taskpane>
  <wetp:taskpane dockstate="right" visibility="0" width="350" row="8">
    <wetp:webextensionref xmlns:r="http://schemas.openxmlformats.org/officeDocument/2006/relationships" r:id="rId4"/>
  </wetp:taskpane>
  <wetp:taskpane dockstate="right" visibility="0" width="350" row="10">
    <wetp:webextensionref xmlns:r="http://schemas.openxmlformats.org/officeDocument/2006/relationships" r:id="rId5"/>
  </wetp:taskpane>
</wetp:taskpanes>
</file>

<file path=xl/webextensions/webextension1.xml><?xml version="1.0" encoding="utf-8"?>
<we:webextension xmlns:we="http://schemas.microsoft.com/office/webextensions/webextension/2010/11" id="{D2F2245C-8EA6-4B42-BF23-6468036F8982}">
  <we:reference id="WA200009404" version="1.0.0.8" store="Omex" storeType="OMEX"/>
  <we:alternateReferences>
    <we:reference id="WA200009404" version="1.0.0.8" store="WA200009404" storeType="OMEX"/>
  </we:alternateReferences>
  <we:properties>
    <we:property name="claude.fileId" value="&quot;f0b4ac9e-83fc-41e4-b020-27633317b798&quot;"/>
  </we:properties>
  <we:bindings/>
  <we:snapshot xmlns:r="http://schemas.openxmlformats.org/officeDocument/2006/relationships"/>
</we:webextension>
</file>

<file path=xl/webextensions/webextension2.xml><?xml version="1.0" encoding="utf-8"?>
<we:webextension xmlns:we="http://schemas.microsoft.com/office/webextensions/webextension/2010/11" id="{38FFBC3C-AAEF-4FBA-BF21-C5E4D8B4AB9C}">
  <we:reference id="wa200011056" version="1.0.0.2" store="en-US" storeType="OMEX"/>
  <we:alternateReferences>
    <we:reference id="WA200011056" version="1.0.0.2" store="WA200011056" storeType="OMEX"/>
  </we:alternateReferences>
  <we:properties>
    <we:property name="_flush" value="1784063414544"/>
    <we:property name="grokConversationBinding" value="{&quot;responseId&quot;:&quot;2a37b875-48a4-964f-a1f6-96ac55047cb3&quot;,&quot;title&quot;:&quot;Workplace Safety Executive Dashboard&quot;}"/>
  </we:properties>
  <we:bindings/>
  <we:snapshot xmlns:r="http://schemas.openxmlformats.org/officeDocument/2006/relationships"/>
</we:webextension>
</file>

<file path=xl/webextensions/webextension3.xml><?xml version="1.0" encoding="utf-8"?>
<we:webextension xmlns:we="http://schemas.microsoft.com/office/webextensions/webextension/2010/11" id="{419DABD6-0A33-41CA-907C-21ABFB0F1005}">
  <we:reference id="wa200000169" version="1.25.0.0" store="en-US" storeType="OMEX"/>
  <we:alternateReferences>
    <we:reference id="WA200000169" version="1.25.0.0" store="WA20000016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_xldudf_SAP_GETDIMENSIONFILTER</we:customFunctionIds>
        <we:customFunctionIds>_xldudf_SAP_OVERWRITEDIMENSIONFILTER</we:customFunctionIds>
        <we:customFunctionIds>_xldudf_SAP_GETDIMENSIONS</we:customFunctionIds>
        <we:customFunctionIds>_xldudf_SAP_GETTABLENAME</we:customFunctionIds>
        <we:customFunctionIds>_xldudf_SAP_GETTABLESTATUS</we:customFunctionIds>
        <we:customFunctionIds>_xldudf_SAP_GETDATA</we:customFunctionIds>
        <we:customFunctionIds>_xldudf_SAP_SETDATA</we:customFunctionIds>
        <we:customFunctionIds>_xldudf_SAP_GETPLANNINGTRIGGERNAME</we:customFunctionIds>
        <we:customFunctionIds>_xldudf_SAP_GETPLANNINGTRIGGERPARAMETERS</we:customFunctionIds>
        <we:customFunctionIds>_xldudf_SAP_GETPLANNINGTRIGGERPARAMETERVALUE</we:customFunctionIds>
        <we:customFunctionIds>_xldudf_SAP_TIMEOFFSET</we:customFunctionIds>
        <we:customFunctionIds>_xldudf_SAP_MEMBERPROPERTY</we:customFunctionIds>
        <we:customFunctionIds>_xldudf_SAP_GETVARIABLES</we:customFunctionIds>
        <we:customFunctionIds>_xldudf_SAP_ASYMMETRICFILTER</we:customFunctionIds>
        <we:customFunctionIds>_xldudf_SAP_BLOCK</we:customFunctionIds>
        <we:customFunctionIds>_xldudf_SAP_EXECUTEAPI</we:customFunctionIds>
        <we:customFunctionIds>_xldudf_SAP_GETDATACOMMENT</we:customFunctionIds>
      </we:customFunctionIdList>
    </a:ext>
  </we:extLst>
</we:webextension>
</file>

<file path=xl/webextensions/webextension4.xml><?xml version="1.0" encoding="utf-8"?>
<we:webextension xmlns:we="http://schemas.microsoft.com/office/webextensions/webextension/2010/11" id="{EE9E0E48-BD3B-4BEF-9BC4-6A1DFFAA2A8A}">
  <we:reference id="WA200010725" version="1.0.0.1" store="Omex" storeType="OMEX"/>
  <we:alternateReferences>
    <we:reference id="WA200010725" version="1.0.0.1" store="WA200010725" storeType="OMEX"/>
  </we:alternateReferences>
  <we:properties>
    <we:property name="claude.fileId" value="&quot;be4dbb88-e7b1-4ec3-a519-6928b74d6496&quot;"/>
  </we:properties>
  <we:bindings/>
  <we:snapshot xmlns:r="http://schemas.openxmlformats.org/officeDocument/2006/relationships"/>
</we:webextension>
</file>

<file path=xl/webextensions/webextension5.xml><?xml version="1.0" encoding="utf-8"?>
<we:webextension xmlns:we="http://schemas.microsoft.com/office/webextensions/webextension/2010/11" id="{F9BC769A-BB54-4473-A963-E5B25B52D9A9}">
  <we:reference id="WA200011214" version="1.0.0.1" store="Omex" storeType="OMEX"/>
  <we:alternateReferences>
    <we:reference id="WA200011214" version="1.0.0.1" store="WA200011214" storeType="OMEX"/>
  </we:alternateReferences>
  <we:properties>
    <we:property name="grokConversationBinding" value="{&quot;responseId&quot;:&quot;6ce0cc3f-9a30-9f55-876d-b37c7a13d48a&quot;,&quot;title&quot;:&quot;Excel Audit &amp; Formula Fixes&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6.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3FC5E-8A39-4E90-B560-01F6BB310CD3}">
  <dimension ref="A1:T600"/>
  <sheetViews>
    <sheetView showGridLines="0" zoomScaleNormal="100" workbookViewId="0">
      <pane ySplit="15" topLeftCell="A16" activePane="bottomLeft" state="frozen"/>
      <selection pane="bottomLeft" activeCell="A14" sqref="A14"/>
    </sheetView>
  </sheetViews>
  <sheetFormatPr defaultRowHeight="14.25" x14ac:dyDescent="0.2"/>
  <cols>
    <col min="1" max="1" width="21" bestFit="1" customWidth="1"/>
    <col min="2" max="2" width="13.375" customWidth="1"/>
    <col min="3" max="3" width="19.125" customWidth="1"/>
    <col min="4" max="4" width="15" customWidth="1"/>
    <col min="5" max="5" width="22.5" customWidth="1"/>
    <col min="6" max="6" width="26" bestFit="1" customWidth="1"/>
    <col min="7" max="7" width="19.625" bestFit="1" customWidth="1"/>
    <col min="8" max="8" width="34.25" customWidth="1"/>
    <col min="9" max="9" width="12.5" customWidth="1"/>
    <col min="10" max="10" width="14.125" customWidth="1"/>
    <col min="11" max="11" width="13.375" customWidth="1"/>
    <col min="12" max="12" width="11.625" customWidth="1"/>
    <col min="14" max="14" width="83" customWidth="1"/>
    <col min="15" max="18" width="15" customWidth="1"/>
  </cols>
  <sheetData>
    <row r="1" spans="1:20" ht="31.5" thickBot="1" x14ac:dyDescent="0.6">
      <c r="A1" s="176" t="s">
        <v>1325</v>
      </c>
      <c r="B1" s="177"/>
      <c r="C1" s="177"/>
      <c r="D1" s="177"/>
      <c r="E1" s="177"/>
      <c r="F1" s="177"/>
      <c r="G1" s="177"/>
      <c r="H1" s="177"/>
      <c r="I1" s="177"/>
      <c r="J1" s="177"/>
      <c r="K1" s="177"/>
      <c r="L1" s="177"/>
      <c r="M1" s="87"/>
      <c r="N1" s="87"/>
      <c r="O1" s="87"/>
      <c r="P1" s="87"/>
      <c r="Q1" s="87"/>
      <c r="R1" s="87"/>
      <c r="S1" s="87"/>
      <c r="T1" s="87"/>
    </row>
    <row r="2" spans="1:20" ht="19.5" customHeight="1" thickTop="1" x14ac:dyDescent="0.3">
      <c r="A2" s="178" t="str">
        <f>"Showing "&amp;TEXT(SUM(fMask),"#,##0")&amp;" of "&amp;TEXT(ROWS(colDOI),"#,##0")&amp;" records   ("&amp;TEXT(SUM(fMask)/ROWS(colDOI),"0.0%")&amp;" of total)   •   Mode: "&amp;selMode</f>
        <v>Showing 275 of 580 records   (47.4% of total)   •   Mode: AND</v>
      </c>
      <c r="B2" s="179"/>
      <c r="C2" s="179"/>
      <c r="D2" s="179"/>
      <c r="E2" s="179"/>
      <c r="F2" s="179"/>
      <c r="G2" s="179"/>
      <c r="H2" s="179"/>
      <c r="I2" s="179"/>
      <c r="J2" s="179"/>
      <c r="K2" s="179"/>
      <c r="L2" s="179"/>
      <c r="M2" s="87"/>
      <c r="N2" s="87"/>
      <c r="O2" s="87"/>
      <c r="P2" s="87"/>
      <c r="Q2" s="87"/>
      <c r="R2" s="87"/>
      <c r="S2" s="87"/>
      <c r="T2" s="87"/>
    </row>
    <row r="3" spans="1:20" ht="7.5" customHeight="1" x14ac:dyDescent="0.3">
      <c r="A3" s="102"/>
      <c r="B3" s="102"/>
      <c r="C3" s="102"/>
      <c r="D3" s="102"/>
      <c r="E3" s="102"/>
      <c r="F3" s="102"/>
      <c r="G3" s="102"/>
      <c r="H3" s="102"/>
      <c r="I3" s="102"/>
      <c r="J3" s="102"/>
      <c r="K3" s="102"/>
      <c r="L3" s="102"/>
      <c r="M3" s="87"/>
      <c r="N3" s="87"/>
      <c r="O3" s="87"/>
      <c r="P3" s="87"/>
      <c r="Q3" s="87"/>
      <c r="R3" s="87"/>
      <c r="S3" s="87"/>
      <c r="T3" s="87"/>
    </row>
    <row r="4" spans="1:20" ht="19.5" customHeight="1" x14ac:dyDescent="0.3">
      <c r="A4" s="102"/>
      <c r="B4" s="180" t="s">
        <v>1278</v>
      </c>
      <c r="C4" s="181"/>
      <c r="D4" s="181"/>
      <c r="E4" s="181"/>
      <c r="F4" s="181"/>
      <c r="G4" s="181"/>
      <c r="H4" s="181"/>
      <c r="I4" s="181"/>
      <c r="J4" s="104"/>
      <c r="K4" s="102"/>
      <c r="L4" s="102"/>
      <c r="M4" s="87"/>
      <c r="N4" s="149" t="s">
        <v>1288</v>
      </c>
      <c r="O4" s="150"/>
      <c r="P4" s="150"/>
      <c r="Q4" s="150"/>
      <c r="R4" s="151"/>
      <c r="S4" s="87"/>
      <c r="T4" s="87"/>
    </row>
    <row r="5" spans="1:20" ht="16.5" x14ac:dyDescent="0.3">
      <c r="A5" s="102"/>
      <c r="B5" s="106" t="s">
        <v>1036</v>
      </c>
      <c r="C5" s="172" t="s">
        <v>1275</v>
      </c>
      <c r="D5" s="173"/>
      <c r="E5" s="108" t="s">
        <v>7</v>
      </c>
      <c r="F5" s="172" t="s">
        <v>1275</v>
      </c>
      <c r="G5" s="173"/>
      <c r="H5" s="108" t="s">
        <v>1280</v>
      </c>
      <c r="I5" s="174">
        <v>46023</v>
      </c>
      <c r="J5" s="175"/>
      <c r="K5" s="102"/>
      <c r="L5" s="102"/>
      <c r="M5" s="87"/>
      <c r="N5" s="152" t="s">
        <v>1289</v>
      </c>
      <c r="O5" s="153"/>
      <c r="P5" s="153"/>
      <c r="Q5" s="153"/>
      <c r="R5" s="154"/>
      <c r="S5" s="87"/>
      <c r="T5" s="87"/>
    </row>
    <row r="6" spans="1:20" ht="20.100000000000001" customHeight="1" x14ac:dyDescent="0.3">
      <c r="A6" s="102"/>
      <c r="B6" s="106" t="s">
        <v>3</v>
      </c>
      <c r="C6" s="172" t="s">
        <v>1275</v>
      </c>
      <c r="D6" s="173"/>
      <c r="E6" s="108" t="s">
        <v>1054</v>
      </c>
      <c r="F6" s="172" t="s">
        <v>1275</v>
      </c>
      <c r="G6" s="173"/>
      <c r="H6" s="108" t="s">
        <v>1281</v>
      </c>
      <c r="I6" s="174">
        <v>46387</v>
      </c>
      <c r="J6" s="175"/>
      <c r="K6" s="102"/>
      <c r="L6" s="102"/>
      <c r="M6" s="87"/>
      <c r="N6" s="152" t="s">
        <v>1324</v>
      </c>
      <c r="O6" s="153"/>
      <c r="P6" s="153"/>
      <c r="Q6" s="153"/>
      <c r="R6" s="154"/>
      <c r="S6" s="87"/>
      <c r="T6" s="87"/>
    </row>
    <row r="7" spans="1:20" ht="20.100000000000001" customHeight="1" x14ac:dyDescent="0.3">
      <c r="A7" s="102"/>
      <c r="B7" s="106" t="s">
        <v>2</v>
      </c>
      <c r="C7" s="172" t="s">
        <v>1275</v>
      </c>
      <c r="D7" s="173"/>
      <c r="E7" s="108" t="s">
        <v>748</v>
      </c>
      <c r="F7" s="172" t="s">
        <v>1275</v>
      </c>
      <c r="G7" s="173"/>
      <c r="H7" s="108" t="s">
        <v>1282</v>
      </c>
      <c r="I7" s="172" t="s">
        <v>1276</v>
      </c>
      <c r="J7" s="173"/>
      <c r="K7" s="102"/>
      <c r="L7" s="102"/>
      <c r="M7" s="87"/>
      <c r="N7" s="152" t="s">
        <v>1290</v>
      </c>
      <c r="O7" s="153"/>
      <c r="P7" s="153"/>
      <c r="Q7" s="153"/>
      <c r="R7" s="154"/>
      <c r="S7" s="87"/>
      <c r="T7" s="87"/>
    </row>
    <row r="8" spans="1:20" ht="17.25" customHeight="1" x14ac:dyDescent="0.3">
      <c r="A8" s="102"/>
      <c r="B8" s="107" t="s">
        <v>1067</v>
      </c>
      <c r="C8" s="172" t="s">
        <v>1275</v>
      </c>
      <c r="D8" s="173"/>
      <c r="E8" s="109" t="s">
        <v>1279</v>
      </c>
      <c r="F8" s="172"/>
      <c r="G8" s="173"/>
      <c r="H8" s="110" t="s">
        <v>1283</v>
      </c>
      <c r="I8" s="103"/>
      <c r="J8" s="105"/>
      <c r="K8" s="102"/>
      <c r="L8" s="102"/>
      <c r="M8" s="87"/>
      <c r="N8" s="155"/>
      <c r="O8" s="156"/>
      <c r="P8" s="156"/>
      <c r="Q8" s="156"/>
      <c r="R8" s="157"/>
      <c r="S8" s="87"/>
      <c r="T8" s="87"/>
    </row>
    <row r="9" spans="1:20" ht="12" customHeight="1" thickBot="1" x14ac:dyDescent="0.35">
      <c r="A9" s="102"/>
      <c r="B9" s="102"/>
      <c r="C9" s="102"/>
      <c r="D9" s="102"/>
      <c r="E9" s="102"/>
      <c r="F9" s="102"/>
      <c r="G9" s="102"/>
      <c r="H9" s="102"/>
      <c r="I9" s="102"/>
      <c r="J9" s="102"/>
      <c r="K9" s="102"/>
      <c r="L9" s="102"/>
      <c r="M9" s="87"/>
      <c r="N9" s="87"/>
      <c r="O9" s="87"/>
      <c r="P9" s="87"/>
      <c r="Q9" s="87"/>
      <c r="R9" s="87"/>
      <c r="S9" s="87"/>
      <c r="T9" s="87"/>
    </row>
    <row r="10" spans="1:20" ht="20.100000000000001" customHeight="1" thickTop="1" x14ac:dyDescent="0.3">
      <c r="A10" s="162" t="s">
        <v>1284</v>
      </c>
      <c r="B10" s="163"/>
      <c r="C10" s="162" t="s">
        <v>1285</v>
      </c>
      <c r="D10" s="163"/>
      <c r="E10" s="164" t="s">
        <v>1286</v>
      </c>
      <c r="F10" s="165"/>
      <c r="G10" s="166" t="s">
        <v>1185</v>
      </c>
      <c r="H10" s="167"/>
      <c r="I10" s="168" t="s">
        <v>278</v>
      </c>
      <c r="J10" s="169"/>
      <c r="K10" s="170" t="s">
        <v>1287</v>
      </c>
      <c r="L10" s="171"/>
      <c r="M10" s="87"/>
      <c r="N10" s="87"/>
      <c r="O10" s="87"/>
      <c r="P10" s="87"/>
      <c r="Q10" s="87"/>
      <c r="R10" s="87"/>
      <c r="S10" s="87"/>
      <c r="T10" s="87"/>
    </row>
    <row r="11" spans="1:20" ht="37.5" x14ac:dyDescent="0.3">
      <c r="A11" s="158">
        <f>SUM(fMask)</f>
        <v>275</v>
      </c>
      <c r="B11" s="159"/>
      <c r="C11" s="160">
        <f>SUM(fMask)/ROWS(colDOI)</f>
        <v>0.47413793103448276</v>
      </c>
      <c r="D11" s="159"/>
      <c r="E11" s="158" cm="1">
        <f t="array" ref="E11">SUMPRODUCT(fMask,--(colRec="Yes"))</f>
        <v>7</v>
      </c>
      <c r="F11" s="159"/>
      <c r="G11" s="158" cm="1">
        <f t="array" ref="G11">SUMPRODUCT(fMask,--(colESI="FA"))</f>
        <v>228</v>
      </c>
      <c r="H11" s="159"/>
      <c r="I11" s="158" cm="1">
        <f t="array" ref="I11">SUMPRODUCT(fMask,--(colESI="RPO"))</f>
        <v>40</v>
      </c>
      <c r="J11" s="159"/>
      <c r="K11" s="158" cm="1">
        <f t="array" ref="K11">SUMPRODUCT(fMask,--(colESI="RECORDABLE"))</f>
        <v>7</v>
      </c>
      <c r="L11" s="161"/>
      <c r="M11" s="87"/>
      <c r="N11" s="87"/>
      <c r="O11" s="87"/>
      <c r="P11" s="87"/>
      <c r="Q11" s="87"/>
      <c r="R11" s="87"/>
      <c r="S11" s="87"/>
      <c r="T11" s="87"/>
    </row>
    <row r="12" spans="1:20" ht="9.9499999999999993" customHeight="1" x14ac:dyDescent="0.3">
      <c r="A12" s="102"/>
      <c r="B12" s="102"/>
      <c r="C12" s="102"/>
      <c r="D12" s="102"/>
      <c r="E12" s="102"/>
      <c r="F12" s="102"/>
      <c r="G12" s="102"/>
      <c r="H12" s="102"/>
      <c r="I12" s="102"/>
      <c r="J12" s="102"/>
      <c r="K12" s="102"/>
      <c r="L12" s="102"/>
      <c r="M12" s="87"/>
      <c r="N12" s="87"/>
      <c r="O12" s="87"/>
      <c r="P12" s="87"/>
      <c r="Q12" s="87"/>
      <c r="R12" s="87"/>
      <c r="S12" s="87"/>
      <c r="T12" s="87"/>
    </row>
    <row r="13" spans="1:20" ht="16.5" x14ac:dyDescent="0.3">
      <c r="A13" s="111" t="s">
        <v>1292</v>
      </c>
      <c r="B13" s="102"/>
      <c r="C13" s="102"/>
      <c r="D13" s="102"/>
      <c r="E13" s="102"/>
      <c r="F13" s="102"/>
      <c r="G13" s="102"/>
      <c r="H13" s="102"/>
      <c r="I13" s="102"/>
      <c r="J13" s="102"/>
      <c r="K13" s="102"/>
      <c r="L13" s="102"/>
      <c r="M13" s="87"/>
      <c r="N13" s="87"/>
      <c r="O13" s="87"/>
      <c r="P13" s="87"/>
      <c r="Q13" s="87"/>
      <c r="R13" s="87"/>
      <c r="S13" s="87"/>
      <c r="T13" s="87"/>
    </row>
    <row r="14" spans="1:20" ht="6.75" customHeight="1" x14ac:dyDescent="0.3">
      <c r="A14" s="102"/>
      <c r="B14" s="102"/>
      <c r="C14" s="102"/>
      <c r="D14" s="102"/>
      <c r="E14" s="102"/>
      <c r="F14" s="102"/>
      <c r="G14" s="102"/>
      <c r="H14" s="102"/>
      <c r="I14" s="102"/>
      <c r="J14" s="102"/>
      <c r="K14" s="102"/>
      <c r="L14" s="102"/>
      <c r="M14" s="87"/>
      <c r="N14" s="87"/>
      <c r="O14" s="87"/>
      <c r="P14" s="87"/>
      <c r="Q14" s="87"/>
      <c r="R14" s="87"/>
      <c r="S14" s="87"/>
      <c r="T14" s="87"/>
    </row>
    <row r="15" spans="1:20" ht="18" customHeight="1" thickBot="1" x14ac:dyDescent="0.35">
      <c r="A15" s="112" t="s">
        <v>1071</v>
      </c>
      <c r="B15" s="112" t="s">
        <v>1</v>
      </c>
      <c r="C15" s="112" t="s">
        <v>1036</v>
      </c>
      <c r="D15" s="112" t="s">
        <v>3</v>
      </c>
      <c r="E15" s="112" t="s">
        <v>2</v>
      </c>
      <c r="F15" s="112" t="s">
        <v>1144</v>
      </c>
      <c r="G15" s="112" t="s">
        <v>5</v>
      </c>
      <c r="H15" s="112" t="s">
        <v>6</v>
      </c>
      <c r="I15" s="112" t="s">
        <v>7</v>
      </c>
      <c r="J15" s="112" t="s">
        <v>1054</v>
      </c>
      <c r="K15" s="112" t="s">
        <v>748</v>
      </c>
      <c r="L15" s="112" t="s">
        <v>727</v>
      </c>
      <c r="M15" s="87"/>
      <c r="N15" s="87"/>
      <c r="O15" s="87"/>
      <c r="P15" s="87"/>
      <c r="Q15" s="87"/>
      <c r="R15" s="87"/>
      <c r="S15" s="87"/>
      <c r="T15" s="87"/>
    </row>
    <row r="16" spans="1:20" ht="17.25" thickTop="1" x14ac:dyDescent="0.3">
      <c r="A16" s="98" t="str" cm="1">
        <f t="array" ref="A16:L290">_xlfn._xlws.FILTER(_xlfn.HSTACK(colName,colDOI,IF(colDept=0,"",colDept),IF(colArea=0,"",colArea),IF(colSup=0,"",colSup),IF(colJTP=0,"",colJTP),IF(colType=0,"",colType),IF(colBody=0,"",colBody),IF(colESI=0,"",colESI),IF(colRec=0,"",colRec),colYear,IF(colMonth=0,"",colMonth)),fMask,"No records match the current filters")</f>
        <v>Joseph Gomez</v>
      </c>
      <c r="B16" s="99">
        <v>46227</v>
      </c>
      <c r="C16" s="98" t="str">
        <v>Harvest</v>
      </c>
      <c r="D16" s="100" t="str">
        <v>101</v>
      </c>
      <c r="E16" s="98" t="str">
        <v>Richard Xiong</v>
      </c>
      <c r="F16" s="98" t="str">
        <v>Shackler</v>
      </c>
      <c r="G16" s="98" t="str">
        <v xml:space="preserve">Foreign Object </v>
      </c>
      <c r="H16" s="115" t="str">
        <v>LT - Eye</v>
      </c>
      <c r="I16" s="100" t="str">
        <v>FA</v>
      </c>
      <c r="J16" s="100" t="str">
        <v>No</v>
      </c>
      <c r="K16" s="101">
        <v>2026</v>
      </c>
      <c r="L16" s="100" t="str">
        <v>July</v>
      </c>
      <c r="M16" s="87"/>
      <c r="N16" s="87"/>
      <c r="O16" s="87"/>
      <c r="P16" s="87"/>
      <c r="Q16" s="87"/>
      <c r="R16" s="87"/>
      <c r="S16" s="87"/>
      <c r="T16" s="87"/>
    </row>
    <row r="17" spans="1:20" ht="16.5" x14ac:dyDescent="0.3">
      <c r="A17" s="98" t="str">
        <v>Ceasar Saldana</v>
      </c>
      <c r="B17" s="99">
        <v>46226</v>
      </c>
      <c r="C17" s="98" t="str">
        <v>Maintenance</v>
      </c>
      <c r="D17" s="100" t="str">
        <v>Maintenance</v>
      </c>
      <c r="E17" s="98" t="str">
        <v>Jonathan Hernandez</v>
      </c>
      <c r="F17" s="98" t="str">
        <v>Electrician</v>
      </c>
      <c r="G17" s="98" t="str">
        <v>Electric Shock</v>
      </c>
      <c r="H17" s="115" t="str">
        <v>LT - Hand &amp; Forearm</v>
      </c>
      <c r="I17" s="100" t="str">
        <v>RPO</v>
      </c>
      <c r="J17" s="100" t="str">
        <v>No</v>
      </c>
      <c r="K17" s="101">
        <v>2026</v>
      </c>
      <c r="L17" s="100" t="str">
        <v>July</v>
      </c>
      <c r="M17" s="87"/>
      <c r="N17" s="87"/>
      <c r="O17" s="87"/>
      <c r="P17" s="87"/>
      <c r="Q17" s="87"/>
      <c r="R17" s="87"/>
      <c r="S17" s="87"/>
      <c r="T17" s="87"/>
    </row>
    <row r="18" spans="1:20" ht="16.5" x14ac:dyDescent="0.3">
      <c r="A18" s="98" t="str">
        <v>Irma Ortega</v>
      </c>
      <c r="B18" s="99">
        <v>46225</v>
      </c>
      <c r="C18" s="98" t="str">
        <v>Fabrication</v>
      </c>
      <c r="D18" s="100" t="str">
        <v>405</v>
      </c>
      <c r="E18" s="98" t="str">
        <v>Diego Soria</v>
      </c>
      <c r="F18" s="98" t="str">
        <v xml:space="preserve">Whizzard Knife Op. </v>
      </c>
      <c r="G18" s="98" t="str">
        <v>Strain</v>
      </c>
      <c r="H18" s="115" t="str">
        <v>RT - Wrist</v>
      </c>
      <c r="I18" s="100" t="str">
        <v>FA</v>
      </c>
      <c r="J18" s="100" t="str">
        <v>No</v>
      </c>
      <c r="K18" s="101">
        <v>2026</v>
      </c>
      <c r="L18" s="100" t="str">
        <v>July</v>
      </c>
      <c r="M18" s="87"/>
      <c r="N18" s="87"/>
      <c r="O18" s="87"/>
      <c r="P18" s="87"/>
      <c r="Q18" s="87"/>
      <c r="R18" s="87"/>
      <c r="S18" s="87"/>
      <c r="T18" s="87"/>
    </row>
    <row r="19" spans="1:20" ht="16.5" x14ac:dyDescent="0.3">
      <c r="A19" s="98" t="str">
        <v>Noe Frage Ruiz</v>
      </c>
      <c r="B19" s="99">
        <v>46225</v>
      </c>
      <c r="C19" s="98" t="str">
        <v>Fabrication</v>
      </c>
      <c r="D19" s="100" t="str">
        <v>410</v>
      </c>
      <c r="E19" s="98" t="str">
        <v>Juan Ramirez</v>
      </c>
      <c r="F19" s="98" t="str">
        <v xml:space="preserve">Chuck Boner </v>
      </c>
      <c r="G19" s="98" t="str">
        <v>Struck By-Against Object</v>
      </c>
      <c r="H19" s="115" t="str">
        <v>LT - Thumb</v>
      </c>
      <c r="I19" s="100" t="str">
        <v>RPO</v>
      </c>
      <c r="J19" s="100" t="str">
        <v>No</v>
      </c>
      <c r="K19" s="101">
        <v>2026</v>
      </c>
      <c r="L19" s="100" t="str">
        <v>July</v>
      </c>
      <c r="M19" s="87"/>
      <c r="N19" s="87"/>
      <c r="O19" s="87"/>
      <c r="P19" s="87"/>
      <c r="Q19" s="87"/>
      <c r="R19" s="87"/>
      <c r="S19" s="87"/>
      <c r="T19" s="87"/>
    </row>
    <row r="20" spans="1:20" ht="16.5" x14ac:dyDescent="0.3">
      <c r="A20" s="98" t="str">
        <v>Ramon Garcia</v>
      </c>
      <c r="B20" s="99">
        <v>46225</v>
      </c>
      <c r="C20" s="98" t="str">
        <v>Harvest</v>
      </c>
      <c r="D20" s="100" t="str">
        <v>101</v>
      </c>
      <c r="E20" s="98" t="str">
        <v>Richard Xiong</v>
      </c>
      <c r="F20" s="98" t="str">
        <v>2nd Hock Hang Off</v>
      </c>
      <c r="G20" s="98" t="str">
        <v>Slip, Trip, &amp; Fall</v>
      </c>
      <c r="H20" s="115" t="str">
        <v>NA</v>
      </c>
      <c r="I20" s="100" t="str">
        <v>RPO</v>
      </c>
      <c r="J20" s="100" t="str">
        <v>No</v>
      </c>
      <c r="K20" s="101">
        <v>2026</v>
      </c>
      <c r="L20" s="100" t="str">
        <v>July</v>
      </c>
      <c r="M20" s="87"/>
      <c r="N20" s="87"/>
      <c r="O20" s="87"/>
      <c r="P20" s="87"/>
      <c r="Q20" s="87"/>
      <c r="S20" s="87"/>
      <c r="T20" s="87"/>
    </row>
    <row r="21" spans="1:20" ht="16.5" x14ac:dyDescent="0.3">
      <c r="A21" s="98" t="str">
        <v xml:space="preserve">Jesus Bernal </v>
      </c>
      <c r="B21" s="99">
        <v>46224</v>
      </c>
      <c r="C21" s="98" t="str">
        <v>Corrals</v>
      </c>
      <c r="D21" s="100" t="str">
        <v>100</v>
      </c>
      <c r="E21" s="98" t="str">
        <v>Marilyn Herrera</v>
      </c>
      <c r="F21" s="98" t="str">
        <v>Herdsman</v>
      </c>
      <c r="G21" s="98" t="str">
        <v>Struck By Cattle</v>
      </c>
      <c r="H21" s="115" t="str">
        <v>RT - Shin/ Calf</v>
      </c>
      <c r="I21" s="100" t="str">
        <v>FA</v>
      </c>
      <c r="J21" s="100" t="str">
        <v>No</v>
      </c>
      <c r="K21" s="101">
        <v>2026</v>
      </c>
      <c r="L21" s="100" t="str">
        <v>July</v>
      </c>
      <c r="M21" s="87"/>
      <c r="N21" s="87"/>
      <c r="O21" s="87"/>
      <c r="P21" s="87"/>
      <c r="Q21" s="87"/>
      <c r="R21" s="87"/>
      <c r="S21" s="87"/>
      <c r="T21" s="87"/>
    </row>
    <row r="22" spans="1:20" ht="16.5" x14ac:dyDescent="0.3">
      <c r="A22" s="98" t="str">
        <v>Rudy Ramos</v>
      </c>
      <c r="B22" s="99">
        <v>46224</v>
      </c>
      <c r="C22" s="98" t="str">
        <v>Harvest</v>
      </c>
      <c r="D22" s="100" t="str">
        <v>101</v>
      </c>
      <c r="E22" s="98" t="str">
        <v>Richard Xiong</v>
      </c>
      <c r="F22" s="98" t="str">
        <v>Calf Skinner</v>
      </c>
      <c r="G22" s="98" t="str">
        <v>Abrasion</v>
      </c>
      <c r="H22" s="115" t="str">
        <v>RT - Ring Finger</v>
      </c>
      <c r="I22" s="100" t="str">
        <v>FA</v>
      </c>
      <c r="J22" s="100" t="str">
        <v>No</v>
      </c>
      <c r="K22" s="101">
        <v>2026</v>
      </c>
      <c r="L22" s="100" t="str">
        <v>July</v>
      </c>
      <c r="M22" s="87"/>
      <c r="N22" s="87"/>
      <c r="O22" s="87"/>
      <c r="P22" s="87"/>
      <c r="Q22" s="87"/>
      <c r="R22" s="87"/>
      <c r="S22" s="87"/>
      <c r="T22" s="87"/>
    </row>
    <row r="23" spans="1:20" ht="16.5" x14ac:dyDescent="0.3">
      <c r="A23" s="98" t="str">
        <v>Rosalba Oseguera Mendez</v>
      </c>
      <c r="B23" s="99">
        <v>46223</v>
      </c>
      <c r="C23" s="98" t="str">
        <v>Harvest</v>
      </c>
      <c r="D23" s="100" t="str">
        <v>102</v>
      </c>
      <c r="E23" s="98" t="str">
        <v>Alex Vargas</v>
      </c>
      <c r="F23" s="98" t="str">
        <v>2nd Hock Cutter</v>
      </c>
      <c r="G23" s="98" t="str">
        <v>Strain</v>
      </c>
      <c r="H23" s="115" t="str">
        <v>RT - Index Finger &amp; Elbow</v>
      </c>
      <c r="I23" s="100" t="str">
        <v>FA</v>
      </c>
      <c r="J23" s="100" t="str">
        <v>No</v>
      </c>
      <c r="K23" s="101">
        <v>2026</v>
      </c>
      <c r="L23" s="100" t="str">
        <v>July</v>
      </c>
      <c r="M23" s="87"/>
      <c r="N23" s="87"/>
      <c r="O23" s="87"/>
      <c r="P23" s="87"/>
      <c r="Q23" s="87"/>
      <c r="R23" s="87"/>
      <c r="S23" s="87"/>
      <c r="T23" s="87"/>
    </row>
    <row r="24" spans="1:20" ht="16.5" x14ac:dyDescent="0.3">
      <c r="A24" s="98" t="str">
        <v>Christopher Diaz</v>
      </c>
      <c r="B24" s="99">
        <v>46220</v>
      </c>
      <c r="C24" s="98" t="str">
        <v>Loading Dock</v>
      </c>
      <c r="D24" s="100" t="str">
        <v>Loading Dock</v>
      </c>
      <c r="E24" s="98" t="str">
        <v>Francisco Tapia</v>
      </c>
      <c r="F24" s="98" t="str">
        <v>Stacker</v>
      </c>
      <c r="G24" s="98" t="str">
        <v>Strain</v>
      </c>
      <c r="H24" s="115" t="str">
        <v>RT - Elbow</v>
      </c>
      <c r="I24" s="100" t="str">
        <v>FA</v>
      </c>
      <c r="J24" s="100" t="str">
        <v>No</v>
      </c>
      <c r="K24" s="101">
        <v>2026</v>
      </c>
      <c r="L24" s="100" t="str">
        <v>July</v>
      </c>
      <c r="M24" s="87"/>
      <c r="N24" s="87"/>
      <c r="O24" s="87"/>
      <c r="P24" s="87"/>
      <c r="Q24" s="87"/>
      <c r="R24" s="87"/>
      <c r="S24" s="87"/>
      <c r="T24" s="87"/>
    </row>
    <row r="25" spans="1:20" ht="16.5" x14ac:dyDescent="0.3">
      <c r="A25" s="98" t="str">
        <v>Eduardo Contreras</v>
      </c>
      <c r="B25" s="99">
        <v>46218</v>
      </c>
      <c r="C25" s="98" t="str">
        <v>Harvest</v>
      </c>
      <c r="D25" s="100" t="str">
        <v>102</v>
      </c>
      <c r="E25" s="98" t="str">
        <v>Alex Vargas</v>
      </c>
      <c r="F25" s="98" t="str">
        <v>Wax Papper Remover</v>
      </c>
      <c r="G25" s="98" t="str">
        <v>Rash</v>
      </c>
      <c r="H25" s="115" t="str">
        <v>LT - Forearm</v>
      </c>
      <c r="I25" s="100" t="str">
        <v>FA</v>
      </c>
      <c r="J25" s="100" t="str">
        <v>No</v>
      </c>
      <c r="K25" s="101">
        <v>2026</v>
      </c>
      <c r="L25" s="100" t="str">
        <v>July</v>
      </c>
      <c r="M25" s="87"/>
      <c r="N25" s="87"/>
      <c r="O25" s="87"/>
      <c r="P25" s="87"/>
      <c r="Q25" s="87"/>
      <c r="R25" s="87"/>
      <c r="S25" s="87"/>
      <c r="T25" s="87"/>
    </row>
    <row r="26" spans="1:20" ht="16.5" x14ac:dyDescent="0.3">
      <c r="A26" s="98" t="str">
        <v>Carlos Roman</v>
      </c>
      <c r="B26" s="99">
        <v>46217</v>
      </c>
      <c r="C26" s="98" t="str">
        <v>Buildings &amp; Grounds</v>
      </c>
      <c r="D26" s="100" t="str">
        <v>B&amp;G</v>
      </c>
      <c r="E26" s="98" t="str">
        <v>Christopher Moreno</v>
      </c>
      <c r="F26" s="98" t="str">
        <v>B&amp;G Maintenace</v>
      </c>
      <c r="G26" s="98" t="str">
        <v>Struck By-Against Object</v>
      </c>
      <c r="H26" s="115" t="str">
        <v>RT - Thumb</v>
      </c>
      <c r="I26" s="100" t="str">
        <v>FA</v>
      </c>
      <c r="J26" s="100" t="str">
        <v>No</v>
      </c>
      <c r="K26" s="101">
        <v>2026</v>
      </c>
      <c r="L26" s="100" t="str">
        <v>July</v>
      </c>
      <c r="M26" s="87"/>
      <c r="N26" s="87"/>
      <c r="O26" s="87"/>
      <c r="P26" s="87"/>
      <c r="Q26" s="87"/>
      <c r="R26" s="87"/>
      <c r="S26" s="87"/>
      <c r="T26" s="87"/>
    </row>
    <row r="27" spans="1:20" ht="16.5" x14ac:dyDescent="0.3">
      <c r="A27" s="98" t="str">
        <v>Maria Figueroa</v>
      </c>
      <c r="B27" s="99">
        <v>46217</v>
      </c>
      <c r="C27" s="98" t="str">
        <v>Harvest</v>
      </c>
      <c r="D27" s="100" t="str">
        <v>109</v>
      </c>
      <c r="E27" s="98" t="str">
        <v>Samuel Sierra</v>
      </c>
      <c r="F27" s="98" t="str">
        <v>Kidney Pack Off</v>
      </c>
      <c r="G27" s="98" t="str">
        <v>Burn</v>
      </c>
      <c r="H27" s="115" t="str">
        <v>RT - Forearm</v>
      </c>
      <c r="I27" s="100" t="str">
        <v>RPO</v>
      </c>
      <c r="J27" s="100" t="str">
        <v>No</v>
      </c>
      <c r="K27" s="101">
        <v>2026</v>
      </c>
      <c r="L27" s="100" t="str">
        <v>July</v>
      </c>
      <c r="M27" s="87"/>
      <c r="N27" s="87"/>
      <c r="O27" s="87"/>
      <c r="P27" s="87"/>
      <c r="Q27" s="87"/>
      <c r="R27" s="87"/>
      <c r="S27" s="87"/>
      <c r="T27" s="87"/>
    </row>
    <row r="28" spans="1:20" ht="16.5" x14ac:dyDescent="0.3">
      <c r="A28" s="98" t="str">
        <v>Ezequiel Ambriz</v>
      </c>
      <c r="B28" s="99">
        <v>46217</v>
      </c>
      <c r="C28" s="98" t="str">
        <v>Utilities</v>
      </c>
      <c r="D28" s="100" t="str">
        <v>Utilities</v>
      </c>
      <c r="E28" s="98" t="str">
        <v>Juan Murillo</v>
      </c>
      <c r="F28" s="98" t="str">
        <v>Utilility - Maintenance</v>
      </c>
      <c r="G28" s="98" t="str">
        <v>Burn</v>
      </c>
      <c r="H28" s="115" t="str">
        <v>RT - Forearm</v>
      </c>
      <c r="I28" s="100" t="str">
        <v>FA</v>
      </c>
      <c r="J28" s="100" t="str">
        <v>No</v>
      </c>
      <c r="K28" s="101">
        <v>2026</v>
      </c>
      <c r="L28" s="100" t="str">
        <v>July</v>
      </c>
      <c r="M28" s="87"/>
      <c r="N28" s="87"/>
      <c r="O28" s="87"/>
      <c r="P28" s="87"/>
      <c r="Q28" s="87"/>
      <c r="R28" s="87"/>
      <c r="S28" s="87"/>
      <c r="T28" s="87"/>
    </row>
    <row r="29" spans="1:20" ht="16.5" x14ac:dyDescent="0.3">
      <c r="A29" s="98" t="str">
        <v>Jonny Garcia</v>
      </c>
      <c r="B29" s="99">
        <v>46217</v>
      </c>
      <c r="C29" s="98" t="str">
        <v>Corrals</v>
      </c>
      <c r="D29" s="100" t="str">
        <v>100</v>
      </c>
      <c r="E29" s="98" t="str">
        <v>Marilyn Herrera</v>
      </c>
      <c r="F29" s="98" t="str">
        <v>Herdsman</v>
      </c>
      <c r="G29" s="98" t="str">
        <v>Struck By Cattle</v>
      </c>
      <c r="H29" s="115" t="str">
        <v>RT - Calf/ Shin</v>
      </c>
      <c r="I29" s="100" t="str">
        <v>RPO</v>
      </c>
      <c r="J29" s="100" t="str">
        <v>No</v>
      </c>
      <c r="K29" s="101">
        <v>2026</v>
      </c>
      <c r="L29" s="100" t="str">
        <v>July</v>
      </c>
      <c r="M29" s="87"/>
      <c r="N29" s="87"/>
      <c r="O29" s="87"/>
      <c r="P29" s="87"/>
      <c r="Q29" s="87"/>
      <c r="R29" s="87"/>
      <c r="S29" s="87"/>
      <c r="T29" s="87"/>
    </row>
    <row r="30" spans="1:20" ht="16.5" x14ac:dyDescent="0.3">
      <c r="A30" s="98" t="str">
        <v>Richie Glass</v>
      </c>
      <c r="B30" s="99">
        <v>46216</v>
      </c>
      <c r="C30" s="98" t="str">
        <v>FSQA</v>
      </c>
      <c r="D30" s="100" t="str">
        <v>Fab FSQA</v>
      </c>
      <c r="E30" s="98" t="str">
        <v>Rene Canas</v>
      </c>
      <c r="F30" s="98" t="str">
        <v>QA Tech</v>
      </c>
      <c r="G30" s="98" t="str">
        <v>Slip, Trip, &amp; Fall</v>
      </c>
      <c r="H30" s="115" t="str">
        <v>No Injury</v>
      </c>
      <c r="I30" s="100" t="str">
        <v>RPO</v>
      </c>
      <c r="J30" s="100" t="str">
        <v>No</v>
      </c>
      <c r="K30" s="101">
        <v>2026</v>
      </c>
      <c r="L30" s="100" t="str">
        <v>July</v>
      </c>
      <c r="M30" s="87"/>
      <c r="N30" s="87"/>
      <c r="O30" s="87"/>
      <c r="P30" s="87"/>
      <c r="Q30" s="87"/>
      <c r="R30" s="87"/>
      <c r="S30" s="87"/>
      <c r="T30" s="87"/>
    </row>
    <row r="31" spans="1:20" ht="16.5" x14ac:dyDescent="0.3">
      <c r="A31" s="98" t="str">
        <v>Michael Montelongo</v>
      </c>
      <c r="B31" s="99">
        <v>46213</v>
      </c>
      <c r="C31" s="98" t="str">
        <v>Fabrication</v>
      </c>
      <c r="D31" s="100" t="str">
        <v>420</v>
      </c>
      <c r="E31" s="98" t="str">
        <v>Elizabeth Neufeld</v>
      </c>
      <c r="F31" s="98" t="str">
        <v>New York Boner</v>
      </c>
      <c r="G31" s="98" t="str">
        <v>Strain</v>
      </c>
      <c r="H31" s="115" t="str">
        <v>RT - Wrist</v>
      </c>
      <c r="I31" s="100" t="str">
        <v>FA</v>
      </c>
      <c r="J31" s="100" t="str">
        <v>No</v>
      </c>
      <c r="K31" s="101">
        <v>2026</v>
      </c>
      <c r="L31" s="100" t="str">
        <v>July</v>
      </c>
      <c r="M31" s="87"/>
      <c r="N31" s="87"/>
      <c r="O31" s="87"/>
      <c r="P31" s="87"/>
      <c r="Q31" s="87"/>
      <c r="R31" s="87"/>
      <c r="S31" s="87"/>
      <c r="T31" s="87"/>
    </row>
    <row r="32" spans="1:20" ht="16.5" x14ac:dyDescent="0.3">
      <c r="A32" s="98" t="str">
        <v>Rudy Gallegos</v>
      </c>
      <c r="B32" s="99">
        <v>46213</v>
      </c>
      <c r="C32" s="98" t="str">
        <v>Harvest</v>
      </c>
      <c r="D32" s="100" t="str">
        <v>110</v>
      </c>
      <c r="E32" s="98" t="str">
        <v>Samuel Sierra</v>
      </c>
      <c r="F32" s="98" t="str">
        <v>Cooler Pack Off</v>
      </c>
      <c r="G32" s="98" t="str">
        <v>Struck by against object</v>
      </c>
      <c r="H32" s="115" t="str">
        <v>RT - Thumb</v>
      </c>
      <c r="I32" s="100" t="str">
        <v>FA</v>
      </c>
      <c r="J32" s="100" t="str">
        <v>No</v>
      </c>
      <c r="K32" s="101">
        <v>2026</v>
      </c>
      <c r="L32" s="100" t="str">
        <v>July</v>
      </c>
      <c r="M32" s="87"/>
      <c r="N32" s="87"/>
      <c r="O32" s="87"/>
      <c r="P32" s="87"/>
      <c r="Q32" s="87"/>
      <c r="R32" s="87"/>
      <c r="S32" s="87"/>
      <c r="T32" s="87"/>
    </row>
    <row r="33" spans="1:20" ht="16.5" x14ac:dyDescent="0.3">
      <c r="A33" s="98" t="str">
        <v>Osbaldo Santiago</v>
      </c>
      <c r="B33" s="99">
        <v>46213</v>
      </c>
      <c r="C33" s="98" t="str">
        <v>Harvest</v>
      </c>
      <c r="D33" s="100" t="str">
        <v>102</v>
      </c>
      <c r="E33" s="98" t="str">
        <v>Alex Vargas</v>
      </c>
      <c r="F33" s="98" t="str">
        <v xml:space="preserve">Whizzard Knife Op. </v>
      </c>
      <c r="G33" s="98" t="str">
        <v>Strain</v>
      </c>
      <c r="H33" s="115" t="str">
        <v>RT - Ring Finger</v>
      </c>
      <c r="I33" s="100" t="str">
        <v>RPO</v>
      </c>
      <c r="J33" s="100" t="str">
        <v>No</v>
      </c>
      <c r="K33" s="101">
        <v>2026</v>
      </c>
      <c r="L33" s="100" t="str">
        <v>July</v>
      </c>
      <c r="M33" s="87"/>
      <c r="N33" s="87"/>
      <c r="O33" s="87"/>
      <c r="P33" s="87"/>
      <c r="Q33" s="87"/>
      <c r="R33" s="87"/>
      <c r="S33" s="87"/>
      <c r="T33" s="87"/>
    </row>
    <row r="34" spans="1:20" ht="16.5" x14ac:dyDescent="0.3">
      <c r="A34" s="98" t="str">
        <v>Claudia Estrada Cruz</v>
      </c>
      <c r="B34" s="99">
        <v>46212</v>
      </c>
      <c r="C34" s="98" t="str">
        <v>Fabrication</v>
      </c>
      <c r="D34" s="100" t="str">
        <v>420</v>
      </c>
      <c r="E34" s="98" t="str">
        <v>Elizabeth Neufeld</v>
      </c>
      <c r="F34" s="98" t="str">
        <v>Sorter</v>
      </c>
      <c r="G34" s="98" t="str">
        <v>Puncture</v>
      </c>
      <c r="H34" s="115" t="str">
        <v>LT - Palm</v>
      </c>
      <c r="I34" s="100" t="str">
        <v>FA</v>
      </c>
      <c r="J34" s="100" t="str">
        <v>No</v>
      </c>
      <c r="K34" s="101">
        <v>2026</v>
      </c>
      <c r="L34" s="100" t="str">
        <v>July</v>
      </c>
      <c r="M34" s="87"/>
      <c r="N34" s="87"/>
      <c r="O34" s="87"/>
      <c r="P34" s="87"/>
      <c r="Q34" s="87"/>
      <c r="R34" s="87"/>
      <c r="S34" s="87"/>
      <c r="T34" s="87"/>
    </row>
    <row r="35" spans="1:20" ht="16.5" x14ac:dyDescent="0.3">
      <c r="A35" s="98" t="str">
        <v>Jonathan Campas</v>
      </c>
      <c r="B35" s="99">
        <v>46212</v>
      </c>
      <c r="C35" s="98" t="str">
        <v>Harvest</v>
      </c>
      <c r="D35" s="100" t="str">
        <v>107</v>
      </c>
      <c r="E35" s="98" t="str">
        <v>Samuel Sierra</v>
      </c>
      <c r="F35" s="98" t="str">
        <v>Cheek Deboner</v>
      </c>
      <c r="G35" s="98" t="str">
        <v xml:space="preserve">Foreign Object </v>
      </c>
      <c r="H35" s="115" t="str">
        <v>RT - Eye</v>
      </c>
      <c r="I35" s="100" t="str">
        <v>FA</v>
      </c>
      <c r="J35" s="100" t="str">
        <v>No</v>
      </c>
      <c r="K35" s="101">
        <v>2026</v>
      </c>
      <c r="L35" s="100" t="str">
        <v>July</v>
      </c>
      <c r="M35" s="87"/>
      <c r="N35" s="87"/>
      <c r="O35" s="87"/>
      <c r="P35" s="87"/>
      <c r="Q35" s="87"/>
      <c r="R35" s="87"/>
      <c r="S35" s="87"/>
      <c r="T35" s="87"/>
    </row>
    <row r="36" spans="1:20" ht="16.5" x14ac:dyDescent="0.3">
      <c r="A36" s="98" t="str">
        <v>Daisy Sotelo</v>
      </c>
      <c r="B36" s="99">
        <v>46212</v>
      </c>
      <c r="C36" s="98" t="str">
        <v>Harvest</v>
      </c>
      <c r="D36" s="100" t="str">
        <v>109</v>
      </c>
      <c r="E36" s="98" t="str">
        <v>Samuel Sierra</v>
      </c>
      <c r="F36" s="98" t="str">
        <v>Offal Floater</v>
      </c>
      <c r="G36" s="98" t="str">
        <v>Strain</v>
      </c>
      <c r="H36" s="115" t="str">
        <v>RT - Ring Finger</v>
      </c>
      <c r="I36" s="100" t="str">
        <v>FA</v>
      </c>
      <c r="J36" s="100" t="str">
        <v>No</v>
      </c>
      <c r="K36" s="101">
        <v>2026</v>
      </c>
      <c r="L36" s="100" t="str">
        <v>July</v>
      </c>
      <c r="M36" s="87"/>
      <c r="N36" s="87"/>
      <c r="O36" s="87"/>
      <c r="P36" s="87"/>
      <c r="Q36" s="87"/>
      <c r="R36" s="87"/>
      <c r="S36" s="87"/>
      <c r="T36" s="87"/>
    </row>
    <row r="37" spans="1:20" ht="16.5" x14ac:dyDescent="0.3">
      <c r="A37" s="98" t="str">
        <v>Mason Ojeda</v>
      </c>
      <c r="B37" s="99">
        <v>46212</v>
      </c>
      <c r="C37" s="98" t="str">
        <v>Corrals</v>
      </c>
      <c r="D37" s="100" t="str">
        <v>100</v>
      </c>
      <c r="E37" s="98" t="str">
        <v>Marilyn Herrera</v>
      </c>
      <c r="F37" s="98" t="str">
        <v>Herdsman</v>
      </c>
      <c r="G37" s="98" t="str">
        <v xml:space="preserve">Foreign Object </v>
      </c>
      <c r="H37" s="115" t="str">
        <v>LT - Eye</v>
      </c>
      <c r="I37" s="100" t="str">
        <v>RPO</v>
      </c>
      <c r="J37" s="100" t="str">
        <v>No</v>
      </c>
      <c r="K37" s="101">
        <v>2026</v>
      </c>
      <c r="L37" s="100" t="str">
        <v>July</v>
      </c>
      <c r="M37" s="87"/>
      <c r="N37" s="87"/>
      <c r="O37" s="87"/>
      <c r="P37" s="87"/>
      <c r="Q37" s="87"/>
      <c r="R37" s="87"/>
      <c r="S37" s="87"/>
      <c r="T37" s="87"/>
    </row>
    <row r="38" spans="1:20" ht="16.5" x14ac:dyDescent="0.3">
      <c r="A38" s="98" t="str">
        <v>Pisperema Amaya</v>
      </c>
      <c r="B38" s="99">
        <v>46212</v>
      </c>
      <c r="C38" s="98" t="str">
        <v>Harvest</v>
      </c>
      <c r="D38" s="100" t="str">
        <v>109</v>
      </c>
      <c r="E38" s="98" t="str">
        <v>Samuel Sierra</v>
      </c>
      <c r="F38" s="98" t="str">
        <v>Pack Off</v>
      </c>
      <c r="G38" s="98" t="str">
        <v>Strain</v>
      </c>
      <c r="H38" s="115" t="str">
        <v>Lower Back</v>
      </c>
      <c r="I38" s="100" t="str">
        <v>FA</v>
      </c>
      <c r="J38" s="100" t="str">
        <v>No</v>
      </c>
      <c r="K38" s="101">
        <v>2026</v>
      </c>
      <c r="L38" s="100" t="str">
        <v>July</v>
      </c>
      <c r="M38" s="87"/>
      <c r="N38" s="87"/>
      <c r="O38" s="87"/>
      <c r="P38" s="87"/>
      <c r="Q38" s="87"/>
      <c r="R38" s="87"/>
      <c r="S38" s="87"/>
      <c r="T38" s="87"/>
    </row>
    <row r="39" spans="1:20" ht="16.5" x14ac:dyDescent="0.3">
      <c r="A39" s="98" t="str">
        <v>Hector Razo</v>
      </c>
      <c r="B39" s="99">
        <v>46211</v>
      </c>
      <c r="C39" s="98" t="str">
        <v>Buildings &amp; Grounds</v>
      </c>
      <c r="D39" s="100" t="str">
        <v>B&amp;G</v>
      </c>
      <c r="E39" s="98" t="str">
        <v>Christopher Moreno</v>
      </c>
      <c r="F39" s="98" t="str">
        <v>B&amp;G Maintenace</v>
      </c>
      <c r="G39" s="98" t="str">
        <v>Insect Bite/ Sting</v>
      </c>
      <c r="H39" s="115" t="str">
        <v>Cranial (Front)</v>
      </c>
      <c r="I39" s="100" t="str">
        <v>RPO</v>
      </c>
      <c r="J39" s="100" t="str">
        <v>No</v>
      </c>
      <c r="K39" s="101">
        <v>2026</v>
      </c>
      <c r="L39" s="100" t="str">
        <v>July</v>
      </c>
      <c r="M39" s="87"/>
      <c r="N39" s="87"/>
      <c r="O39" s="87"/>
      <c r="P39" s="87"/>
      <c r="Q39" s="87"/>
      <c r="R39" s="87"/>
      <c r="S39" s="87"/>
      <c r="T39" s="87"/>
    </row>
    <row r="40" spans="1:20" ht="16.5" x14ac:dyDescent="0.3">
      <c r="A40" s="98" t="str">
        <v>Apolinar Basilio</v>
      </c>
      <c r="B40" s="99">
        <v>46211</v>
      </c>
      <c r="C40" s="98" t="str">
        <v>Fabrication</v>
      </c>
      <c r="D40" s="100" t="str">
        <v>447</v>
      </c>
      <c r="E40" s="98" t="str">
        <v>Maria Garcia</v>
      </c>
      <c r="F40" s="98" t="str">
        <v>Glue Boxer</v>
      </c>
      <c r="G40" s="98" t="str">
        <v>Struck by Equipment</v>
      </c>
      <c r="H40" s="115" t="str">
        <v>RT - Heel</v>
      </c>
      <c r="I40" s="100" t="str">
        <v>FA</v>
      </c>
      <c r="J40" s="100" t="str">
        <v>No</v>
      </c>
      <c r="K40" s="101">
        <v>2026</v>
      </c>
      <c r="L40" s="100" t="str">
        <v>July</v>
      </c>
      <c r="M40" s="87"/>
      <c r="N40" s="87"/>
      <c r="O40" s="87"/>
      <c r="P40" s="87"/>
      <c r="Q40" s="87"/>
      <c r="R40" s="87"/>
      <c r="S40" s="87"/>
      <c r="T40" s="87"/>
    </row>
    <row r="41" spans="1:20" ht="16.5" x14ac:dyDescent="0.3">
      <c r="A41" s="98" t="str">
        <v>Mayra Solarte</v>
      </c>
      <c r="B41" s="99">
        <v>46211</v>
      </c>
      <c r="C41" s="98" t="str">
        <v>Harvest</v>
      </c>
      <c r="D41" s="100" t="str">
        <v>102</v>
      </c>
      <c r="E41" s="98" t="str">
        <v>Alex Vargas</v>
      </c>
      <c r="F41" s="98" t="str">
        <v>Whizzard Knife Operator</v>
      </c>
      <c r="G41" s="98" t="str">
        <v>Strain</v>
      </c>
      <c r="H41" s="115" t="str">
        <v>RT - Wrist</v>
      </c>
      <c r="I41" s="100" t="str">
        <v>RPO</v>
      </c>
      <c r="J41" s="100" t="str">
        <v>No</v>
      </c>
      <c r="K41" s="101">
        <v>2026</v>
      </c>
      <c r="L41" s="100" t="str">
        <v>July</v>
      </c>
      <c r="M41" s="87"/>
      <c r="N41" s="87"/>
      <c r="O41" s="87"/>
      <c r="P41" s="87"/>
      <c r="Q41" s="87"/>
      <c r="R41" s="87"/>
      <c r="S41" s="87"/>
      <c r="T41" s="87"/>
    </row>
    <row r="42" spans="1:20" ht="16.5" x14ac:dyDescent="0.3">
      <c r="A42" s="98" t="str">
        <v>Vilma De Jesus Gomez</v>
      </c>
      <c r="B42" s="99">
        <v>46211</v>
      </c>
      <c r="C42" s="98" t="str">
        <v>Fabrication</v>
      </c>
      <c r="D42" s="100" t="str">
        <v>447</v>
      </c>
      <c r="E42" s="98" t="str">
        <v>Maria Garcia</v>
      </c>
      <c r="F42" s="98" t="str">
        <v>Pack Off</v>
      </c>
      <c r="G42" s="98" t="str">
        <v>Strain</v>
      </c>
      <c r="H42" s="115" t="str">
        <v xml:space="preserve">RT - Lower Back  </v>
      </c>
      <c r="I42" s="100" t="str">
        <v>FA</v>
      </c>
      <c r="J42" s="100" t="str">
        <v>No</v>
      </c>
      <c r="K42" s="101">
        <v>2026</v>
      </c>
      <c r="L42" s="100" t="str">
        <v>July</v>
      </c>
      <c r="M42" s="87"/>
      <c r="N42" s="87"/>
      <c r="O42" s="87"/>
      <c r="P42" s="87"/>
      <c r="Q42" s="87"/>
      <c r="R42" s="87"/>
      <c r="S42" s="87"/>
      <c r="T42" s="87"/>
    </row>
    <row r="43" spans="1:20" ht="16.5" x14ac:dyDescent="0.3">
      <c r="A43" s="98" t="str">
        <v>Victor Garcia</v>
      </c>
      <c r="B43" s="99">
        <v>46211</v>
      </c>
      <c r="C43" s="98" t="str">
        <v>Fabrication</v>
      </c>
      <c r="D43" s="100" t="str">
        <v>429</v>
      </c>
      <c r="E43" s="98" t="str">
        <v>Chadu Moua</v>
      </c>
      <c r="F43" s="98" t="str">
        <v>Housekeeping</v>
      </c>
      <c r="G43" s="98" t="str">
        <v>No Injury</v>
      </c>
      <c r="H43" s="115" t="str">
        <v>LT - Foot</v>
      </c>
      <c r="I43" s="100" t="str">
        <v>RPO</v>
      </c>
      <c r="J43" s="100" t="str">
        <v>No</v>
      </c>
      <c r="K43" s="101">
        <v>2026</v>
      </c>
      <c r="L43" s="100" t="str">
        <v>July</v>
      </c>
      <c r="M43" s="87"/>
      <c r="N43" s="87"/>
      <c r="O43" s="87"/>
      <c r="P43" s="87"/>
      <c r="Q43" s="87"/>
      <c r="R43" s="87"/>
      <c r="S43" s="87"/>
      <c r="T43" s="87"/>
    </row>
    <row r="44" spans="1:20" ht="16.5" x14ac:dyDescent="0.3">
      <c r="A44" s="98" t="str">
        <v>Rosalba Osguera</v>
      </c>
      <c r="B44" s="99">
        <v>46210</v>
      </c>
      <c r="C44" s="98" t="str">
        <v>Harvest</v>
      </c>
      <c r="D44" s="100" t="str">
        <v>102</v>
      </c>
      <c r="E44" s="98" t="str">
        <v>Alex Vargas</v>
      </c>
      <c r="F44" s="98" t="str">
        <v>2nd Shank Cutter</v>
      </c>
      <c r="G44" s="98" t="str">
        <v>Burn</v>
      </c>
      <c r="H44" s="115" t="str">
        <v>RT - Arm</v>
      </c>
      <c r="I44" s="100" t="str">
        <v>FA</v>
      </c>
      <c r="J44" s="100" t="str">
        <v>No</v>
      </c>
      <c r="K44" s="101">
        <v>2026</v>
      </c>
      <c r="L44" s="100" t="str">
        <v>July</v>
      </c>
      <c r="M44" s="87"/>
      <c r="N44" s="87"/>
      <c r="O44" s="87"/>
      <c r="P44" s="87"/>
      <c r="Q44" s="87"/>
      <c r="R44" s="87"/>
      <c r="S44" s="87"/>
      <c r="T44" s="87"/>
    </row>
    <row r="45" spans="1:20" ht="16.5" x14ac:dyDescent="0.3">
      <c r="A45" s="98" t="str">
        <v>Roman Morales</v>
      </c>
      <c r="B45" s="99">
        <v>46210</v>
      </c>
      <c r="C45" s="98" t="str">
        <v>Harvest</v>
      </c>
      <c r="D45" s="100" t="str">
        <v>105</v>
      </c>
      <c r="E45" s="98" t="str">
        <v>Michael Orozco</v>
      </c>
      <c r="F45" s="98" t="str">
        <v>Split Saw Operator</v>
      </c>
      <c r="G45" s="98" t="str">
        <v>Strain</v>
      </c>
      <c r="H45" s="115" t="str">
        <v>LT - Forearm</v>
      </c>
      <c r="I45" s="100" t="str">
        <v>FA</v>
      </c>
      <c r="J45" s="100" t="str">
        <v>No</v>
      </c>
      <c r="K45" s="101">
        <v>2026</v>
      </c>
      <c r="L45" s="100" t="str">
        <v>July</v>
      </c>
      <c r="M45" s="87"/>
      <c r="N45" s="87"/>
      <c r="O45" s="87"/>
      <c r="P45" s="87"/>
      <c r="Q45" s="87"/>
      <c r="R45" s="87"/>
      <c r="S45" s="87"/>
      <c r="T45" s="87"/>
    </row>
    <row r="46" spans="1:20" ht="16.5" x14ac:dyDescent="0.3">
      <c r="A46" s="98" t="str">
        <v>Angel Estrada</v>
      </c>
      <c r="B46" s="99">
        <v>46210</v>
      </c>
      <c r="C46" s="98" t="str">
        <v>Maintenance</v>
      </c>
      <c r="D46" s="100" t="str">
        <v>Maintenance</v>
      </c>
      <c r="E46" s="98" t="str">
        <v>Kamran Tavagar</v>
      </c>
      <c r="F46" s="98" t="str">
        <v>FAB Maintenance Lead</v>
      </c>
      <c r="G46" s="98" t="str">
        <v>Slip, Trip, &amp; Fall</v>
      </c>
      <c r="H46" s="115" t="str">
        <v>RT - Upper Back</v>
      </c>
      <c r="I46" s="100" t="str">
        <v>RPO</v>
      </c>
      <c r="J46" s="100" t="str">
        <v>No</v>
      </c>
      <c r="K46" s="101">
        <v>2026</v>
      </c>
      <c r="L46" s="100" t="str">
        <v>July</v>
      </c>
      <c r="M46" s="87"/>
      <c r="N46" s="87"/>
      <c r="O46" s="87"/>
      <c r="P46" s="87"/>
      <c r="Q46" s="87"/>
      <c r="R46" s="87"/>
      <c r="S46" s="87"/>
      <c r="T46" s="87"/>
    </row>
    <row r="47" spans="1:20" ht="16.5" x14ac:dyDescent="0.3">
      <c r="A47" s="98" t="str">
        <v>China Bonner</v>
      </c>
      <c r="B47" s="99">
        <v>46206</v>
      </c>
      <c r="C47" s="98" t="str">
        <v>Fabrication</v>
      </c>
      <c r="D47" s="100" t="str">
        <v>420</v>
      </c>
      <c r="E47" s="98" t="str">
        <v>Elizabeth Neufeld</v>
      </c>
      <c r="F47" s="98" t="str">
        <v>Strip Trimmer</v>
      </c>
      <c r="G47" s="98" t="str">
        <v xml:space="preserve">Foreign Object </v>
      </c>
      <c r="H47" s="115" t="str">
        <v>LT - Eye</v>
      </c>
      <c r="I47" s="100" t="str">
        <v>FA</v>
      </c>
      <c r="J47" s="100" t="str">
        <v>No</v>
      </c>
      <c r="K47" s="101">
        <v>2026</v>
      </c>
      <c r="L47" s="100" t="str">
        <v>July</v>
      </c>
      <c r="M47" s="87"/>
      <c r="N47" s="87"/>
      <c r="O47" s="87"/>
      <c r="P47" s="87"/>
      <c r="Q47" s="87"/>
      <c r="R47" s="87"/>
      <c r="S47" s="87"/>
      <c r="T47" s="87"/>
    </row>
    <row r="48" spans="1:20" ht="16.5" x14ac:dyDescent="0.3">
      <c r="A48" s="98" t="str">
        <v>Victoria Vazquez</v>
      </c>
      <c r="B48" s="99">
        <v>46206</v>
      </c>
      <c r="C48" s="98" t="str">
        <v>Harvest</v>
      </c>
      <c r="D48" s="100" t="str">
        <v>105</v>
      </c>
      <c r="E48" s="98" t="str">
        <v>Michael Orozco</v>
      </c>
      <c r="F48" s="98" t="str">
        <v>Carcass Tagger</v>
      </c>
      <c r="G48" s="98" t="str">
        <v>Inhalation / Reaction</v>
      </c>
      <c r="H48" s="115" t="str">
        <v>Chest</v>
      </c>
      <c r="I48" s="100" t="str">
        <v>RPO</v>
      </c>
      <c r="J48" s="100" t="str">
        <v>No</v>
      </c>
      <c r="K48" s="101">
        <v>2026</v>
      </c>
      <c r="L48" s="100" t="str">
        <v>July</v>
      </c>
      <c r="M48" s="87"/>
      <c r="N48" s="87"/>
      <c r="O48" s="87"/>
      <c r="P48" s="87"/>
      <c r="Q48" s="87"/>
      <c r="R48" s="87"/>
      <c r="S48" s="87"/>
      <c r="T48" s="87"/>
    </row>
    <row r="49" spans="1:20" ht="16.5" x14ac:dyDescent="0.3">
      <c r="A49" s="98" t="str">
        <v>Adolfo Aguilera</v>
      </c>
      <c r="B49" s="99">
        <v>46206</v>
      </c>
      <c r="C49" s="98" t="str">
        <v>Harvest</v>
      </c>
      <c r="D49" s="100" t="str">
        <v>100</v>
      </c>
      <c r="E49" s="98" t="str">
        <v>Marilyn Herrera</v>
      </c>
      <c r="F49" s="98" t="str">
        <v>Cattle Pusher</v>
      </c>
      <c r="G49" s="98" t="str">
        <v>Crush Injury</v>
      </c>
      <c r="H49" s="115" t="str">
        <v>RT - Thumb Area</v>
      </c>
      <c r="I49" s="100" t="str">
        <v>FA</v>
      </c>
      <c r="J49" s="100" t="str">
        <v>No</v>
      </c>
      <c r="K49" s="101">
        <v>2026</v>
      </c>
      <c r="L49" s="100" t="str">
        <v>July</v>
      </c>
      <c r="M49" s="87"/>
      <c r="N49" s="87"/>
      <c r="O49" s="87"/>
      <c r="P49" s="87"/>
      <c r="Q49" s="87"/>
      <c r="R49" s="87"/>
      <c r="S49" s="87"/>
      <c r="T49" s="87"/>
    </row>
    <row r="50" spans="1:20" ht="16.5" x14ac:dyDescent="0.3">
      <c r="A50" s="98" t="str">
        <v>Sopheap Pos</v>
      </c>
      <c r="B50" s="99">
        <v>46206</v>
      </c>
      <c r="C50" s="98" t="str">
        <v>Fabrication</v>
      </c>
      <c r="D50" s="100" t="str">
        <v>410</v>
      </c>
      <c r="E50" s="98" t="str">
        <v>Juan Ramirez</v>
      </c>
      <c r="F50" s="98" t="str">
        <v>Tender Trimmer</v>
      </c>
      <c r="G50" s="98" t="str">
        <v>Slip, Trip, &amp; Fall</v>
      </c>
      <c r="H50" s="115" t="str">
        <v>No Injury</v>
      </c>
      <c r="I50" s="100" t="str">
        <v>RPO</v>
      </c>
      <c r="J50" s="100" t="str">
        <v>No</v>
      </c>
      <c r="K50" s="101">
        <v>2026</v>
      </c>
      <c r="L50" s="100" t="str">
        <v>July</v>
      </c>
      <c r="M50" s="87"/>
      <c r="N50" s="87"/>
      <c r="O50" s="87"/>
      <c r="P50" s="87"/>
      <c r="Q50" s="87"/>
      <c r="R50" s="87"/>
      <c r="S50" s="87"/>
      <c r="T50" s="87"/>
    </row>
    <row r="51" spans="1:20" ht="16.5" x14ac:dyDescent="0.3">
      <c r="A51" s="98" t="str">
        <v>Jasmine Gonzalez</v>
      </c>
      <c r="B51" s="99">
        <v>46206</v>
      </c>
      <c r="C51" s="98" t="str">
        <v>Harvest</v>
      </c>
      <c r="D51" s="100" t="str">
        <v>102</v>
      </c>
      <c r="E51" s="98" t="str">
        <v>Alex Vargas</v>
      </c>
      <c r="F51" s="98" t="str">
        <v>Whizzard Knife Operator</v>
      </c>
      <c r="G51" s="98" t="str">
        <v>Strain</v>
      </c>
      <c r="H51" s="115" t="str">
        <v>RT - Wrist</v>
      </c>
      <c r="I51" s="100" t="str">
        <v>FA</v>
      </c>
      <c r="J51" s="100" t="str">
        <v>No</v>
      </c>
      <c r="K51" s="101">
        <v>2026</v>
      </c>
      <c r="L51" s="100" t="str">
        <v>July</v>
      </c>
      <c r="M51" s="87"/>
      <c r="N51" s="87"/>
      <c r="O51" s="87"/>
      <c r="P51" s="87"/>
      <c r="Q51" s="87"/>
      <c r="R51" s="87"/>
      <c r="S51" s="87"/>
      <c r="T51" s="87"/>
    </row>
    <row r="52" spans="1:20" ht="16.5" x14ac:dyDescent="0.3">
      <c r="A52" s="98" t="str">
        <v>Lebrado Avila</v>
      </c>
      <c r="B52" s="99">
        <v>46205</v>
      </c>
      <c r="C52" s="98" t="str">
        <v>Fabrication</v>
      </c>
      <c r="D52" s="100" t="str">
        <v>429</v>
      </c>
      <c r="E52" s="98" t="str">
        <v>Chadu Moua</v>
      </c>
      <c r="F52" s="98" t="str">
        <v>Trim Roamer</v>
      </c>
      <c r="G52" s="98" t="str">
        <v xml:space="preserve">Crush Injury </v>
      </c>
      <c r="H52" s="115" t="str">
        <v>LT - Foot</v>
      </c>
      <c r="I52" s="100" t="str">
        <v>RPO</v>
      </c>
      <c r="J52" s="100" t="str">
        <v>No</v>
      </c>
      <c r="K52" s="101">
        <v>2026</v>
      </c>
      <c r="L52" s="100" t="str">
        <v>July</v>
      </c>
      <c r="M52" s="87"/>
      <c r="N52" s="87"/>
      <c r="O52" s="87"/>
      <c r="P52" s="87"/>
      <c r="Q52" s="87"/>
      <c r="R52" s="87"/>
      <c r="S52" s="87"/>
      <c r="T52" s="87"/>
    </row>
    <row r="53" spans="1:20" ht="16.5" x14ac:dyDescent="0.3">
      <c r="A53" s="98" t="str">
        <v>Edgar Hernandez</v>
      </c>
      <c r="B53" s="99">
        <v>46205</v>
      </c>
      <c r="C53" s="98" t="str">
        <v>Harvest</v>
      </c>
      <c r="D53" s="100" t="str">
        <v>102</v>
      </c>
      <c r="E53" s="98" t="str">
        <v>Alex Vargas</v>
      </c>
      <c r="F53" s="98" t="str">
        <v>Tail Cut Hang</v>
      </c>
      <c r="G53" s="98" t="str">
        <v>Burn</v>
      </c>
      <c r="H53" s="115" t="str">
        <v>RT - Obdominal</v>
      </c>
      <c r="I53" s="100" t="str">
        <v>FA</v>
      </c>
      <c r="J53" s="100" t="str">
        <v>No</v>
      </c>
      <c r="K53" s="101">
        <v>2026</v>
      </c>
      <c r="L53" s="100" t="str">
        <v>July</v>
      </c>
      <c r="M53" s="87"/>
      <c r="N53" s="87"/>
      <c r="O53" s="87"/>
      <c r="P53" s="87"/>
      <c r="Q53" s="87"/>
      <c r="R53" s="87"/>
      <c r="S53" s="87"/>
      <c r="T53" s="87"/>
    </row>
    <row r="54" spans="1:20" ht="16.5" x14ac:dyDescent="0.3">
      <c r="A54" s="98" t="str">
        <v>Bernardo Gonzalez</v>
      </c>
      <c r="B54" s="99">
        <v>46205</v>
      </c>
      <c r="C54" s="98" t="str">
        <v>Fabrication</v>
      </c>
      <c r="D54" s="100" t="str">
        <v>410</v>
      </c>
      <c r="E54" s="98" t="str">
        <v>Juan Ramirez</v>
      </c>
      <c r="F54" s="98" t="str">
        <v>Tender Puller</v>
      </c>
      <c r="G54" s="98" t="str">
        <v>Strain</v>
      </c>
      <c r="H54" s="115" t="str">
        <v>LT - Index Finger</v>
      </c>
      <c r="I54" s="100" t="str">
        <v>FA</v>
      </c>
      <c r="J54" s="100" t="str">
        <v>No</v>
      </c>
      <c r="K54" s="101">
        <v>2026</v>
      </c>
      <c r="L54" s="100" t="str">
        <v>July</v>
      </c>
      <c r="M54" s="87"/>
      <c r="N54" s="87"/>
      <c r="O54" s="87"/>
      <c r="P54" s="87"/>
      <c r="Q54" s="87"/>
      <c r="R54" s="87"/>
      <c r="S54" s="87"/>
      <c r="T54" s="87"/>
    </row>
    <row r="55" spans="1:20" ht="16.5" x14ac:dyDescent="0.3">
      <c r="A55" s="98" t="str">
        <v>Raymundo Vargas Jr</v>
      </c>
      <c r="B55" s="99">
        <v>46205</v>
      </c>
      <c r="C55" s="98" t="str">
        <v>Fabrication</v>
      </c>
      <c r="D55" s="100" t="str">
        <v>124</v>
      </c>
      <c r="E55" s="98" t="str">
        <v>Erwin Vega</v>
      </c>
      <c r="F55" s="98" t="str">
        <v>Cooler Lead</v>
      </c>
      <c r="G55" s="98" t="str">
        <v>Slip, Trip, &amp; Fall</v>
      </c>
      <c r="H55" s="115" t="str">
        <v xml:space="preserve">RT - Hip </v>
      </c>
      <c r="I55" s="100" t="str">
        <v>RPO</v>
      </c>
      <c r="J55" s="100" t="str">
        <v>No</v>
      </c>
      <c r="K55" s="101">
        <v>2026</v>
      </c>
      <c r="L55" s="100" t="str">
        <v>July</v>
      </c>
      <c r="M55" s="87"/>
      <c r="N55" s="87"/>
      <c r="O55" s="87"/>
      <c r="P55" s="87"/>
      <c r="Q55" s="87"/>
      <c r="R55" s="87"/>
      <c r="S55" s="87"/>
      <c r="T55" s="87"/>
    </row>
    <row r="56" spans="1:20" ht="16.5" x14ac:dyDescent="0.3">
      <c r="A56" s="98" t="str">
        <v>Jose Nunez</v>
      </c>
      <c r="B56" s="99">
        <v>46205</v>
      </c>
      <c r="C56" s="98" t="str">
        <v>Fabrication</v>
      </c>
      <c r="D56" s="100" t="str">
        <v>124</v>
      </c>
      <c r="E56" s="98" t="str">
        <v>Erwin Vega</v>
      </c>
      <c r="F56" s="98" t="str">
        <v>Cooler Coordinator</v>
      </c>
      <c r="G56" s="98" t="str">
        <v>Falling Objects</v>
      </c>
      <c r="H56" s="115" t="str">
        <v>RT - Heel</v>
      </c>
      <c r="I56" s="100" t="str">
        <v>FA</v>
      </c>
      <c r="J56" s="100" t="str">
        <v>No</v>
      </c>
      <c r="K56" s="101">
        <v>2026</v>
      </c>
      <c r="L56" s="100" t="str">
        <v>July</v>
      </c>
      <c r="M56" s="87"/>
      <c r="N56" s="87"/>
      <c r="O56" s="87"/>
      <c r="P56" s="87"/>
      <c r="Q56" s="87"/>
      <c r="R56" s="87"/>
      <c r="S56" s="87"/>
      <c r="T56" s="87"/>
    </row>
    <row r="57" spans="1:20" ht="16.5" x14ac:dyDescent="0.3">
      <c r="A57" s="98" t="str">
        <v>Juan Ceballos</v>
      </c>
      <c r="B57" s="99">
        <v>46204</v>
      </c>
      <c r="C57" s="98" t="str">
        <v>Harvest</v>
      </c>
      <c r="D57" s="100" t="str">
        <v>105</v>
      </c>
      <c r="E57" s="98" t="str">
        <v>Michael Orozco</v>
      </c>
      <c r="F57" s="98" t="str">
        <v>Gutter</v>
      </c>
      <c r="G57" s="98" t="str">
        <v>Laceration</v>
      </c>
      <c r="H57" s="115" t="str">
        <v>LT - Hand</v>
      </c>
      <c r="I57" s="100" t="str">
        <v>RECORDABLE</v>
      </c>
      <c r="J57" s="100" t="str">
        <v>Yes</v>
      </c>
      <c r="K57" s="101">
        <v>2026</v>
      </c>
      <c r="L57" s="100" t="str">
        <v>July</v>
      </c>
      <c r="M57" s="87"/>
      <c r="N57" s="87"/>
      <c r="O57" s="87"/>
      <c r="P57" s="87"/>
      <c r="Q57" s="87"/>
      <c r="R57" s="87"/>
      <c r="S57" s="87"/>
      <c r="T57" s="87"/>
    </row>
    <row r="58" spans="1:20" ht="16.5" x14ac:dyDescent="0.3">
      <c r="A58" s="98" t="str">
        <v>Claudia Estrada Cruz</v>
      </c>
      <c r="B58" s="99">
        <v>46204</v>
      </c>
      <c r="C58" s="98" t="str">
        <v>Fabrication</v>
      </c>
      <c r="D58" s="100" t="str">
        <v>447</v>
      </c>
      <c r="E58" s="98" t="str">
        <v>Elizabeth Neufeld</v>
      </c>
      <c r="F58" s="98" t="str">
        <v>Sorter</v>
      </c>
      <c r="G58" s="98" t="str">
        <v>Strain</v>
      </c>
      <c r="H58" s="115" t="str">
        <v>RT - Forearm &amp; Hand &amp; LT - Hand</v>
      </c>
      <c r="I58" s="100" t="str">
        <v>FA</v>
      </c>
      <c r="J58" s="100" t="str">
        <v>No</v>
      </c>
      <c r="K58" s="101">
        <v>2026</v>
      </c>
      <c r="L58" s="100" t="str">
        <v>July</v>
      </c>
      <c r="M58" s="87"/>
      <c r="N58" s="87"/>
      <c r="O58" s="87"/>
      <c r="P58" s="87"/>
      <c r="Q58" s="87"/>
      <c r="R58" s="87"/>
      <c r="S58" s="87"/>
      <c r="T58" s="87"/>
    </row>
    <row r="59" spans="1:20" ht="16.5" x14ac:dyDescent="0.3">
      <c r="A59" s="98" t="str">
        <v>Vilma de Jesus</v>
      </c>
      <c r="B59" s="99">
        <v>46203</v>
      </c>
      <c r="C59" s="98" t="str">
        <v>Fabrication</v>
      </c>
      <c r="D59" s="100" t="str">
        <v>447</v>
      </c>
      <c r="E59" s="98" t="str">
        <v>Maria Garcia</v>
      </c>
      <c r="F59" s="98" t="str">
        <v>Bone Packer</v>
      </c>
      <c r="G59" s="98" t="str">
        <v>Contact Stess</v>
      </c>
      <c r="H59" s="115" t="str">
        <v>LT - Palm</v>
      </c>
      <c r="I59" s="100" t="str">
        <v>FA</v>
      </c>
      <c r="J59" s="100" t="str">
        <v>No</v>
      </c>
      <c r="K59" s="101">
        <v>2026</v>
      </c>
      <c r="L59" s="100" t="str">
        <v>June</v>
      </c>
      <c r="M59" s="87"/>
      <c r="N59" s="87"/>
      <c r="O59" s="87"/>
      <c r="P59" s="87"/>
      <c r="Q59" s="87"/>
      <c r="R59" s="87"/>
      <c r="S59" s="87"/>
      <c r="T59" s="87"/>
    </row>
    <row r="60" spans="1:20" ht="16.5" x14ac:dyDescent="0.3">
      <c r="A60" s="98" t="str">
        <v>Steven Aceves</v>
      </c>
      <c r="B60" s="99">
        <v>46202</v>
      </c>
      <c r="C60" s="98" t="str">
        <v>Fabrication</v>
      </c>
      <c r="D60" s="100" t="str">
        <v>400</v>
      </c>
      <c r="E60" s="98" t="str">
        <v>Ovidio Sanchez</v>
      </c>
      <c r="F60" s="98" t="str">
        <v>Scale Operator</v>
      </c>
      <c r="G60" s="98" t="str">
        <v>Strain</v>
      </c>
      <c r="H60" s="115" t="str">
        <v>RT - Wrist</v>
      </c>
      <c r="I60" s="100" t="str">
        <v>FA</v>
      </c>
      <c r="J60" s="100" t="str">
        <v>No</v>
      </c>
      <c r="K60" s="101">
        <v>2026</v>
      </c>
      <c r="L60" s="100" t="str">
        <v>June</v>
      </c>
      <c r="M60" s="87"/>
      <c r="N60" s="87"/>
      <c r="O60" s="87"/>
      <c r="P60" s="87"/>
      <c r="Q60" s="87"/>
      <c r="R60" s="87"/>
      <c r="S60" s="87"/>
      <c r="T60" s="87"/>
    </row>
    <row r="61" spans="1:20" ht="16.5" x14ac:dyDescent="0.3">
      <c r="A61" s="98" t="str">
        <v>Frederick Garcia</v>
      </c>
      <c r="B61" s="99">
        <v>46202</v>
      </c>
      <c r="C61" s="98" t="str">
        <v>Harvest</v>
      </c>
      <c r="D61" s="100" t="str">
        <v>102</v>
      </c>
      <c r="E61" s="98" t="str">
        <v>Alex Vargas</v>
      </c>
      <c r="F61" s="98" t="str">
        <v>Bung Capper</v>
      </c>
      <c r="G61" s="98" t="str">
        <v xml:space="preserve">Foreign Object </v>
      </c>
      <c r="H61" s="115" t="str">
        <v>LT - Eye</v>
      </c>
      <c r="I61" s="100" t="str">
        <v>FA</v>
      </c>
      <c r="J61" s="100" t="str">
        <v>No</v>
      </c>
      <c r="K61" s="101">
        <v>2026</v>
      </c>
      <c r="L61" s="100" t="str">
        <v>June</v>
      </c>
      <c r="M61" s="87"/>
      <c r="N61" s="87"/>
      <c r="O61" s="87"/>
      <c r="P61" s="87"/>
      <c r="Q61" s="87"/>
      <c r="R61" s="87"/>
      <c r="S61" s="87"/>
      <c r="T61" s="87"/>
    </row>
    <row r="62" spans="1:20" ht="16.5" x14ac:dyDescent="0.3">
      <c r="A62" s="98" t="str">
        <v>Kristy Davila</v>
      </c>
      <c r="B62" s="99">
        <v>46202</v>
      </c>
      <c r="C62" s="98" t="str">
        <v>Fabrication</v>
      </c>
      <c r="D62" s="100" t="str">
        <v>420</v>
      </c>
      <c r="E62" s="98" t="str">
        <v>Elizabeth Neufeld</v>
      </c>
      <c r="F62" s="98" t="str">
        <v>Flap Meat Trimmer</v>
      </c>
      <c r="G62" s="98" t="str">
        <v xml:space="preserve">Foreign Object </v>
      </c>
      <c r="H62" s="115" t="str">
        <v>LT - Eye</v>
      </c>
      <c r="I62" s="100" t="str">
        <v>FA</v>
      </c>
      <c r="J62" s="100" t="str">
        <v>No</v>
      </c>
      <c r="K62" s="101">
        <v>2026</v>
      </c>
      <c r="L62" s="100" t="str">
        <v>June</v>
      </c>
      <c r="M62" s="87"/>
      <c r="N62" s="87"/>
      <c r="O62" s="87"/>
      <c r="P62" s="87"/>
      <c r="Q62" s="87"/>
      <c r="R62" s="87"/>
      <c r="S62" s="87"/>
      <c r="T62" s="87"/>
    </row>
    <row r="63" spans="1:20" ht="16.5" x14ac:dyDescent="0.3">
      <c r="A63" s="98" t="str">
        <v>Edgar Guttierez</v>
      </c>
      <c r="B63" s="99">
        <v>46202</v>
      </c>
      <c r="C63" s="98" t="str">
        <v>Fabrication</v>
      </c>
      <c r="D63" s="100" t="str">
        <v>405</v>
      </c>
      <c r="E63" s="98" t="str">
        <v>Juan Carlos Martinez</v>
      </c>
      <c r="F63" s="98" t="str">
        <v>Plate Boner</v>
      </c>
      <c r="G63" s="98" t="str">
        <v>Strain</v>
      </c>
      <c r="H63" s="115" t="str">
        <v>RT - Elbow</v>
      </c>
      <c r="I63" s="100" t="str">
        <v>FA</v>
      </c>
      <c r="J63" s="100" t="str">
        <v>No</v>
      </c>
      <c r="K63" s="101">
        <v>2026</v>
      </c>
      <c r="L63" s="100" t="str">
        <v>June</v>
      </c>
      <c r="M63" s="87"/>
      <c r="N63" s="87"/>
      <c r="O63" s="87"/>
      <c r="P63" s="87"/>
      <c r="Q63" s="87"/>
      <c r="R63" s="87"/>
      <c r="S63" s="87"/>
      <c r="T63" s="87"/>
    </row>
    <row r="64" spans="1:20" ht="16.5" x14ac:dyDescent="0.3">
      <c r="A64" s="98" t="str">
        <v>Eduardo Contreras</v>
      </c>
      <c r="B64" s="99">
        <v>46202</v>
      </c>
      <c r="C64" s="98" t="str">
        <v>Harvest</v>
      </c>
      <c r="D64" s="100" t="str">
        <v>102</v>
      </c>
      <c r="E64" s="98" t="str">
        <v>Alex Vargas</v>
      </c>
      <c r="F64" s="98" t="str">
        <v>Wax Papper Remover</v>
      </c>
      <c r="G64" s="98" t="str">
        <v>Slip, Trip, &amp; Fall</v>
      </c>
      <c r="H64" s="115" t="str">
        <v>RT - Knee</v>
      </c>
      <c r="I64" s="100" t="str">
        <v>RPO</v>
      </c>
      <c r="J64" s="100" t="str">
        <v>No</v>
      </c>
      <c r="K64" s="101">
        <v>2026</v>
      </c>
      <c r="L64" s="100" t="str">
        <v>June</v>
      </c>
      <c r="M64" s="87"/>
      <c r="N64" s="87"/>
      <c r="O64" s="87"/>
      <c r="P64" s="87"/>
      <c r="Q64" s="87"/>
      <c r="R64" s="87"/>
      <c r="S64" s="87"/>
      <c r="T64" s="87"/>
    </row>
    <row r="65" spans="1:20" ht="16.5" x14ac:dyDescent="0.3">
      <c r="A65" s="98" t="str">
        <v>Aaron Ching</v>
      </c>
      <c r="B65" s="99">
        <v>46202</v>
      </c>
      <c r="C65" s="98" t="str">
        <v>Harvest</v>
      </c>
      <c r="D65" s="100" t="str">
        <v>102</v>
      </c>
      <c r="E65" s="98" t="str">
        <v>Alex Vargas</v>
      </c>
      <c r="F65" s="98" t="str">
        <v>Clean Up</v>
      </c>
      <c r="G65" s="98" t="str">
        <v>Strain</v>
      </c>
      <c r="H65" s="115" t="str">
        <v xml:space="preserve">RT - Hip </v>
      </c>
      <c r="I65" s="100" t="str">
        <v>FA</v>
      </c>
      <c r="J65" s="100" t="str">
        <v>No</v>
      </c>
      <c r="K65" s="101">
        <v>2026</v>
      </c>
      <c r="L65" s="100" t="str">
        <v>June</v>
      </c>
      <c r="M65" s="87"/>
      <c r="N65" s="87"/>
      <c r="O65" s="87"/>
      <c r="P65" s="87"/>
      <c r="Q65" s="87"/>
      <c r="R65" s="87"/>
      <c r="S65" s="87"/>
      <c r="T65" s="87"/>
    </row>
    <row r="66" spans="1:20" ht="16.5" x14ac:dyDescent="0.3">
      <c r="A66" s="98" t="str">
        <v>Juan Rivera</v>
      </c>
      <c r="B66" s="99">
        <v>46199</v>
      </c>
      <c r="C66" s="98" t="str">
        <v>Buildings &amp; Grounds</v>
      </c>
      <c r="D66" s="100" t="str">
        <v>B&amp;G</v>
      </c>
      <c r="E66" s="98" t="str">
        <v>Christopher Moreno</v>
      </c>
      <c r="F66" s="98" t="str">
        <v>Maintenance Lead</v>
      </c>
      <c r="G66" s="98" t="str">
        <v>Insect Bite/ Sting</v>
      </c>
      <c r="H66" s="115" t="str">
        <v xml:space="preserve">Back of Head  </v>
      </c>
      <c r="I66" s="100" t="str">
        <v>RPO</v>
      </c>
      <c r="J66" s="100" t="str">
        <v>No</v>
      </c>
      <c r="K66" s="101">
        <v>2026</v>
      </c>
      <c r="L66" s="100" t="str">
        <v>June</v>
      </c>
      <c r="M66" s="87"/>
      <c r="N66" s="87"/>
      <c r="O66" s="87"/>
      <c r="P66" s="87"/>
      <c r="Q66" s="87"/>
      <c r="R66" s="87"/>
      <c r="S66" s="87"/>
      <c r="T66" s="87"/>
    </row>
    <row r="67" spans="1:20" ht="16.5" x14ac:dyDescent="0.3">
      <c r="A67" s="98" t="str">
        <v>Osbaldo Santiago</v>
      </c>
      <c r="B67" s="99">
        <v>46199</v>
      </c>
      <c r="C67" s="98" t="str">
        <v>Harvest</v>
      </c>
      <c r="D67" s="100" t="str">
        <v>102</v>
      </c>
      <c r="E67" s="98" t="str">
        <v>Alex Vargas</v>
      </c>
      <c r="F67" s="98" t="str">
        <v xml:space="preserve">Whizzard Knife Op. </v>
      </c>
      <c r="G67" s="98" t="str">
        <v>Burn</v>
      </c>
      <c r="H67" s="115" t="str">
        <v>LT - Wrist &amp; Hand</v>
      </c>
      <c r="I67" s="100" t="str">
        <v>FA</v>
      </c>
      <c r="J67" s="100" t="str">
        <v>No</v>
      </c>
      <c r="K67" s="101">
        <v>2026</v>
      </c>
      <c r="L67" s="100" t="str">
        <v>June</v>
      </c>
      <c r="M67" s="87"/>
      <c r="N67" s="87"/>
      <c r="O67" s="87"/>
      <c r="P67" s="87"/>
      <c r="Q67" s="87"/>
      <c r="R67" s="87"/>
      <c r="S67" s="87"/>
      <c r="T67" s="87"/>
    </row>
    <row r="68" spans="1:20" ht="16.5" x14ac:dyDescent="0.3">
      <c r="A68" s="98" t="str">
        <v>Esmeralda Avalos Vazquez</v>
      </c>
      <c r="B68" s="99">
        <v>46199</v>
      </c>
      <c r="C68" s="98" t="str">
        <v>Harvest</v>
      </c>
      <c r="D68" s="100" t="str">
        <v>106</v>
      </c>
      <c r="E68" s="98" t="str">
        <v>Rutilio Rodriguez</v>
      </c>
      <c r="F68" s="98" t="str">
        <v>SRM Removal</v>
      </c>
      <c r="G68" s="98" t="str">
        <v>Strain</v>
      </c>
      <c r="H68" s="115" t="str">
        <v>LT - Wrist</v>
      </c>
      <c r="I68" s="100" t="str">
        <v>FA</v>
      </c>
      <c r="J68" s="100" t="str">
        <v>No</v>
      </c>
      <c r="K68" s="101">
        <v>2026</v>
      </c>
      <c r="L68" s="100" t="str">
        <v>June</v>
      </c>
      <c r="M68" s="87"/>
      <c r="N68" s="87"/>
      <c r="O68" s="87"/>
      <c r="P68" s="87"/>
      <c r="Q68" s="87"/>
      <c r="R68" s="87"/>
      <c r="S68" s="87"/>
      <c r="T68" s="87"/>
    </row>
    <row r="69" spans="1:20" ht="16.5" x14ac:dyDescent="0.3">
      <c r="A69" s="98" t="str">
        <v>Pablo de la Cruz</v>
      </c>
      <c r="B69" s="99">
        <v>46198</v>
      </c>
      <c r="C69" s="98" t="str">
        <v>Fabrication</v>
      </c>
      <c r="D69" s="100" t="str">
        <v>124</v>
      </c>
      <c r="E69" s="98" t="str">
        <v>Erwin Vega</v>
      </c>
      <c r="F69" s="98" t="str">
        <v>Cooler Cordinator</v>
      </c>
      <c r="G69" s="98" t="str">
        <v>Strain</v>
      </c>
      <c r="H69" s="115" t="str">
        <v xml:space="preserve">RT - Hip </v>
      </c>
      <c r="I69" s="100" t="str">
        <v>FA</v>
      </c>
      <c r="J69" s="100" t="str">
        <v>No</v>
      </c>
      <c r="K69" s="101">
        <v>2026</v>
      </c>
      <c r="L69" s="100" t="str">
        <v>June</v>
      </c>
      <c r="M69" s="87"/>
      <c r="N69" s="87"/>
      <c r="O69" s="87"/>
      <c r="P69" s="87"/>
      <c r="Q69" s="87"/>
      <c r="R69" s="87"/>
      <c r="S69" s="87"/>
      <c r="T69" s="87"/>
    </row>
    <row r="70" spans="1:20" ht="16.5" x14ac:dyDescent="0.3">
      <c r="A70" s="98" t="str">
        <v>Douglas Cline</v>
      </c>
      <c r="B70" s="99">
        <v>46198</v>
      </c>
      <c r="C70" s="98" t="str">
        <v>Fabrication</v>
      </c>
      <c r="D70" s="100" t="str">
        <v>410</v>
      </c>
      <c r="E70" s="98" t="str">
        <v>Juan Ramirez</v>
      </c>
      <c r="F70" s="98" t="str">
        <v>Aitch Boner</v>
      </c>
      <c r="G70" s="98" t="str">
        <v xml:space="preserve">Foreign Object </v>
      </c>
      <c r="H70" s="115" t="str">
        <v>RT - Eye</v>
      </c>
      <c r="I70" s="100" t="str">
        <v>FA</v>
      </c>
      <c r="J70" s="100" t="str">
        <v>No</v>
      </c>
      <c r="K70" s="101">
        <v>2026</v>
      </c>
      <c r="L70" s="100" t="str">
        <v>June</v>
      </c>
      <c r="M70" s="87"/>
      <c r="N70" s="87"/>
      <c r="O70" s="87"/>
      <c r="P70" s="87"/>
      <c r="Q70" s="87"/>
      <c r="R70" s="87"/>
      <c r="S70" s="87"/>
      <c r="T70" s="87"/>
    </row>
    <row r="71" spans="1:20" ht="16.5" x14ac:dyDescent="0.3">
      <c r="A71" s="98" t="str">
        <v>Daniel Hernandez</v>
      </c>
      <c r="B71" s="99">
        <v>46198</v>
      </c>
      <c r="C71" s="98" t="str">
        <v>Maintenance</v>
      </c>
      <c r="D71" s="100" t="str">
        <v>Maintenance</v>
      </c>
      <c r="E71" s="98" t="str">
        <v>Osbaldo Gutierrez</v>
      </c>
      <c r="F71" s="98" t="str">
        <v>Maintenance</v>
      </c>
      <c r="G71" s="98" t="str">
        <v>Struck by - against object</v>
      </c>
      <c r="H71" s="115" t="str">
        <v>LT - Toes</v>
      </c>
      <c r="I71" s="100" t="str">
        <v>FA</v>
      </c>
      <c r="J71" s="100" t="str">
        <v>No</v>
      </c>
      <c r="K71" s="101">
        <v>2026</v>
      </c>
      <c r="L71" s="100" t="str">
        <v>June</v>
      </c>
      <c r="M71" s="87"/>
      <c r="N71" s="87"/>
      <c r="O71" s="87"/>
      <c r="P71" s="87"/>
      <c r="Q71" s="87"/>
      <c r="R71" s="87"/>
      <c r="S71" s="87"/>
      <c r="T71" s="87"/>
    </row>
    <row r="72" spans="1:20" ht="16.5" x14ac:dyDescent="0.3">
      <c r="A72" s="98" t="str">
        <v>Edgar Hernandez</v>
      </c>
      <c r="B72" s="99">
        <v>46198</v>
      </c>
      <c r="C72" s="98" t="str">
        <v>Harvest</v>
      </c>
      <c r="D72" s="100" t="str">
        <v>102</v>
      </c>
      <c r="E72" s="98" t="str">
        <v>Alex Vargas</v>
      </c>
      <c r="F72" s="98" t="str">
        <v>Tail Knotch</v>
      </c>
      <c r="G72" s="98" t="str">
        <v>Burn</v>
      </c>
      <c r="H72" s="115" t="str">
        <v>RT - Obdominal</v>
      </c>
      <c r="I72" s="100" t="str">
        <v>FA</v>
      </c>
      <c r="J72" s="100" t="str">
        <v>No</v>
      </c>
      <c r="K72" s="101">
        <v>2026</v>
      </c>
      <c r="L72" s="100" t="str">
        <v>June</v>
      </c>
      <c r="M72" s="87"/>
      <c r="N72" s="87"/>
      <c r="O72" s="87"/>
      <c r="P72" s="87"/>
      <c r="Q72" s="87"/>
      <c r="R72" s="87"/>
      <c r="S72" s="87"/>
      <c r="T72" s="87"/>
    </row>
    <row r="73" spans="1:20" ht="16.5" x14ac:dyDescent="0.3">
      <c r="A73" s="98" t="str">
        <v>Jayden Acosta</v>
      </c>
      <c r="B73" s="99">
        <v>46197</v>
      </c>
      <c r="C73" s="98" t="str">
        <v>Fabrication</v>
      </c>
      <c r="D73" s="100" t="str">
        <v>124</v>
      </c>
      <c r="E73" s="98" t="str">
        <v>Erwin Vega</v>
      </c>
      <c r="F73" s="98" t="str">
        <v>Cooler Cordinator</v>
      </c>
      <c r="G73" s="98" t="str">
        <v>Slip, Trip, &amp; Fall</v>
      </c>
      <c r="H73" s="115" t="str">
        <v>Back of Head &amp; Lower Back</v>
      </c>
      <c r="I73" s="100" t="str">
        <v>FA</v>
      </c>
      <c r="J73" s="100" t="str">
        <v>No</v>
      </c>
      <c r="K73" s="101">
        <v>2026</v>
      </c>
      <c r="L73" s="100" t="str">
        <v>June</v>
      </c>
      <c r="M73" s="87"/>
      <c r="N73" s="87"/>
      <c r="O73" s="87"/>
      <c r="P73" s="87"/>
      <c r="Q73" s="87"/>
      <c r="R73" s="87"/>
      <c r="S73" s="87"/>
      <c r="T73" s="87"/>
    </row>
    <row r="74" spans="1:20" ht="16.5" x14ac:dyDescent="0.3">
      <c r="A74" s="98" t="str">
        <v>Albert Ramos</v>
      </c>
      <c r="B74" s="99">
        <v>46197</v>
      </c>
      <c r="C74" s="98" t="str">
        <v>Fabrication</v>
      </c>
      <c r="D74" s="100" t="str">
        <v>410</v>
      </c>
      <c r="E74" s="98" t="str">
        <v>Juan Ramirez</v>
      </c>
      <c r="F74" s="98" t="str">
        <v xml:space="preserve">Chine Saw </v>
      </c>
      <c r="G74" s="98" t="str">
        <v>Strain</v>
      </c>
      <c r="H74" s="115" t="str">
        <v>Bilateral Hands &amp; Mid Back</v>
      </c>
      <c r="I74" s="100" t="str">
        <v>FA</v>
      </c>
      <c r="J74" s="100" t="str">
        <v>No</v>
      </c>
      <c r="K74" s="101">
        <v>2026</v>
      </c>
      <c r="L74" s="100" t="str">
        <v>June</v>
      </c>
      <c r="M74" s="87"/>
      <c r="N74" s="87"/>
      <c r="O74" s="87"/>
      <c r="P74" s="87"/>
      <c r="Q74" s="87"/>
      <c r="R74" s="87"/>
      <c r="S74" s="87"/>
      <c r="T74" s="87"/>
    </row>
    <row r="75" spans="1:20" ht="16.5" x14ac:dyDescent="0.3">
      <c r="A75" s="98" t="str">
        <v>Maricela Ruiz</v>
      </c>
      <c r="B75" s="99">
        <v>46197</v>
      </c>
      <c r="C75" s="98" t="str">
        <v>Fabrication</v>
      </c>
      <c r="D75" s="100" t="str">
        <v>420</v>
      </c>
      <c r="E75" s="98" t="str">
        <v>Elizabeth Neufeld</v>
      </c>
      <c r="F75" s="98" t="str">
        <v>Round Strip Trimmer</v>
      </c>
      <c r="G75" s="98" t="str">
        <v>Puncture</v>
      </c>
      <c r="H75" s="115" t="str">
        <v>RT - Ring Finger</v>
      </c>
      <c r="I75" s="100" t="str">
        <v>FA</v>
      </c>
      <c r="J75" s="100" t="str">
        <v>No</v>
      </c>
      <c r="K75" s="101">
        <v>2026</v>
      </c>
      <c r="L75" s="100" t="str">
        <v>June</v>
      </c>
      <c r="M75" s="87"/>
      <c r="N75" s="87"/>
      <c r="O75" s="87"/>
      <c r="P75" s="87"/>
      <c r="Q75" s="87"/>
      <c r="R75" s="87"/>
      <c r="S75" s="87"/>
      <c r="T75" s="87"/>
    </row>
    <row r="76" spans="1:20" ht="16.5" x14ac:dyDescent="0.3">
      <c r="A76" s="98" t="str">
        <v>Nicole Machuca</v>
      </c>
      <c r="B76" s="99">
        <v>46196</v>
      </c>
      <c r="C76" s="98" t="str">
        <v>Fabrication</v>
      </c>
      <c r="D76" s="100" t="str">
        <v>429</v>
      </c>
      <c r="E76" s="98" t="str">
        <v>Chadu Moua</v>
      </c>
      <c r="F76" s="98" t="str">
        <v xml:space="preserve">Meat Master Op. </v>
      </c>
      <c r="G76" s="98" t="str">
        <v>Strain</v>
      </c>
      <c r="H76" s="115" t="str">
        <v>LT - Wrist</v>
      </c>
      <c r="I76" s="100" t="str">
        <v>FA</v>
      </c>
      <c r="J76" s="100" t="str">
        <v>No</v>
      </c>
      <c r="K76" s="101">
        <v>2026</v>
      </c>
      <c r="L76" s="100" t="str">
        <v>June</v>
      </c>
      <c r="M76" s="87"/>
      <c r="N76" s="87"/>
      <c r="O76" s="87"/>
      <c r="P76" s="87"/>
      <c r="Q76" s="87"/>
      <c r="R76" s="87"/>
      <c r="S76" s="87"/>
      <c r="T76" s="87"/>
    </row>
    <row r="77" spans="1:20" ht="16.5" x14ac:dyDescent="0.3">
      <c r="A77" s="98" t="str">
        <v>Jose Vazquez</v>
      </c>
      <c r="B77" s="99">
        <v>46196</v>
      </c>
      <c r="C77" s="98" t="str">
        <v>Fabrication</v>
      </c>
      <c r="D77" s="100" t="str">
        <v>400</v>
      </c>
      <c r="E77" s="98" t="str">
        <v>Ovidio Sanchez</v>
      </c>
      <c r="F77" s="98" t="str">
        <v>Shank Bonner</v>
      </c>
      <c r="G77" s="98" t="str">
        <v xml:space="preserve">Foreign Object </v>
      </c>
      <c r="H77" s="115" t="str">
        <v>Bilateral - Eyes</v>
      </c>
      <c r="I77" s="100" t="str">
        <v>FA</v>
      </c>
      <c r="J77" s="100" t="str">
        <v>No</v>
      </c>
      <c r="K77" s="101">
        <v>2026</v>
      </c>
      <c r="L77" s="100" t="str">
        <v>June</v>
      </c>
      <c r="M77" s="87"/>
      <c r="N77" s="87"/>
      <c r="O77" s="87"/>
      <c r="P77" s="87"/>
      <c r="Q77" s="87"/>
      <c r="R77" s="87"/>
      <c r="S77" s="87"/>
      <c r="T77" s="87"/>
    </row>
    <row r="78" spans="1:20" ht="16.5" x14ac:dyDescent="0.3">
      <c r="A78" s="98" t="str">
        <v>Jose Madrigal</v>
      </c>
      <c r="B78" s="99">
        <v>46196</v>
      </c>
      <c r="C78" s="98" t="str">
        <v>Harvest</v>
      </c>
      <c r="D78" s="100" t="str">
        <v>102</v>
      </c>
      <c r="E78" s="98" t="str">
        <v>Alex Vargas</v>
      </c>
      <c r="F78" s="98" t="str">
        <v>NA - Subtask</v>
      </c>
      <c r="G78" s="98" t="str">
        <v>Slip, Trip, &amp; Fall</v>
      </c>
      <c r="H78" s="115" t="str">
        <v>RT - Forearm &amp; LT - Calf</v>
      </c>
      <c r="I78" s="100" t="str">
        <v>FA</v>
      </c>
      <c r="J78" s="100" t="str">
        <v>No</v>
      </c>
      <c r="K78" s="101">
        <v>2026</v>
      </c>
      <c r="L78" s="100" t="str">
        <v>June</v>
      </c>
      <c r="M78" s="87"/>
      <c r="N78" s="87"/>
      <c r="O78" s="87"/>
      <c r="P78" s="87"/>
      <c r="Q78" s="87"/>
      <c r="R78" s="87"/>
      <c r="S78" s="87"/>
      <c r="T78" s="87"/>
    </row>
    <row r="79" spans="1:20" ht="16.5" x14ac:dyDescent="0.3">
      <c r="A79" s="98" t="str">
        <v>Juan Rivera</v>
      </c>
      <c r="B79" s="99">
        <v>46196</v>
      </c>
      <c r="C79" s="98" t="str">
        <v>Buildings &amp; Grounds</v>
      </c>
      <c r="D79" s="100" t="str">
        <v>B&amp;G</v>
      </c>
      <c r="E79" s="98" t="str">
        <v>Christopher Moreno</v>
      </c>
      <c r="F79" s="98" t="str">
        <v>Maintenance Lead</v>
      </c>
      <c r="G79" s="98" t="str">
        <v>Strain</v>
      </c>
      <c r="H79" s="115" t="str">
        <v>LT - Lower Back</v>
      </c>
      <c r="I79" s="100" t="str">
        <v>FA</v>
      </c>
      <c r="J79" s="100" t="str">
        <v>No</v>
      </c>
      <c r="K79" s="101">
        <v>2026</v>
      </c>
      <c r="L79" s="100" t="str">
        <v>June</v>
      </c>
      <c r="M79" s="87"/>
      <c r="N79" s="87"/>
      <c r="O79" s="87"/>
      <c r="P79" s="87"/>
      <c r="Q79" s="87"/>
      <c r="R79" s="87"/>
      <c r="S79" s="87"/>
      <c r="T79" s="87"/>
    </row>
    <row r="80" spans="1:20" ht="16.5" x14ac:dyDescent="0.3">
      <c r="A80" s="98" t="str">
        <v>Rocio Bernal</v>
      </c>
      <c r="B80" s="99">
        <v>46196</v>
      </c>
      <c r="C80" s="98" t="str">
        <v>Harvest</v>
      </c>
      <c r="D80" s="100" t="str">
        <v>109</v>
      </c>
      <c r="E80" s="98" t="str">
        <v>Samuel Sierra</v>
      </c>
      <c r="F80" s="98" t="str">
        <v>Tripe Pack Off</v>
      </c>
      <c r="G80" s="98" t="str">
        <v>Rash</v>
      </c>
      <c r="H80" s="115" t="str">
        <v>LT - Wrist</v>
      </c>
      <c r="I80" s="100" t="str">
        <v>FA</v>
      </c>
      <c r="J80" s="100" t="str">
        <v>No</v>
      </c>
      <c r="K80" s="101">
        <v>2026</v>
      </c>
      <c r="L80" s="100" t="str">
        <v>June</v>
      </c>
      <c r="M80" s="87"/>
      <c r="N80" s="87"/>
      <c r="O80" s="87"/>
      <c r="P80" s="87"/>
      <c r="Q80" s="87"/>
      <c r="R80" s="87"/>
      <c r="S80" s="87"/>
      <c r="T80" s="87"/>
    </row>
    <row r="81" spans="1:20" ht="16.5" x14ac:dyDescent="0.3">
      <c r="A81" s="98" t="str">
        <v>Celso Avendano</v>
      </c>
      <c r="B81" s="99">
        <v>46195</v>
      </c>
      <c r="C81" s="98" t="str">
        <v>Fabrication</v>
      </c>
      <c r="D81" s="100" t="str">
        <v>400</v>
      </c>
      <c r="E81" s="98" t="str">
        <v>Ovidio Sanchez</v>
      </c>
      <c r="F81" s="98" t="str">
        <v>Circular Saw</v>
      </c>
      <c r="G81" s="98" t="str">
        <v>Struck by - against object</v>
      </c>
      <c r="H81" s="115" t="str">
        <v xml:space="preserve">RT - Forearm   </v>
      </c>
      <c r="I81" s="100" t="str">
        <v>FA</v>
      </c>
      <c r="J81" s="100" t="str">
        <v>No</v>
      </c>
      <c r="K81" s="101">
        <v>2026</v>
      </c>
      <c r="L81" s="100" t="str">
        <v>June</v>
      </c>
      <c r="M81" s="87"/>
      <c r="N81" s="87"/>
      <c r="O81" s="87"/>
      <c r="P81" s="87"/>
      <c r="Q81" s="87"/>
      <c r="R81" s="87"/>
      <c r="S81" s="87"/>
      <c r="T81" s="87"/>
    </row>
    <row r="82" spans="1:20" ht="16.5" x14ac:dyDescent="0.3">
      <c r="A82" s="98" t="str">
        <v>Luis Llamas</v>
      </c>
      <c r="B82" s="99">
        <v>46195</v>
      </c>
      <c r="C82" s="98" t="str">
        <v>Fabrication</v>
      </c>
      <c r="D82" s="100" t="str">
        <v>124</v>
      </c>
      <c r="E82" s="98" t="str">
        <v>Erwin Vega</v>
      </c>
      <c r="F82" s="98" t="str">
        <v>Cooler Clean Up</v>
      </c>
      <c r="G82" s="98" t="str">
        <v>Strain</v>
      </c>
      <c r="H82" s="115" t="str">
        <v>Bilateral - Lower Back</v>
      </c>
      <c r="I82" s="100" t="str">
        <v>FA</v>
      </c>
      <c r="J82" s="100" t="str">
        <v>No</v>
      </c>
      <c r="K82" s="101">
        <v>2026</v>
      </c>
      <c r="L82" s="100" t="str">
        <v>June</v>
      </c>
      <c r="M82" s="87"/>
      <c r="N82" s="87"/>
      <c r="O82" s="87"/>
      <c r="P82" s="87"/>
      <c r="Q82" s="87"/>
      <c r="R82" s="87"/>
      <c r="S82" s="87"/>
      <c r="T82" s="87"/>
    </row>
    <row r="83" spans="1:20" ht="16.5" x14ac:dyDescent="0.3">
      <c r="A83" s="98" t="str">
        <v>Angel Campas</v>
      </c>
      <c r="B83" s="99">
        <v>46195</v>
      </c>
      <c r="C83" s="98" t="str">
        <v>Harvest</v>
      </c>
      <c r="D83" s="100" t="str">
        <v>104</v>
      </c>
      <c r="E83" s="98" t="str">
        <v>Michael Orozco</v>
      </c>
      <c r="F83" s="98" t="str">
        <v>Tongue Dropper</v>
      </c>
      <c r="G83" s="98" t="str">
        <v>Contact Stess</v>
      </c>
      <c r="H83" s="115" t="str">
        <v>Bilateral - Pinky Fingers</v>
      </c>
      <c r="I83" s="100" t="str">
        <v>FA</v>
      </c>
      <c r="J83" s="100" t="str">
        <v>No</v>
      </c>
      <c r="K83" s="101">
        <v>2026</v>
      </c>
      <c r="L83" s="100" t="str">
        <v>June</v>
      </c>
      <c r="M83" s="87"/>
      <c r="N83" s="87"/>
      <c r="O83" s="87"/>
      <c r="P83" s="87"/>
      <c r="Q83" s="87"/>
      <c r="R83" s="87"/>
      <c r="S83" s="87"/>
      <c r="T83" s="87"/>
    </row>
    <row r="84" spans="1:20" ht="16.5" x14ac:dyDescent="0.3">
      <c r="A84" s="98" t="str">
        <v>Rocio Bernal</v>
      </c>
      <c r="B84" s="99">
        <v>46195</v>
      </c>
      <c r="C84" s="98" t="str">
        <v>Harvest</v>
      </c>
      <c r="D84" s="100" t="str">
        <v>109</v>
      </c>
      <c r="E84" s="98" t="str">
        <v>Samuel Sierra</v>
      </c>
      <c r="F84" s="98" t="str">
        <v>Tripe Pack Off</v>
      </c>
      <c r="G84" s="98" t="str">
        <v>Strain</v>
      </c>
      <c r="H84" s="115" t="str">
        <v>LT - Wrist</v>
      </c>
      <c r="I84" s="100" t="str">
        <v>FA</v>
      </c>
      <c r="J84" s="100" t="str">
        <v>No</v>
      </c>
      <c r="K84" s="101">
        <v>2026</v>
      </c>
      <c r="L84" s="100" t="str">
        <v>June</v>
      </c>
      <c r="M84" s="87"/>
      <c r="N84" s="87"/>
      <c r="O84" s="87"/>
      <c r="P84" s="87"/>
      <c r="Q84" s="87"/>
      <c r="R84" s="87"/>
      <c r="S84" s="87"/>
      <c r="T84" s="87"/>
    </row>
    <row r="85" spans="1:20" ht="16.5" x14ac:dyDescent="0.3">
      <c r="A85" s="98" t="str">
        <v>Juan Rodriguez</v>
      </c>
      <c r="B85" s="99">
        <v>46192</v>
      </c>
      <c r="C85" s="98" t="str">
        <v>Fabrication</v>
      </c>
      <c r="D85" s="100" t="str">
        <v>415</v>
      </c>
      <c r="E85" s="98" t="str">
        <v>Juan Rodriguez</v>
      </c>
      <c r="F85" s="98" t="str">
        <v>Chuck Roller</v>
      </c>
      <c r="G85" s="98" t="str">
        <v>Strain</v>
      </c>
      <c r="H85" s="115" t="str">
        <v xml:space="preserve">LT - Shoulder Blade  </v>
      </c>
      <c r="I85" s="100" t="str">
        <v>FA</v>
      </c>
      <c r="J85" s="100" t="str">
        <v>No</v>
      </c>
      <c r="K85" s="101">
        <v>2026</v>
      </c>
      <c r="L85" s="100" t="str">
        <v>June</v>
      </c>
      <c r="M85" s="87"/>
      <c r="N85" s="87"/>
      <c r="O85" s="87"/>
      <c r="P85" s="87"/>
      <c r="Q85" s="87"/>
      <c r="R85" s="87"/>
      <c r="S85" s="87"/>
      <c r="T85" s="87"/>
    </row>
    <row r="86" spans="1:20" ht="16.5" x14ac:dyDescent="0.3">
      <c r="A86" s="98" t="str">
        <v>Esmeralda Avalos Vazquez</v>
      </c>
      <c r="B86" s="99">
        <v>46192</v>
      </c>
      <c r="C86" s="98" t="str">
        <v>Harvest</v>
      </c>
      <c r="D86" s="100" t="str">
        <v>106</v>
      </c>
      <c r="E86" s="98" t="str">
        <v>Rutilio Rodriguez</v>
      </c>
      <c r="F86" s="98" t="str">
        <v>Spinal Cord Remover</v>
      </c>
      <c r="G86" s="98" t="str">
        <v xml:space="preserve">Strain </v>
      </c>
      <c r="H86" s="115" t="str">
        <v>RT - Hand</v>
      </c>
      <c r="I86" s="100" t="str">
        <v>FA</v>
      </c>
      <c r="J86" s="100" t="str">
        <v>No</v>
      </c>
      <c r="K86" s="101">
        <v>2026</v>
      </c>
      <c r="L86" s="100" t="str">
        <v>June</v>
      </c>
      <c r="M86" s="87"/>
      <c r="N86" s="87"/>
      <c r="O86" s="87"/>
      <c r="P86" s="87"/>
      <c r="Q86" s="87"/>
      <c r="R86" s="87"/>
      <c r="S86" s="87"/>
      <c r="T86" s="87"/>
    </row>
    <row r="87" spans="1:20" ht="16.5" x14ac:dyDescent="0.3">
      <c r="A87" s="98" t="str">
        <v>Justin Briggs</v>
      </c>
      <c r="B87" s="99">
        <v>46192</v>
      </c>
      <c r="C87" s="98" t="str">
        <v>Harvest</v>
      </c>
      <c r="D87" s="100" t="str">
        <v>101</v>
      </c>
      <c r="E87" s="98" t="str">
        <v>Richard Xiong</v>
      </c>
      <c r="F87" s="98" t="str">
        <v>Lowrator</v>
      </c>
      <c r="G87" s="98" t="str">
        <v>Strain</v>
      </c>
      <c r="H87" s="115" t="str">
        <v>RT - Chest &amp; Shoulder</v>
      </c>
      <c r="I87" s="100" t="str">
        <v>FA</v>
      </c>
      <c r="J87" s="100" t="str">
        <v>No</v>
      </c>
      <c r="K87" s="101">
        <v>2026</v>
      </c>
      <c r="L87" s="100" t="str">
        <v>June</v>
      </c>
      <c r="M87" s="87"/>
      <c r="N87" s="87"/>
      <c r="O87" s="87"/>
      <c r="P87" s="87"/>
      <c r="Q87" s="87"/>
      <c r="R87" s="87"/>
      <c r="S87" s="87"/>
      <c r="T87" s="87"/>
    </row>
    <row r="88" spans="1:20" ht="16.5" x14ac:dyDescent="0.3">
      <c r="A88" s="98" t="str">
        <v>Jose Rivas</v>
      </c>
      <c r="B88" s="99">
        <v>46192</v>
      </c>
      <c r="C88" s="98" t="str">
        <v>Maintenance</v>
      </c>
      <c r="D88" s="100" t="str">
        <v>Maintenance</v>
      </c>
      <c r="E88" s="98" t="str">
        <v>Osbaldo Gutierrez</v>
      </c>
      <c r="F88" s="98" t="str">
        <v xml:space="preserve">Maintenance </v>
      </c>
      <c r="G88" s="98" t="str">
        <v>Strain</v>
      </c>
      <c r="H88" s="115" t="str">
        <v>Lower Back</v>
      </c>
      <c r="I88" s="100" t="str">
        <v>FA</v>
      </c>
      <c r="J88" s="100" t="str">
        <v>No</v>
      </c>
      <c r="K88" s="101">
        <v>2026</v>
      </c>
      <c r="L88" s="100" t="str">
        <v>June</v>
      </c>
      <c r="M88" s="87"/>
      <c r="N88" s="87"/>
      <c r="O88" s="87"/>
      <c r="P88" s="87"/>
      <c r="Q88" s="87"/>
      <c r="R88" s="87"/>
      <c r="S88" s="87"/>
      <c r="T88" s="87"/>
    </row>
    <row r="89" spans="1:20" ht="16.5" x14ac:dyDescent="0.3">
      <c r="A89" s="98" t="str">
        <v>Jorge Maldonado</v>
      </c>
      <c r="B89" s="99">
        <v>46191</v>
      </c>
      <c r="C89" s="98" t="str">
        <v>Fabrication</v>
      </c>
      <c r="D89" s="100" t="str">
        <v>405</v>
      </c>
      <c r="E89" s="98" t="str">
        <v>Diego Soria</v>
      </c>
      <c r="F89" s="98" t="str">
        <v>Plate Boner</v>
      </c>
      <c r="G89" s="98" t="str">
        <v>Sprain</v>
      </c>
      <c r="H89" s="115" t="str">
        <v>RT - Thumb</v>
      </c>
      <c r="I89" s="100" t="str">
        <v>RECORDABLE</v>
      </c>
      <c r="J89" s="100" t="str">
        <v>Yes</v>
      </c>
      <c r="K89" s="101">
        <v>2026</v>
      </c>
      <c r="L89" s="100" t="str">
        <v>June</v>
      </c>
      <c r="M89" s="87"/>
      <c r="N89" s="87"/>
      <c r="O89" s="87"/>
      <c r="P89" s="87"/>
      <c r="Q89" s="87"/>
      <c r="R89" s="87"/>
      <c r="S89" s="87"/>
      <c r="T89" s="87"/>
    </row>
    <row r="90" spans="1:20" ht="16.5" x14ac:dyDescent="0.3">
      <c r="A90" s="98" t="str">
        <v>Tomasa Quinonez</v>
      </c>
      <c r="B90" s="99">
        <v>46189</v>
      </c>
      <c r="C90" s="98" t="str">
        <v>Fabrication</v>
      </c>
      <c r="D90" s="100" t="str">
        <v>420</v>
      </c>
      <c r="E90" s="98" t="str">
        <v>Elizabeth Neufeld</v>
      </c>
      <c r="F90" s="98" t="str">
        <v>Flap Meat Trimmer</v>
      </c>
      <c r="G90" s="98" t="str">
        <v>Pinch Point - Caught In</v>
      </c>
      <c r="H90" s="115" t="str">
        <v>LT - Index Finger</v>
      </c>
      <c r="I90" s="100" t="str">
        <v>FA</v>
      </c>
      <c r="J90" s="100" t="str">
        <v>No</v>
      </c>
      <c r="K90" s="101">
        <v>2026</v>
      </c>
      <c r="L90" s="100" t="str">
        <v>June</v>
      </c>
      <c r="M90" s="87"/>
      <c r="N90" s="87"/>
      <c r="O90" s="87"/>
      <c r="P90" s="87"/>
      <c r="Q90" s="87"/>
      <c r="R90" s="87"/>
      <c r="S90" s="87"/>
      <c r="T90" s="87"/>
    </row>
    <row r="91" spans="1:20" ht="16.5" x14ac:dyDescent="0.3">
      <c r="A91" s="98" t="str">
        <v xml:space="preserve">Miguel Sandoval </v>
      </c>
      <c r="B91" s="99">
        <v>46189</v>
      </c>
      <c r="C91" s="98" t="str">
        <v>Harvest</v>
      </c>
      <c r="D91" s="100" t="str">
        <v>106</v>
      </c>
      <c r="E91" s="98" t="str">
        <v>Rutilio Rodriguez</v>
      </c>
      <c r="F91" s="98" t="str">
        <v>Deffect Trimmer (Inner)</v>
      </c>
      <c r="G91" s="98" t="str">
        <v>Puncture</v>
      </c>
      <c r="H91" s="115" t="str">
        <v>RT - Forearm</v>
      </c>
      <c r="I91" s="100" t="str">
        <v>FA</v>
      </c>
      <c r="J91" s="100" t="str">
        <v>No</v>
      </c>
      <c r="K91" s="101">
        <v>2026</v>
      </c>
      <c r="L91" s="100" t="str">
        <v>June</v>
      </c>
      <c r="M91" s="87"/>
      <c r="N91" s="87"/>
      <c r="O91" s="87"/>
      <c r="P91" s="87"/>
      <c r="Q91" s="87"/>
      <c r="R91" s="87"/>
      <c r="S91" s="87"/>
      <c r="T91" s="87"/>
    </row>
    <row r="92" spans="1:20" ht="16.5" x14ac:dyDescent="0.3">
      <c r="A92" s="98" t="str">
        <v>Balwinder Kaur</v>
      </c>
      <c r="B92" s="99">
        <v>46189</v>
      </c>
      <c r="C92" s="98" t="str">
        <v>Harvest</v>
      </c>
      <c r="D92" s="100" t="str">
        <v>109</v>
      </c>
      <c r="E92" s="98" t="str">
        <v>Samuel Sierra</v>
      </c>
      <c r="F92" s="98" t="str">
        <v>NA</v>
      </c>
      <c r="G92" s="98" t="str">
        <v>Slip, Trip, &amp; Fall</v>
      </c>
      <c r="H92" s="115" t="str">
        <v>RT - Knee</v>
      </c>
      <c r="I92" s="100" t="str">
        <v>RPO</v>
      </c>
      <c r="J92" s="100" t="str">
        <v>No</v>
      </c>
      <c r="K92" s="101">
        <v>2026</v>
      </c>
      <c r="L92" s="100" t="str">
        <v>June</v>
      </c>
      <c r="M92" s="87"/>
      <c r="N92" s="87"/>
      <c r="O92" s="87"/>
      <c r="P92" s="87"/>
      <c r="Q92" s="87"/>
      <c r="R92" s="87"/>
      <c r="S92" s="87"/>
      <c r="T92" s="87"/>
    </row>
    <row r="93" spans="1:20" ht="16.5" x14ac:dyDescent="0.3">
      <c r="A93" s="98" t="str">
        <v>Frank Padilla</v>
      </c>
      <c r="B93" s="99">
        <v>46188</v>
      </c>
      <c r="C93" s="98" t="str">
        <v>Fabrication</v>
      </c>
      <c r="D93" s="100" t="str">
        <v>400</v>
      </c>
      <c r="E93" s="98" t="str">
        <v>Ovidio Sanchez</v>
      </c>
      <c r="F93" s="98" t="str">
        <v>Brisket Boner</v>
      </c>
      <c r="G93" s="98" t="str">
        <v>Strain</v>
      </c>
      <c r="H93" s="115" t="str">
        <v>RT - Wrist</v>
      </c>
      <c r="I93" s="100" t="str">
        <v>FA</v>
      </c>
      <c r="J93" s="100" t="str">
        <v>No</v>
      </c>
      <c r="K93" s="101">
        <v>2026</v>
      </c>
      <c r="L93" s="100" t="str">
        <v>June</v>
      </c>
      <c r="M93" s="87"/>
      <c r="N93" s="87"/>
      <c r="O93" s="87"/>
      <c r="P93" s="87"/>
      <c r="Q93" s="87"/>
      <c r="R93" s="87"/>
      <c r="S93" s="87"/>
      <c r="T93" s="87"/>
    </row>
    <row r="94" spans="1:20" ht="16.5" x14ac:dyDescent="0.3">
      <c r="A94" s="98" t="str">
        <v>Armando Gonzalez</v>
      </c>
      <c r="B94" s="99">
        <v>46188</v>
      </c>
      <c r="C94" s="98" t="str">
        <v>Fabrication</v>
      </c>
      <c r="D94" s="100" t="str">
        <v>415</v>
      </c>
      <c r="E94" s="98" t="str">
        <v>Mary Coffee</v>
      </c>
      <c r="F94" s="98" t="str">
        <v xml:space="preserve">Chuck Boner </v>
      </c>
      <c r="G94" s="98" t="str">
        <v>Puncture</v>
      </c>
      <c r="H94" s="115" t="str">
        <v>RT - Hand</v>
      </c>
      <c r="I94" s="100" t="str">
        <v>FA</v>
      </c>
      <c r="J94" s="100" t="str">
        <v>No</v>
      </c>
      <c r="K94" s="101">
        <v>2026</v>
      </c>
      <c r="L94" s="100" t="str">
        <v>June</v>
      </c>
      <c r="M94" s="87"/>
      <c r="N94" s="87"/>
      <c r="O94" s="87"/>
      <c r="P94" s="87"/>
      <c r="Q94" s="87"/>
      <c r="R94" s="87"/>
      <c r="S94" s="87"/>
      <c r="T94" s="87"/>
    </row>
    <row r="95" spans="1:20" ht="16.5" x14ac:dyDescent="0.3">
      <c r="A95" s="98" t="str">
        <v>Marly Delgado</v>
      </c>
      <c r="B95" s="99">
        <v>46185</v>
      </c>
      <c r="C95" s="98" t="str">
        <v>Fabrication</v>
      </c>
      <c r="D95" s="100" t="str">
        <v>400</v>
      </c>
      <c r="E95" s="98" t="str">
        <v>Ovidio Sanchez</v>
      </c>
      <c r="F95" s="98" t="str">
        <v xml:space="preserve">Whizzard Knife Op. </v>
      </c>
      <c r="G95" s="98" t="str">
        <v>Strain</v>
      </c>
      <c r="H95" s="115" t="str">
        <v>RT - Shoulder Blade &amp; Mid Back (center)</v>
      </c>
      <c r="I95" s="100" t="str">
        <v>FA</v>
      </c>
      <c r="J95" s="100" t="str">
        <v>No</v>
      </c>
      <c r="K95" s="101">
        <v>2026</v>
      </c>
      <c r="L95" s="100" t="str">
        <v>June</v>
      </c>
      <c r="M95" s="87"/>
      <c r="N95" s="87"/>
      <c r="O95" s="87"/>
      <c r="P95" s="87"/>
      <c r="Q95" s="87"/>
      <c r="R95" s="87"/>
      <c r="S95" s="87"/>
      <c r="T95" s="87"/>
    </row>
    <row r="96" spans="1:20" ht="16.5" x14ac:dyDescent="0.3">
      <c r="A96" s="98" t="str">
        <v>Abraham Gonzales</v>
      </c>
      <c r="B96" s="99">
        <v>46185</v>
      </c>
      <c r="C96" s="98" t="str">
        <v>Harvest</v>
      </c>
      <c r="D96" s="100" t="str">
        <v>101</v>
      </c>
      <c r="E96" s="98" t="str">
        <v>Richard Xiong</v>
      </c>
      <c r="F96" s="98" t="str">
        <v>Udder Remover</v>
      </c>
      <c r="G96" s="98" t="str">
        <v>Strain</v>
      </c>
      <c r="H96" s="115" t="str">
        <v>RT - Wrist</v>
      </c>
      <c r="I96" s="100" t="str">
        <v>FA</v>
      </c>
      <c r="J96" s="100" t="str">
        <v>No</v>
      </c>
      <c r="K96" s="101">
        <v>2026</v>
      </c>
      <c r="L96" s="100" t="str">
        <v>June</v>
      </c>
      <c r="M96" s="87"/>
      <c r="N96" s="87"/>
      <c r="O96" s="87"/>
      <c r="P96" s="87"/>
      <c r="Q96" s="87"/>
      <c r="R96" s="87"/>
      <c r="S96" s="87"/>
      <c r="T96" s="87"/>
    </row>
    <row r="97" spans="1:20" ht="16.5" x14ac:dyDescent="0.3">
      <c r="A97" s="98" t="str">
        <v>Jose Lopez</v>
      </c>
      <c r="B97" s="99">
        <v>46185</v>
      </c>
      <c r="C97" s="98" t="str">
        <v>Harvest</v>
      </c>
      <c r="D97" s="100" t="str">
        <v>101</v>
      </c>
      <c r="E97" s="98" t="str">
        <v>Richard Xiong</v>
      </c>
      <c r="F97" s="98" t="str">
        <v>Udder Remover</v>
      </c>
      <c r="G97" s="98" t="str">
        <v>Strain</v>
      </c>
      <c r="H97" s="115" t="str">
        <v>Lower Back</v>
      </c>
      <c r="I97" s="100" t="str">
        <v>FA</v>
      </c>
      <c r="J97" s="100" t="str">
        <v>No</v>
      </c>
      <c r="K97" s="101">
        <v>2026</v>
      </c>
      <c r="L97" s="100" t="str">
        <v>June</v>
      </c>
      <c r="M97" s="87"/>
      <c r="N97" s="87"/>
      <c r="O97" s="87"/>
      <c r="P97" s="87"/>
      <c r="Q97" s="87"/>
      <c r="R97" s="87"/>
      <c r="S97" s="87"/>
      <c r="T97" s="87"/>
    </row>
    <row r="98" spans="1:20" ht="16.5" x14ac:dyDescent="0.3">
      <c r="A98" s="98" t="str">
        <v>Ricardo Lopez</v>
      </c>
      <c r="B98" s="99">
        <v>46184</v>
      </c>
      <c r="C98" s="98" t="str">
        <v>Harvest</v>
      </c>
      <c r="D98" s="100" t="str">
        <v>102</v>
      </c>
      <c r="E98" s="98" t="str">
        <v>Alex Vargas</v>
      </c>
      <c r="F98" s="98" t="str">
        <v>Eartagger</v>
      </c>
      <c r="G98" s="98" t="str">
        <v>Strain</v>
      </c>
      <c r="H98" s="115" t="str">
        <v>RT - Shoulder</v>
      </c>
      <c r="I98" s="100" t="str">
        <v>FA</v>
      </c>
      <c r="J98" s="100" t="str">
        <v>No</v>
      </c>
      <c r="K98" s="101">
        <v>2026</v>
      </c>
      <c r="L98" s="100" t="str">
        <v>June</v>
      </c>
      <c r="M98" s="87"/>
      <c r="N98" s="87"/>
      <c r="O98" s="87"/>
      <c r="P98" s="87"/>
      <c r="Q98" s="87"/>
      <c r="R98" s="87"/>
      <c r="S98" s="87"/>
      <c r="T98" s="87"/>
    </row>
    <row r="99" spans="1:20" ht="16.5" x14ac:dyDescent="0.3">
      <c r="A99" s="98" t="str">
        <v>Justin Briggs</v>
      </c>
      <c r="B99" s="99">
        <v>46183</v>
      </c>
      <c r="C99" s="98" t="str">
        <v>Harvest</v>
      </c>
      <c r="D99" s="100" t="str">
        <v>101</v>
      </c>
      <c r="E99" s="98" t="str">
        <v>Richard Xiong</v>
      </c>
      <c r="F99" s="98" t="str">
        <v>Lowrator</v>
      </c>
      <c r="G99" s="98" t="str">
        <v>Strain</v>
      </c>
      <c r="H99" s="115" t="str">
        <v xml:space="preserve">LT - Shoulder &amp; Shoulder Blade. </v>
      </c>
      <c r="I99" s="100" t="str">
        <v>FA</v>
      </c>
      <c r="J99" s="100" t="str">
        <v>No</v>
      </c>
      <c r="K99" s="101">
        <v>2026</v>
      </c>
      <c r="L99" s="100" t="str">
        <v>June</v>
      </c>
      <c r="M99" s="87"/>
      <c r="N99" s="87"/>
      <c r="O99" s="87"/>
      <c r="P99" s="87"/>
      <c r="Q99" s="87"/>
      <c r="R99" s="87"/>
      <c r="S99" s="87"/>
      <c r="T99" s="87"/>
    </row>
    <row r="100" spans="1:20" ht="16.5" x14ac:dyDescent="0.3">
      <c r="A100" s="98" t="str">
        <v>Jesus Bustos</v>
      </c>
      <c r="B100" s="99">
        <v>46183</v>
      </c>
      <c r="C100" s="98" t="str">
        <v>Fabrication</v>
      </c>
      <c r="D100" s="100" t="str">
        <v>410</v>
      </c>
      <c r="E100" s="98" t="str">
        <v>Juan Ramirez</v>
      </c>
      <c r="F100" s="98" t="str">
        <v>Tender Puller</v>
      </c>
      <c r="G100" s="98" t="str">
        <v>Strain</v>
      </c>
      <c r="H100" s="115" t="str">
        <v>LT - Forearm</v>
      </c>
      <c r="I100" s="100" t="str">
        <v>FA</v>
      </c>
      <c r="J100" s="100" t="str">
        <v>No</v>
      </c>
      <c r="K100" s="101">
        <v>2026</v>
      </c>
      <c r="L100" s="100" t="str">
        <v>June</v>
      </c>
      <c r="M100" s="87"/>
      <c r="N100" s="87"/>
      <c r="O100" s="87"/>
      <c r="P100" s="87"/>
      <c r="Q100" s="87"/>
      <c r="R100" s="87"/>
      <c r="S100" s="87"/>
      <c r="T100" s="87"/>
    </row>
    <row r="101" spans="1:20" ht="16.5" x14ac:dyDescent="0.3">
      <c r="A101" s="98" t="str">
        <v>Eduardo Contreras</v>
      </c>
      <c r="B101" s="99">
        <v>46183</v>
      </c>
      <c r="C101" s="98" t="str">
        <v>Harvest</v>
      </c>
      <c r="D101" s="100" t="str">
        <v>102</v>
      </c>
      <c r="E101" s="98" t="str">
        <v>Alex Vargas</v>
      </c>
      <c r="F101" s="98" t="str">
        <v>Wax Papper Remover</v>
      </c>
      <c r="G101" s="98" t="str">
        <v>Rash</v>
      </c>
      <c r="H101" s="115" t="str">
        <v>LT - Wrist, Back of Neck, &amp; Nose</v>
      </c>
      <c r="I101" s="100" t="str">
        <v>FA</v>
      </c>
      <c r="J101" s="100" t="str">
        <v>No</v>
      </c>
      <c r="K101" s="101">
        <v>2026</v>
      </c>
      <c r="L101" s="100" t="str">
        <v>June</v>
      </c>
      <c r="M101" s="87"/>
      <c r="N101" s="87"/>
      <c r="O101" s="87"/>
      <c r="P101" s="87"/>
      <c r="Q101" s="87"/>
      <c r="R101" s="87"/>
      <c r="S101" s="87"/>
      <c r="T101" s="87"/>
    </row>
    <row r="102" spans="1:20" ht="16.5" x14ac:dyDescent="0.3">
      <c r="A102" s="98" t="str">
        <v>Rosalba Aseguero</v>
      </c>
      <c r="B102" s="99">
        <v>46182</v>
      </c>
      <c r="C102" s="98" t="str">
        <v>Harvest</v>
      </c>
      <c r="D102" s="100" t="str">
        <v>102</v>
      </c>
      <c r="E102" s="98" t="str">
        <v>Alex Vargas</v>
      </c>
      <c r="F102" s="98" t="str">
        <v>2nd Hock Cutter</v>
      </c>
      <c r="G102" s="98" t="str">
        <v>Burn</v>
      </c>
      <c r="H102" s="115" t="str">
        <v>RT - Forearm &amp; Bilateral Facial (L &amp; R)</v>
      </c>
      <c r="I102" s="100" t="str">
        <v>FA</v>
      </c>
      <c r="J102" s="100" t="str">
        <v>No</v>
      </c>
      <c r="K102" s="101">
        <v>2026</v>
      </c>
      <c r="L102" s="100" t="str">
        <v>June</v>
      </c>
      <c r="M102" s="87"/>
      <c r="N102" s="87"/>
      <c r="O102" s="87"/>
      <c r="P102" s="87"/>
      <c r="Q102" s="87"/>
      <c r="R102" s="87"/>
      <c r="S102" s="87"/>
      <c r="T102" s="87"/>
    </row>
    <row r="103" spans="1:20" ht="16.5" x14ac:dyDescent="0.3">
      <c r="A103" s="98" t="str">
        <v>Luis Perez</v>
      </c>
      <c r="B103" s="99">
        <v>46182</v>
      </c>
      <c r="C103" s="98" t="str">
        <v>Harvest</v>
      </c>
      <c r="D103" s="100" t="str">
        <v>101</v>
      </c>
      <c r="E103" s="98" t="str">
        <v>Richard Xiong</v>
      </c>
      <c r="F103" s="98" t="str">
        <v>1st Gutter</v>
      </c>
      <c r="G103" s="98" t="str">
        <v>Strain</v>
      </c>
      <c r="H103" s="115" t="str">
        <v>Lower Back</v>
      </c>
      <c r="I103" s="100" t="str">
        <v>FA</v>
      </c>
      <c r="J103" s="100" t="str">
        <v>No</v>
      </c>
      <c r="K103" s="101">
        <v>2026</v>
      </c>
      <c r="L103" s="100" t="str">
        <v>June</v>
      </c>
      <c r="M103" s="87"/>
      <c r="N103" s="87"/>
      <c r="O103" s="87"/>
      <c r="P103" s="87"/>
      <c r="Q103" s="87"/>
      <c r="R103" s="87"/>
      <c r="S103" s="87"/>
      <c r="T103" s="87"/>
    </row>
    <row r="104" spans="1:20" ht="16.5" x14ac:dyDescent="0.3">
      <c r="A104" s="98" t="str">
        <v>Brian Camacho</v>
      </c>
      <c r="B104" s="99">
        <v>46181</v>
      </c>
      <c r="C104" s="98" t="str">
        <v>Outside Clean Up</v>
      </c>
      <c r="D104" s="100" t="str">
        <v>Outside Clean Up</v>
      </c>
      <c r="E104" s="98" t="str">
        <v>Clara Salazar</v>
      </c>
      <c r="F104" s="98" t="str">
        <v>Outside Clean Up</v>
      </c>
      <c r="G104" s="98" t="str">
        <v>Slip, Trip, &amp; Fall</v>
      </c>
      <c r="H104" s="115" t="str">
        <v>RT - Lower Back &amp; Pinky</v>
      </c>
      <c r="I104" s="100" t="str">
        <v>RECORDABLE</v>
      </c>
      <c r="J104" s="100" t="str">
        <v>Yes</v>
      </c>
      <c r="K104" s="101">
        <v>2026</v>
      </c>
      <c r="L104" s="100" t="str">
        <v>June</v>
      </c>
      <c r="M104" s="87"/>
      <c r="N104" s="87"/>
      <c r="O104" s="87"/>
      <c r="P104" s="87"/>
      <c r="Q104" s="87"/>
      <c r="R104" s="87"/>
      <c r="S104" s="87"/>
      <c r="T104" s="87"/>
    </row>
    <row r="105" spans="1:20" ht="16.5" x14ac:dyDescent="0.3">
      <c r="A105" s="98" t="str">
        <v>Jesse De La Torre</v>
      </c>
      <c r="B105" s="99">
        <v>46181</v>
      </c>
      <c r="C105" s="98" t="str">
        <v>Fabrication</v>
      </c>
      <c r="D105" s="100" t="str">
        <v>405</v>
      </c>
      <c r="E105" s="98" t="str">
        <v>Diego Soria</v>
      </c>
      <c r="F105" s="98" t="str">
        <v xml:space="preserve">Chine Saw </v>
      </c>
      <c r="G105" s="98" t="str">
        <v>Contact Stess</v>
      </c>
      <c r="H105" s="115" t="str">
        <v>LT - Middle, Ring, &amp; Pinky Finger &amp; RT - Ring Finger</v>
      </c>
      <c r="I105" s="100" t="str">
        <v>FA</v>
      </c>
      <c r="J105" s="100" t="str">
        <v>No</v>
      </c>
      <c r="K105" s="101">
        <v>2026</v>
      </c>
      <c r="L105" s="100" t="str">
        <v>June</v>
      </c>
      <c r="M105" s="87"/>
      <c r="N105" s="87"/>
      <c r="O105" s="87"/>
      <c r="P105" s="87"/>
      <c r="Q105" s="87"/>
      <c r="R105" s="87"/>
      <c r="S105" s="87"/>
      <c r="T105" s="87"/>
    </row>
    <row r="106" spans="1:20" ht="16.5" x14ac:dyDescent="0.3">
      <c r="A106" s="98" t="str">
        <v>Luis Flores</v>
      </c>
      <c r="B106" s="99">
        <v>46178</v>
      </c>
      <c r="C106" s="98" t="str">
        <v>Fabrication</v>
      </c>
      <c r="D106" s="100" t="str">
        <v>410</v>
      </c>
      <c r="E106" s="98" t="str">
        <v>Juan Ramirez</v>
      </c>
      <c r="F106" s="98" t="str">
        <v>Saw Helper</v>
      </c>
      <c r="G106" s="98" t="str">
        <v>Puncture</v>
      </c>
      <c r="H106" s="115" t="str">
        <v>LT - Palm</v>
      </c>
      <c r="I106" s="100" t="str">
        <v>FA</v>
      </c>
      <c r="J106" s="100" t="str">
        <v>No</v>
      </c>
      <c r="K106" s="101">
        <v>2026</v>
      </c>
      <c r="L106" s="100" t="str">
        <v>June</v>
      </c>
      <c r="M106" s="87"/>
      <c r="N106" s="87"/>
      <c r="O106" s="87"/>
      <c r="P106" s="87"/>
      <c r="Q106" s="87"/>
      <c r="R106" s="87"/>
      <c r="S106" s="87"/>
      <c r="T106" s="87"/>
    </row>
    <row r="107" spans="1:20" ht="16.5" x14ac:dyDescent="0.3">
      <c r="A107" s="98" t="str">
        <v>Manpreet Singh</v>
      </c>
      <c r="B107" s="99">
        <v>46177</v>
      </c>
      <c r="C107" s="98" t="str">
        <v>Fabrication</v>
      </c>
      <c r="D107" s="100" t="str">
        <v>400</v>
      </c>
      <c r="E107" s="98" t="str">
        <v>Ovidio Sanchez</v>
      </c>
      <c r="F107" s="98" t="str">
        <v>Wing Dropper</v>
      </c>
      <c r="G107" s="98" t="str">
        <v>Strain</v>
      </c>
      <c r="H107" s="115" t="str">
        <v>RT - Shoulder</v>
      </c>
      <c r="I107" s="100" t="str">
        <v>FA</v>
      </c>
      <c r="J107" s="100" t="str">
        <v>No</v>
      </c>
      <c r="K107" s="101">
        <v>2026</v>
      </c>
      <c r="L107" s="100" t="str">
        <v>June</v>
      </c>
      <c r="M107" s="87"/>
      <c r="N107" s="87"/>
      <c r="O107" s="87"/>
      <c r="P107" s="87"/>
      <c r="Q107" s="87"/>
      <c r="R107" s="87"/>
      <c r="S107" s="87"/>
      <c r="T107" s="87"/>
    </row>
    <row r="108" spans="1:20" ht="16.5" x14ac:dyDescent="0.3">
      <c r="A108" s="98" t="str">
        <v>Ismael Martinez</v>
      </c>
      <c r="B108" s="99">
        <v>46177</v>
      </c>
      <c r="C108" s="98" t="str">
        <v>Fabrication</v>
      </c>
      <c r="D108" s="100" t="str">
        <v>429</v>
      </c>
      <c r="E108" s="98" t="str">
        <v>Chadu Moua</v>
      </c>
      <c r="F108" s="98" t="str">
        <v xml:space="preserve">X-Ray Op. </v>
      </c>
      <c r="G108" s="98" t="str">
        <v xml:space="preserve">Crush Injury </v>
      </c>
      <c r="H108" s="115" t="str">
        <v>LT - Ring Finger</v>
      </c>
      <c r="I108" s="100" t="str">
        <v>FA</v>
      </c>
      <c r="J108" s="100" t="str">
        <v>No</v>
      </c>
      <c r="K108" s="101">
        <v>2026</v>
      </c>
      <c r="L108" s="100" t="str">
        <v>June</v>
      </c>
      <c r="M108" s="87"/>
      <c r="N108" s="87"/>
      <c r="O108" s="87"/>
      <c r="P108" s="87"/>
      <c r="Q108" s="87"/>
      <c r="R108" s="87"/>
      <c r="S108" s="87"/>
      <c r="T108" s="87"/>
    </row>
    <row r="109" spans="1:20" ht="16.5" x14ac:dyDescent="0.3">
      <c r="A109" s="98" t="str">
        <v>Sandra Arrendondo</v>
      </c>
      <c r="B109" s="99">
        <v>46176</v>
      </c>
      <c r="C109" s="98" t="str">
        <v>Fabrication</v>
      </c>
      <c r="D109" s="100" t="str">
        <v>400</v>
      </c>
      <c r="E109" s="98" t="str">
        <v>Ovidio Sanchez</v>
      </c>
      <c r="F109" s="98" t="str">
        <v>Fajitas</v>
      </c>
      <c r="G109" s="98" t="str">
        <v>Slip, Trip, &amp; Fall</v>
      </c>
      <c r="H109" s="115" t="str">
        <v>LT - Knee, Hip, Elbow</v>
      </c>
      <c r="I109" s="100" t="str">
        <v>FA</v>
      </c>
      <c r="J109" s="100" t="str">
        <v>No</v>
      </c>
      <c r="K109" s="101">
        <v>2026</v>
      </c>
      <c r="L109" s="100" t="str">
        <v>June</v>
      </c>
      <c r="M109" s="87"/>
      <c r="N109" s="87"/>
      <c r="O109" s="87"/>
      <c r="P109" s="87"/>
      <c r="Q109" s="87"/>
      <c r="R109" s="87"/>
      <c r="S109" s="87"/>
      <c r="T109" s="87"/>
    </row>
    <row r="110" spans="1:20" ht="16.5" x14ac:dyDescent="0.3">
      <c r="A110" s="98" t="str">
        <v>Juan Espinoza</v>
      </c>
      <c r="B110" s="99">
        <v>46176</v>
      </c>
      <c r="C110" s="98" t="str">
        <v>Harvest</v>
      </c>
      <c r="D110" s="100" t="str">
        <v>101</v>
      </c>
      <c r="E110" s="98" t="str">
        <v>Richard Xiong</v>
      </c>
      <c r="F110" s="98" t="str">
        <v>2nd Hang Off</v>
      </c>
      <c r="G110" s="98" t="str">
        <v>Burn</v>
      </c>
      <c r="H110" s="115" t="str">
        <v>RT - Pinky</v>
      </c>
      <c r="I110" s="100" t="str">
        <v>FA</v>
      </c>
      <c r="J110" s="100" t="str">
        <v>No</v>
      </c>
      <c r="K110" s="101">
        <v>2026</v>
      </c>
      <c r="L110" s="100" t="str">
        <v>June</v>
      </c>
      <c r="M110" s="87"/>
      <c r="N110" s="87"/>
      <c r="O110" s="87"/>
      <c r="P110" s="87"/>
      <c r="Q110" s="87"/>
      <c r="R110" s="87"/>
      <c r="S110" s="87"/>
      <c r="T110" s="87"/>
    </row>
    <row r="111" spans="1:20" ht="16.5" x14ac:dyDescent="0.3">
      <c r="A111" s="98" t="str">
        <v>Salvador Gutierez</v>
      </c>
      <c r="B111" s="99">
        <v>46175</v>
      </c>
      <c r="C111" s="98" t="str">
        <v>Loading Dock</v>
      </c>
      <c r="D111" s="100" t="str">
        <v>Loading Dock</v>
      </c>
      <c r="E111" s="98" t="str">
        <v>Francisco Tapia</v>
      </c>
      <c r="F111" s="98" t="str">
        <v>Forklift Op</v>
      </c>
      <c r="G111" s="98" t="str">
        <v>Slip, Trip, &amp; Fall</v>
      </c>
      <c r="H111" s="115" t="str">
        <v xml:space="preserve">LT - Shoulder, Hip, &amp; Cheek. </v>
      </c>
      <c r="I111" s="100" t="str">
        <v>FA</v>
      </c>
      <c r="J111" s="100" t="str">
        <v>No</v>
      </c>
      <c r="K111" s="101">
        <v>2026</v>
      </c>
      <c r="L111" s="100" t="str">
        <v>June</v>
      </c>
      <c r="M111" s="87"/>
      <c r="N111" s="87"/>
      <c r="O111" s="87"/>
      <c r="P111" s="87"/>
      <c r="Q111" s="87"/>
      <c r="R111" s="87"/>
      <c r="S111" s="87"/>
      <c r="T111" s="87"/>
    </row>
    <row r="112" spans="1:20" ht="16.5" x14ac:dyDescent="0.3">
      <c r="A112" s="98" t="str">
        <v>Alejandro Pantoja</v>
      </c>
      <c r="B112" s="99">
        <v>46175</v>
      </c>
      <c r="C112" s="98" t="str">
        <v>Harvest</v>
      </c>
      <c r="D112" s="100" t="str">
        <v>105</v>
      </c>
      <c r="E112" s="98" t="str">
        <v>Michael Orozco</v>
      </c>
      <c r="F112" s="98" t="str">
        <v>Hang Heart &amp; Liver</v>
      </c>
      <c r="G112" s="98" t="str">
        <v>Puncture</v>
      </c>
      <c r="H112" s="115" t="str">
        <v>RT - Middle Finger</v>
      </c>
      <c r="I112" s="100" t="str">
        <v>FA</v>
      </c>
      <c r="J112" s="100" t="str">
        <v>No</v>
      </c>
      <c r="K112" s="101">
        <v>2026</v>
      </c>
      <c r="L112" s="100" t="str">
        <v>June</v>
      </c>
      <c r="M112" s="87"/>
      <c r="N112" s="87"/>
      <c r="O112" s="87"/>
      <c r="P112" s="87"/>
      <c r="Q112" s="87"/>
      <c r="R112" s="87"/>
      <c r="S112" s="87"/>
      <c r="T112" s="87"/>
    </row>
    <row r="113" spans="1:20" ht="16.5" x14ac:dyDescent="0.3">
      <c r="A113" s="98" t="str">
        <v>Oshmar Hernandez</v>
      </c>
      <c r="B113" s="99">
        <v>46175</v>
      </c>
      <c r="C113" s="98" t="str">
        <v>Harvest</v>
      </c>
      <c r="D113" s="100" t="str">
        <v>105</v>
      </c>
      <c r="E113" s="98" t="str">
        <v>Michael Orozco</v>
      </c>
      <c r="F113" s="98" t="str">
        <v>NA</v>
      </c>
      <c r="G113" s="98" t="str">
        <v>Rash</v>
      </c>
      <c r="H113" s="115" t="str">
        <v>LT - Middle &amp; Ring Finger</v>
      </c>
      <c r="I113" s="100" t="str">
        <v>RPO</v>
      </c>
      <c r="J113" s="100" t="str">
        <v>No</v>
      </c>
      <c r="K113" s="101">
        <v>2026</v>
      </c>
      <c r="L113" s="100" t="str">
        <v>June</v>
      </c>
      <c r="M113" s="87"/>
      <c r="N113" s="87"/>
      <c r="O113" s="87"/>
      <c r="P113" s="87"/>
      <c r="Q113" s="87"/>
      <c r="R113" s="87"/>
      <c r="S113" s="87"/>
      <c r="T113" s="87"/>
    </row>
    <row r="114" spans="1:20" ht="16.5" x14ac:dyDescent="0.3">
      <c r="A114" s="98" t="str">
        <v>Eduardo Contreras</v>
      </c>
      <c r="B114" s="99">
        <v>46174</v>
      </c>
      <c r="C114" s="98" t="str">
        <v>Harvest</v>
      </c>
      <c r="D114" s="100" t="str">
        <v>102</v>
      </c>
      <c r="E114" s="98" t="str">
        <v>Alex Vargas</v>
      </c>
      <c r="F114" s="98" t="str">
        <v>Wax Papper Remover</v>
      </c>
      <c r="G114" s="98" t="str">
        <v>Slip, Trip, &amp; Fall</v>
      </c>
      <c r="H114" s="115" t="str">
        <v>Butt &amp; Lower Back (All)</v>
      </c>
      <c r="I114" s="100" t="str">
        <v>RPO</v>
      </c>
      <c r="J114" s="100" t="str">
        <v>No</v>
      </c>
      <c r="K114" s="101">
        <v>2026</v>
      </c>
      <c r="L114" s="100" t="str">
        <v>June</v>
      </c>
      <c r="M114" s="87"/>
      <c r="N114" s="87"/>
      <c r="O114" s="87"/>
      <c r="P114" s="87"/>
      <c r="Q114" s="87"/>
      <c r="R114" s="87"/>
      <c r="S114" s="87"/>
      <c r="T114" s="87"/>
    </row>
    <row r="115" spans="1:20" ht="16.5" x14ac:dyDescent="0.3">
      <c r="A115" s="98" t="str">
        <v>Baljit Kaur</v>
      </c>
      <c r="B115" s="99">
        <v>46171</v>
      </c>
      <c r="C115" s="98" t="str">
        <v>Fabrication</v>
      </c>
      <c r="D115" s="100" t="str">
        <v>420</v>
      </c>
      <c r="E115" s="98" t="str">
        <v>Elizabeth Neufeld</v>
      </c>
      <c r="F115" s="98" t="str">
        <v>Trimmer - Upgrade</v>
      </c>
      <c r="G115" s="98" t="str">
        <v>Slip, Trip, &amp; Fall</v>
      </c>
      <c r="H115" s="115" t="str">
        <v>RT - Knee &amp; Elbow</v>
      </c>
      <c r="I115" s="100" t="str">
        <v>FA</v>
      </c>
      <c r="J115" s="100" t="str">
        <v>No</v>
      </c>
      <c r="K115" s="101">
        <v>2026</v>
      </c>
      <c r="L115" s="100" t="str">
        <v>May</v>
      </c>
      <c r="M115" s="87"/>
      <c r="N115" s="87"/>
      <c r="O115" s="87"/>
      <c r="P115" s="87"/>
      <c r="Q115" s="87"/>
      <c r="R115" s="87"/>
      <c r="S115" s="87"/>
      <c r="T115" s="87"/>
    </row>
    <row r="116" spans="1:20" ht="16.5" x14ac:dyDescent="0.3">
      <c r="A116" s="98" t="str">
        <v>Paul Estrada</v>
      </c>
      <c r="B116" s="99">
        <v>46171</v>
      </c>
      <c r="C116" s="98" t="str">
        <v>Corrals</v>
      </c>
      <c r="D116" s="100" t="str">
        <v>100</v>
      </c>
      <c r="E116" s="98" t="str">
        <v>Marilyn Herrera</v>
      </c>
      <c r="F116" s="98" t="str">
        <v>Cattle Pusher</v>
      </c>
      <c r="G116" s="98" t="str">
        <v>Slip, Trip, &amp; Fall</v>
      </c>
      <c r="H116" s="115" t="str">
        <v>RT - Ankle &amp; Wrist</v>
      </c>
      <c r="I116" s="100" t="str">
        <v>FA</v>
      </c>
      <c r="J116" s="100" t="str">
        <v>No</v>
      </c>
      <c r="K116" s="101">
        <v>2026</v>
      </c>
      <c r="L116" s="100" t="str">
        <v>May</v>
      </c>
      <c r="M116" s="87"/>
      <c r="N116" s="87"/>
      <c r="O116" s="87"/>
      <c r="P116" s="87"/>
      <c r="Q116" s="87"/>
      <c r="R116" s="87"/>
      <c r="S116" s="87"/>
      <c r="T116" s="87"/>
    </row>
    <row r="117" spans="1:20" ht="16.5" x14ac:dyDescent="0.3">
      <c r="A117" s="98" t="str">
        <v>Diego Prciado</v>
      </c>
      <c r="B117" s="99">
        <v>46171</v>
      </c>
      <c r="C117" s="98" t="str">
        <v>Harvest</v>
      </c>
      <c r="D117" s="100" t="str">
        <v>105</v>
      </c>
      <c r="E117" s="98" t="str">
        <v>Michael Orozco</v>
      </c>
      <c r="F117" s="98" t="str">
        <v>Gutter</v>
      </c>
      <c r="G117" s="98" t="str">
        <v>Rash</v>
      </c>
      <c r="H117" s="115" t="str">
        <v>LT - Upper Back, Mid Back, &amp; Lower Back</v>
      </c>
      <c r="I117" s="100" t="str">
        <v>FA</v>
      </c>
      <c r="J117" s="100" t="str">
        <v>No</v>
      </c>
      <c r="K117" s="101">
        <v>2026</v>
      </c>
      <c r="L117" s="100" t="str">
        <v>May</v>
      </c>
      <c r="M117" s="87"/>
      <c r="N117" s="87"/>
      <c r="O117" s="87"/>
      <c r="P117" s="87"/>
      <c r="Q117" s="87"/>
      <c r="R117" s="87"/>
      <c r="S117" s="87"/>
      <c r="T117" s="87"/>
    </row>
    <row r="118" spans="1:20" ht="16.5" x14ac:dyDescent="0.3">
      <c r="A118" s="98" t="str">
        <v>Ricardo Lopez</v>
      </c>
      <c r="B118" s="99">
        <v>46171</v>
      </c>
      <c r="C118" s="98" t="str">
        <v>Harvest</v>
      </c>
      <c r="D118" s="100" t="str">
        <v>102</v>
      </c>
      <c r="E118" s="98" t="str">
        <v>Alex Vargas</v>
      </c>
      <c r="F118" s="98" t="str">
        <v>Eartagger</v>
      </c>
      <c r="G118" s="98" t="str">
        <v>Contact Stess</v>
      </c>
      <c r="H118" s="115" t="str">
        <v>RT - Foot (Toes)</v>
      </c>
      <c r="I118" s="100" t="str">
        <v>FA</v>
      </c>
      <c r="J118" s="100" t="str">
        <v>No</v>
      </c>
      <c r="K118" s="101">
        <v>2026</v>
      </c>
      <c r="L118" s="100" t="str">
        <v>May</v>
      </c>
      <c r="M118" s="87"/>
      <c r="N118" s="87"/>
      <c r="O118" s="87"/>
      <c r="P118" s="87"/>
      <c r="Q118" s="87"/>
      <c r="R118" s="87"/>
      <c r="S118" s="87"/>
      <c r="T118" s="87"/>
    </row>
    <row r="119" spans="1:20" ht="16.5" x14ac:dyDescent="0.3">
      <c r="A119" s="98" t="str">
        <v>Ricardo Lopez</v>
      </c>
      <c r="B119" s="99">
        <v>46171</v>
      </c>
      <c r="C119" s="98" t="str">
        <v>Harvest</v>
      </c>
      <c r="D119" s="100" t="str">
        <v>102</v>
      </c>
      <c r="E119" s="98" t="str">
        <v>Alex Vargas</v>
      </c>
      <c r="F119" s="98" t="str">
        <v>Eartagger</v>
      </c>
      <c r="G119" s="98" t="str">
        <v>Contact Stess</v>
      </c>
      <c r="H119" s="115" t="str">
        <v>RT - Middle Finger</v>
      </c>
      <c r="I119" s="100" t="str">
        <v>FA</v>
      </c>
      <c r="J119" s="100" t="str">
        <v>No</v>
      </c>
      <c r="K119" s="101">
        <v>2026</v>
      </c>
      <c r="L119" s="100" t="str">
        <v>May</v>
      </c>
      <c r="M119" s="87"/>
      <c r="N119" s="87"/>
      <c r="O119" s="87"/>
      <c r="P119" s="87"/>
      <c r="Q119" s="87"/>
      <c r="R119" s="87"/>
      <c r="S119" s="87"/>
      <c r="T119" s="87"/>
    </row>
    <row r="120" spans="1:20" ht="16.5" x14ac:dyDescent="0.3">
      <c r="A120" s="98" t="str">
        <v>Baljit Kaur</v>
      </c>
      <c r="B120" s="99">
        <v>46171</v>
      </c>
      <c r="C120" s="98" t="str">
        <v>Fabrication</v>
      </c>
      <c r="D120" s="100" t="str">
        <v>420</v>
      </c>
      <c r="E120" s="98" t="str">
        <v>Elizabeth Neufeld</v>
      </c>
      <c r="F120" s="98" t="str">
        <v>Trimmer - Upgrade</v>
      </c>
      <c r="G120" s="98" t="str">
        <v>Strain</v>
      </c>
      <c r="H120" s="115" t="str">
        <v>RT - Hand</v>
      </c>
      <c r="I120" s="100" t="str">
        <v>FA</v>
      </c>
      <c r="J120" s="100" t="str">
        <v>No</v>
      </c>
      <c r="K120" s="101">
        <v>2026</v>
      </c>
      <c r="L120" s="100" t="str">
        <v>May</v>
      </c>
      <c r="M120" s="87"/>
      <c r="N120" s="87"/>
      <c r="O120" s="87"/>
      <c r="P120" s="87"/>
      <c r="Q120" s="87"/>
      <c r="R120" s="87"/>
      <c r="S120" s="87"/>
      <c r="T120" s="87"/>
    </row>
    <row r="121" spans="1:20" ht="16.5" x14ac:dyDescent="0.3">
      <c r="A121" s="98" t="str">
        <v>Daniel Verduzco</v>
      </c>
      <c r="B121" s="99">
        <v>46170</v>
      </c>
      <c r="C121" s="98" t="str">
        <v>Harvest</v>
      </c>
      <c r="D121" s="100" t="str">
        <v>NA</v>
      </c>
      <c r="E121" s="98" t="str">
        <v>Samuel Sierra</v>
      </c>
      <c r="F121" s="98" t="str">
        <v>NA</v>
      </c>
      <c r="G121" s="98" t="str">
        <v>Abrasion</v>
      </c>
      <c r="H121" s="115" t="str">
        <v>RT - Hand</v>
      </c>
      <c r="I121" s="100" t="str">
        <v>FA</v>
      </c>
      <c r="J121" s="100" t="str">
        <v>No</v>
      </c>
      <c r="K121" s="101">
        <v>2026</v>
      </c>
      <c r="L121" s="100" t="str">
        <v>May</v>
      </c>
      <c r="M121" s="87"/>
      <c r="N121" s="87"/>
      <c r="O121" s="87"/>
      <c r="P121" s="87"/>
      <c r="Q121" s="87"/>
      <c r="R121" s="87"/>
      <c r="S121" s="87"/>
      <c r="T121" s="87"/>
    </row>
    <row r="122" spans="1:20" ht="16.5" x14ac:dyDescent="0.3">
      <c r="A122" s="98" t="str">
        <v>Ralph Gonzalez</v>
      </c>
      <c r="B122" s="99">
        <v>46169</v>
      </c>
      <c r="C122" s="98" t="str">
        <v>Harvest</v>
      </c>
      <c r="D122" s="100" t="str">
        <v>107</v>
      </c>
      <c r="E122" s="98" t="str">
        <v>Samuel Sierra</v>
      </c>
      <c r="F122" s="98" t="str">
        <v xml:space="preserve">Chisler </v>
      </c>
      <c r="G122" s="98" t="str">
        <v>Strain</v>
      </c>
      <c r="H122" s="115" t="str">
        <v>RT - Foot</v>
      </c>
      <c r="I122" s="100" t="str">
        <v>RPO</v>
      </c>
      <c r="J122" s="100" t="str">
        <v>No</v>
      </c>
      <c r="K122" s="101">
        <v>2026</v>
      </c>
      <c r="L122" s="100" t="str">
        <v>May</v>
      </c>
      <c r="M122" s="87"/>
      <c r="N122" s="87"/>
      <c r="O122" s="87"/>
      <c r="P122" s="87"/>
      <c r="Q122" s="87"/>
      <c r="R122" s="87"/>
      <c r="S122" s="87"/>
      <c r="T122" s="87"/>
    </row>
    <row r="123" spans="1:20" ht="16.5" x14ac:dyDescent="0.3">
      <c r="A123" s="98" t="str">
        <v>Gerardo Ibarra</v>
      </c>
      <c r="B123" s="99">
        <v>46168</v>
      </c>
      <c r="C123" s="98" t="str">
        <v>Fabrication</v>
      </c>
      <c r="D123" s="100" t="str">
        <v>400</v>
      </c>
      <c r="E123" s="98" t="str">
        <v>Ovidio Sanchez</v>
      </c>
      <c r="F123" s="98" t="str">
        <v>Knuckle Puller</v>
      </c>
      <c r="G123" s="98" t="str">
        <v>Strain</v>
      </c>
      <c r="H123" s="115" t="str">
        <v>RT - Shoulder</v>
      </c>
      <c r="I123" s="100" t="str">
        <v>FA</v>
      </c>
      <c r="J123" s="100" t="str">
        <v>No</v>
      </c>
      <c r="K123" s="101">
        <v>2026</v>
      </c>
      <c r="L123" s="100" t="str">
        <v>May</v>
      </c>
      <c r="M123" s="87"/>
      <c r="N123" s="87"/>
      <c r="O123" s="87"/>
      <c r="P123" s="87"/>
      <c r="Q123" s="87"/>
      <c r="R123" s="87"/>
      <c r="S123" s="87"/>
      <c r="T123" s="87"/>
    </row>
    <row r="124" spans="1:20" ht="16.5" x14ac:dyDescent="0.3">
      <c r="A124" s="98" t="str">
        <v>Michael Rocha</v>
      </c>
      <c r="B124" s="99">
        <v>46164</v>
      </c>
      <c r="C124" s="98" t="str">
        <v>Fabrication</v>
      </c>
      <c r="D124" s="100" t="str">
        <v>400</v>
      </c>
      <c r="E124" s="98" t="str">
        <v>Ovidio Sanchez</v>
      </c>
      <c r="F124" s="98" t="str">
        <v>Clod Puller</v>
      </c>
      <c r="G124" s="98" t="str">
        <v xml:space="preserve">Foreign Object </v>
      </c>
      <c r="H124" s="115" t="str">
        <v xml:space="preserve">RT - Eye </v>
      </c>
      <c r="I124" s="100" t="str">
        <v>FA</v>
      </c>
      <c r="J124" s="100" t="str">
        <v>No</v>
      </c>
      <c r="K124" s="101">
        <v>2026</v>
      </c>
      <c r="L124" s="100" t="str">
        <v>May</v>
      </c>
      <c r="M124" s="87"/>
      <c r="N124" s="87"/>
      <c r="O124" s="87"/>
      <c r="P124" s="87"/>
      <c r="Q124" s="87"/>
      <c r="R124" s="87"/>
      <c r="S124" s="87"/>
      <c r="T124" s="87"/>
    </row>
    <row r="125" spans="1:20" ht="16.5" x14ac:dyDescent="0.3">
      <c r="A125" s="98" t="str">
        <v>Eduardo Peres</v>
      </c>
      <c r="B125" s="99">
        <v>46163</v>
      </c>
      <c r="C125" s="98" t="str">
        <v>Fabrication</v>
      </c>
      <c r="D125" s="100" t="str">
        <v>400</v>
      </c>
      <c r="E125" s="98" t="str">
        <v>Ovidio Sanchez</v>
      </c>
      <c r="F125" s="98" t="str">
        <v>Brisket Puller</v>
      </c>
      <c r="G125" s="98" t="str">
        <v>Slip, Trip, &amp; Fall</v>
      </c>
      <c r="H125" s="115" t="str">
        <v>NA</v>
      </c>
      <c r="I125" s="100" t="str">
        <v>RPO</v>
      </c>
      <c r="J125" s="100" t="str">
        <v>No</v>
      </c>
      <c r="K125" s="101">
        <v>2026</v>
      </c>
      <c r="L125" s="100" t="str">
        <v>May</v>
      </c>
      <c r="M125" s="87"/>
      <c r="N125" s="87"/>
      <c r="O125" s="87"/>
      <c r="P125" s="87"/>
      <c r="Q125" s="87"/>
      <c r="R125" s="87"/>
      <c r="S125" s="87"/>
      <c r="T125" s="87"/>
    </row>
    <row r="126" spans="1:20" ht="16.5" x14ac:dyDescent="0.3">
      <c r="A126" s="98" t="str">
        <v>Saul Flores</v>
      </c>
      <c r="B126" s="99">
        <v>46161</v>
      </c>
      <c r="C126" s="98" t="str">
        <v>Fabrication</v>
      </c>
      <c r="D126" s="100" t="str">
        <v>415</v>
      </c>
      <c r="E126" s="98" t="str">
        <v>Juan Rodriguez</v>
      </c>
      <c r="F126" s="98" t="str">
        <v>NA</v>
      </c>
      <c r="G126" s="98" t="str">
        <v>Slip, Trip, &amp; Fall</v>
      </c>
      <c r="H126" s="115" t="str">
        <v>NA</v>
      </c>
      <c r="I126" s="100" t="str">
        <v>RPO</v>
      </c>
      <c r="J126" s="100" t="str">
        <v>No</v>
      </c>
      <c r="K126" s="101">
        <v>2026</v>
      </c>
      <c r="L126" s="100" t="str">
        <v>May</v>
      </c>
      <c r="M126" s="87"/>
      <c r="N126" s="87"/>
      <c r="O126" s="87"/>
      <c r="P126" s="87"/>
      <c r="Q126" s="87"/>
      <c r="R126" s="87"/>
      <c r="S126" s="87"/>
      <c r="T126" s="87"/>
    </row>
    <row r="127" spans="1:20" ht="16.5" x14ac:dyDescent="0.3">
      <c r="A127" s="98" t="str">
        <v>Adrian Chaidez</v>
      </c>
      <c r="B127" s="99">
        <v>46156</v>
      </c>
      <c r="C127" s="98" t="str">
        <v>Fabrication</v>
      </c>
      <c r="D127" s="100" t="str">
        <v>410</v>
      </c>
      <c r="E127" s="98" t="str">
        <v>Juan Ramirez</v>
      </c>
      <c r="F127" s="98" t="str">
        <v>Round Dropper</v>
      </c>
      <c r="G127" s="98" t="str">
        <v>Strain</v>
      </c>
      <c r="H127" s="115" t="str">
        <v>RT - Shoulder</v>
      </c>
      <c r="I127" s="100" t="str">
        <v>FA</v>
      </c>
      <c r="J127" s="100" t="str">
        <v>No</v>
      </c>
      <c r="K127" s="101">
        <v>2026</v>
      </c>
      <c r="L127" s="100" t="str">
        <v>May</v>
      </c>
      <c r="M127" s="87"/>
      <c r="N127" s="87"/>
      <c r="O127" s="87"/>
      <c r="P127" s="87"/>
      <c r="Q127" s="87"/>
      <c r="R127" s="87"/>
      <c r="S127" s="87"/>
      <c r="T127" s="87"/>
    </row>
    <row r="128" spans="1:20" ht="16.5" x14ac:dyDescent="0.3">
      <c r="A128" s="98" t="str">
        <v>Daniel Verduzco</v>
      </c>
      <c r="B128" s="99">
        <v>46155</v>
      </c>
      <c r="C128" s="98" t="str">
        <v>Harvest</v>
      </c>
      <c r="D128" s="100" t="str">
        <v>109</v>
      </c>
      <c r="E128" s="98" t="str">
        <v>Samuel Sierra</v>
      </c>
      <c r="F128" s="98" t="str">
        <v>Intestine Stripper</v>
      </c>
      <c r="G128" s="98" t="str">
        <v>Strain</v>
      </c>
      <c r="H128" s="115" t="str">
        <v>LT - Shoulder</v>
      </c>
      <c r="I128" s="100" t="str">
        <v>FA</v>
      </c>
      <c r="J128" s="100" t="str">
        <v>No</v>
      </c>
      <c r="K128" s="101">
        <v>2026</v>
      </c>
      <c r="L128" s="100" t="str">
        <v>May</v>
      </c>
      <c r="M128" s="87"/>
      <c r="N128" s="87"/>
      <c r="O128" s="87"/>
      <c r="P128" s="87"/>
      <c r="Q128" s="87"/>
      <c r="R128" s="87"/>
      <c r="S128" s="87"/>
      <c r="T128" s="87"/>
    </row>
    <row r="129" spans="1:20" ht="16.5" x14ac:dyDescent="0.3">
      <c r="A129" s="98" t="str">
        <v>Joseph Gomez</v>
      </c>
      <c r="B129" s="99">
        <v>46155</v>
      </c>
      <c r="C129" s="98" t="str">
        <v>Harvest</v>
      </c>
      <c r="D129" s="100" t="str">
        <v>101</v>
      </c>
      <c r="E129" s="98" t="str">
        <v>Richard Xiong</v>
      </c>
      <c r="F129" s="98" t="str">
        <v>Shackler</v>
      </c>
      <c r="G129" s="98" t="str">
        <v>Struck by Against Object</v>
      </c>
      <c r="H129" s="115" t="str">
        <v>RT - Elbow</v>
      </c>
      <c r="I129" s="100" t="str">
        <v>FA</v>
      </c>
      <c r="J129" s="100" t="str">
        <v>No</v>
      </c>
      <c r="K129" s="101">
        <v>2026</v>
      </c>
      <c r="L129" s="100" t="str">
        <v>May</v>
      </c>
      <c r="M129" s="87"/>
      <c r="N129" s="87"/>
      <c r="O129" s="87"/>
      <c r="P129" s="87"/>
      <c r="Q129" s="87"/>
      <c r="R129" s="87"/>
      <c r="S129" s="87"/>
      <c r="T129" s="87"/>
    </row>
    <row r="130" spans="1:20" ht="16.5" x14ac:dyDescent="0.3">
      <c r="A130" s="98" t="str">
        <v>Eden Segoviano</v>
      </c>
      <c r="B130" s="99">
        <v>46155</v>
      </c>
      <c r="C130" s="98" t="str">
        <v>Fabrication</v>
      </c>
      <c r="D130" s="100" t="str">
        <v>405</v>
      </c>
      <c r="E130" s="98" t="str">
        <v>Diego Soria</v>
      </c>
      <c r="F130" s="98" t="str">
        <v>Rib Bonner</v>
      </c>
      <c r="G130" s="98" t="str">
        <v>Puncture</v>
      </c>
      <c r="H130" s="115" t="str">
        <v>RT - Thumb</v>
      </c>
      <c r="I130" s="100" t="str">
        <v>FA</v>
      </c>
      <c r="J130" s="100" t="str">
        <v>No</v>
      </c>
      <c r="K130" s="101">
        <v>2026</v>
      </c>
      <c r="L130" s="100" t="str">
        <v>May</v>
      </c>
      <c r="M130" s="87"/>
      <c r="N130" s="87"/>
      <c r="O130" s="87"/>
      <c r="P130" s="87"/>
      <c r="Q130" s="87"/>
      <c r="R130" s="87"/>
      <c r="S130" s="87"/>
      <c r="T130" s="87"/>
    </row>
    <row r="131" spans="1:20" ht="16.5" x14ac:dyDescent="0.3">
      <c r="A131" s="98" t="str">
        <v>Karina Torres</v>
      </c>
      <c r="B131" s="99">
        <v>46155</v>
      </c>
      <c r="C131" s="98" t="str">
        <v>Harvest</v>
      </c>
      <c r="D131" s="100" t="str">
        <v>109</v>
      </c>
      <c r="E131" s="98" t="str">
        <v>Samuel Sierra</v>
      </c>
      <c r="F131" s="98" t="str">
        <v>Kidney Remover</v>
      </c>
      <c r="G131" s="98" t="str">
        <v xml:space="preserve">Crush Injury </v>
      </c>
      <c r="H131" s="115" t="str">
        <v>LT - Ring Finger</v>
      </c>
      <c r="I131" s="100" t="str">
        <v>RECORDABLE</v>
      </c>
      <c r="J131" s="100" t="str">
        <v>Yes</v>
      </c>
      <c r="K131" s="101">
        <v>2026</v>
      </c>
      <c r="L131" s="100" t="str">
        <v>May</v>
      </c>
      <c r="M131" s="87"/>
      <c r="N131" s="87"/>
      <c r="O131" s="87"/>
      <c r="P131" s="87"/>
      <c r="Q131" s="87"/>
      <c r="R131" s="87"/>
      <c r="S131" s="87"/>
      <c r="T131" s="87"/>
    </row>
    <row r="132" spans="1:20" ht="16.5" x14ac:dyDescent="0.3">
      <c r="A132" s="98" t="str">
        <v>Bernardo Gonzalez</v>
      </c>
      <c r="B132" s="99">
        <v>46154</v>
      </c>
      <c r="C132" s="98" t="str">
        <v>Fabrication</v>
      </c>
      <c r="D132" s="100" t="str">
        <v>410</v>
      </c>
      <c r="E132" s="98" t="str">
        <v>Juan Ramirez</v>
      </c>
      <c r="F132" s="98" t="str">
        <v>Loin Puller</v>
      </c>
      <c r="G132" s="98" t="str">
        <v>Strain</v>
      </c>
      <c r="H132" s="115" t="str">
        <v>LT - Side Chest</v>
      </c>
      <c r="I132" s="100" t="str">
        <v>FA</v>
      </c>
      <c r="J132" s="100" t="str">
        <v>No</v>
      </c>
      <c r="K132" s="101">
        <v>2026</v>
      </c>
      <c r="L132" s="100" t="str">
        <v>May</v>
      </c>
      <c r="M132" s="87"/>
      <c r="N132" s="87"/>
      <c r="O132" s="87"/>
      <c r="P132" s="87"/>
      <c r="Q132" s="87"/>
      <c r="R132" s="87"/>
      <c r="S132" s="87"/>
      <c r="T132" s="87"/>
    </row>
    <row r="133" spans="1:20" ht="16.5" x14ac:dyDescent="0.3">
      <c r="A133" s="98" t="str">
        <v>Manpreet Singh</v>
      </c>
      <c r="B133" s="99">
        <v>46154</v>
      </c>
      <c r="C133" s="98" t="str">
        <v>Fabrication</v>
      </c>
      <c r="D133" s="100" t="str">
        <v>400</v>
      </c>
      <c r="E133" s="98" t="str">
        <v>Ovidio Sanchez</v>
      </c>
      <c r="F133" s="98" t="str">
        <v>Wing Dropper</v>
      </c>
      <c r="G133" s="98" t="str">
        <v>Contact Stess</v>
      </c>
      <c r="H133" s="115" t="str">
        <v>LT - Index Finger</v>
      </c>
      <c r="I133" s="100" t="str">
        <v>FA</v>
      </c>
      <c r="J133" s="100" t="str">
        <v>No</v>
      </c>
      <c r="K133" s="101">
        <v>2026</v>
      </c>
      <c r="L133" s="100" t="str">
        <v>May</v>
      </c>
      <c r="M133" s="87"/>
      <c r="N133" s="87"/>
      <c r="O133" s="87"/>
      <c r="P133" s="87"/>
      <c r="Q133" s="87"/>
      <c r="R133" s="87"/>
      <c r="S133" s="87"/>
      <c r="T133" s="87"/>
    </row>
    <row r="134" spans="1:20" ht="16.5" x14ac:dyDescent="0.3">
      <c r="A134" s="98" t="str">
        <v>Manpreet Singh</v>
      </c>
      <c r="B134" s="99">
        <v>46150</v>
      </c>
      <c r="C134" s="98" t="str">
        <v>Fabrication</v>
      </c>
      <c r="D134" s="100" t="str">
        <v>400</v>
      </c>
      <c r="E134" s="98" t="str">
        <v>Ovidio Sanchez</v>
      </c>
      <c r="F134" s="98" t="str">
        <v>Wing Dropper</v>
      </c>
      <c r="G134" s="98" t="str">
        <v>Puncture</v>
      </c>
      <c r="H134" s="115" t="str">
        <v>RT - Palm</v>
      </c>
      <c r="I134" s="100" t="str">
        <v>FA</v>
      </c>
      <c r="J134" s="100" t="str">
        <v>No</v>
      </c>
      <c r="K134" s="101">
        <v>2026</v>
      </c>
      <c r="L134" s="100" t="str">
        <v>May</v>
      </c>
      <c r="M134" s="87"/>
      <c r="N134" s="87"/>
      <c r="O134" s="87"/>
      <c r="P134" s="87"/>
      <c r="Q134" s="87"/>
      <c r="R134" s="87"/>
      <c r="S134" s="87"/>
      <c r="T134" s="87"/>
    </row>
    <row r="135" spans="1:20" ht="16.5" x14ac:dyDescent="0.3">
      <c r="A135" s="98" t="str">
        <v>Angel Garcia</v>
      </c>
      <c r="B135" s="99">
        <v>46150</v>
      </c>
      <c r="C135" s="98" t="str">
        <v>Harvest</v>
      </c>
      <c r="D135" s="100" t="str">
        <v>109</v>
      </c>
      <c r="E135" s="98" t="str">
        <v>Christian Lopez</v>
      </c>
      <c r="F135" s="98" t="str">
        <v>Intestine Stripper</v>
      </c>
      <c r="G135" s="98" t="str">
        <v>Burn</v>
      </c>
      <c r="H135" s="115" t="str">
        <v>RT - Wrist</v>
      </c>
      <c r="I135" s="100" t="str">
        <v>FA</v>
      </c>
      <c r="J135" s="100" t="str">
        <v>No</v>
      </c>
      <c r="K135" s="101">
        <v>2026</v>
      </c>
      <c r="L135" s="100" t="str">
        <v>May</v>
      </c>
      <c r="M135" s="87"/>
      <c r="N135" s="87"/>
      <c r="O135" s="87"/>
      <c r="P135" s="87"/>
      <c r="Q135" s="87"/>
      <c r="R135" s="87"/>
      <c r="S135" s="87"/>
      <c r="T135" s="87"/>
    </row>
    <row r="136" spans="1:20" ht="16.5" x14ac:dyDescent="0.3">
      <c r="A136" s="98" t="str">
        <v>Jose R. Medina</v>
      </c>
      <c r="B136" s="99">
        <v>46149</v>
      </c>
      <c r="C136" s="98" t="str">
        <v>Maintenance</v>
      </c>
      <c r="D136" s="100" t="str">
        <v>Utilities</v>
      </c>
      <c r="E136" s="98" t="str">
        <v>Kamran Tavagar</v>
      </c>
      <c r="F136" s="98" t="str">
        <v>Electrician</v>
      </c>
      <c r="G136" s="98" t="str">
        <v>Electric Shock</v>
      </c>
      <c r="H136" s="115" t="str">
        <v>LT - Index Finger</v>
      </c>
      <c r="I136" s="100" t="str">
        <v>FA</v>
      </c>
      <c r="J136" s="100" t="str">
        <v>No</v>
      </c>
      <c r="K136" s="101">
        <v>2026</v>
      </c>
      <c r="L136" s="100" t="str">
        <v>May</v>
      </c>
      <c r="M136" s="87"/>
      <c r="N136" s="87"/>
      <c r="O136" s="87"/>
      <c r="P136" s="87"/>
      <c r="Q136" s="87"/>
      <c r="R136" s="87"/>
      <c r="S136" s="87"/>
      <c r="T136" s="87"/>
    </row>
    <row r="137" spans="1:20" ht="16.5" x14ac:dyDescent="0.3">
      <c r="A137" s="98" t="str">
        <v>Gabriela Martinez</v>
      </c>
      <c r="B137" s="99">
        <v>46148</v>
      </c>
      <c r="C137" s="98" t="str">
        <v>Harvest</v>
      </c>
      <c r="D137" s="100" t="str">
        <v>102</v>
      </c>
      <c r="E137" s="98" t="str">
        <v>Samuel Sierra</v>
      </c>
      <c r="F137" s="98" t="str">
        <v>Paper Knock Hole</v>
      </c>
      <c r="G137" s="98" t="str">
        <v>Slip, Trip, &amp; Fall</v>
      </c>
      <c r="H137" s="115" t="str">
        <v>LT - Shoulder</v>
      </c>
      <c r="I137" s="100" t="str">
        <v>FA</v>
      </c>
      <c r="J137" s="100" t="str">
        <v>No</v>
      </c>
      <c r="K137" s="101">
        <v>2026</v>
      </c>
      <c r="L137" s="100" t="str">
        <v>May</v>
      </c>
      <c r="M137" s="87"/>
      <c r="N137" s="87"/>
      <c r="O137" s="87"/>
      <c r="P137" s="87"/>
      <c r="Q137" s="87"/>
      <c r="R137" s="87"/>
      <c r="S137" s="87"/>
      <c r="T137" s="87"/>
    </row>
    <row r="138" spans="1:20" ht="16.5" x14ac:dyDescent="0.3">
      <c r="A138" s="98" t="str">
        <v>Angel Garcia</v>
      </c>
      <c r="B138" s="99">
        <v>46147</v>
      </c>
      <c r="C138" s="98" t="str">
        <v>Harvest</v>
      </c>
      <c r="D138" s="100" t="str">
        <v>109</v>
      </c>
      <c r="E138" s="98" t="str">
        <v>Christian Lopez</v>
      </c>
      <c r="F138" s="98" t="str">
        <v>Intestine Stripper</v>
      </c>
      <c r="G138" s="98" t="str">
        <v>Strain</v>
      </c>
      <c r="H138" s="115" t="str">
        <v>Lower Back &amp; Both Sides</v>
      </c>
      <c r="I138" s="100" t="str">
        <v>FA</v>
      </c>
      <c r="J138" s="100" t="str">
        <v>No</v>
      </c>
      <c r="K138" s="101">
        <v>2026</v>
      </c>
      <c r="L138" s="100" t="str">
        <v>May</v>
      </c>
      <c r="M138" s="87"/>
      <c r="N138" s="87"/>
      <c r="O138" s="87"/>
      <c r="P138" s="87"/>
      <c r="Q138" s="87"/>
      <c r="R138" s="87"/>
      <c r="S138" s="87"/>
      <c r="T138" s="87"/>
    </row>
    <row r="139" spans="1:20" ht="16.5" x14ac:dyDescent="0.3">
      <c r="A139" s="98" t="str">
        <v>Juan Maravilla</v>
      </c>
      <c r="B139" s="99">
        <v>46143</v>
      </c>
      <c r="C139" s="98" t="str">
        <v>Fabrication</v>
      </c>
      <c r="D139" s="100" t="str">
        <v>FSQA</v>
      </c>
      <c r="E139" s="98" t="str">
        <v>Valerena Begay</v>
      </c>
      <c r="F139" s="98" t="str">
        <v>FSQA Lab Tech</v>
      </c>
      <c r="G139" s="98" t="str">
        <v>Slip, Trip, &amp; Fall</v>
      </c>
      <c r="H139" s="115" t="str">
        <v>NA</v>
      </c>
      <c r="I139" s="100" t="str">
        <v>RPO</v>
      </c>
      <c r="J139" s="100" t="str">
        <v>No</v>
      </c>
      <c r="K139" s="101">
        <v>2026</v>
      </c>
      <c r="L139" s="100" t="str">
        <v>May</v>
      </c>
      <c r="M139" s="87"/>
      <c r="N139" s="87"/>
      <c r="O139" s="87"/>
      <c r="P139" s="87"/>
      <c r="Q139" s="87"/>
      <c r="R139" s="87"/>
      <c r="S139" s="87"/>
      <c r="T139" s="87"/>
    </row>
    <row r="140" spans="1:20" ht="16.5" x14ac:dyDescent="0.3">
      <c r="A140" s="98" t="str">
        <v>Mapreet Singn</v>
      </c>
      <c r="B140" s="99">
        <v>46141</v>
      </c>
      <c r="C140" s="98" t="str">
        <v>Fabrication</v>
      </c>
      <c r="D140" s="100" t="str">
        <v>400</v>
      </c>
      <c r="E140" s="98" t="str">
        <v>Ovidio Sanchez</v>
      </c>
      <c r="F140" s="98" t="str">
        <v>Wing Dropper</v>
      </c>
      <c r="G140" s="98" t="str">
        <v>Contact Stess</v>
      </c>
      <c r="H140" s="115" t="str">
        <v>RT - Middle Finger</v>
      </c>
      <c r="I140" s="100" t="str">
        <v>FA</v>
      </c>
      <c r="J140" s="100" t="str">
        <v>No</v>
      </c>
      <c r="K140" s="101">
        <v>2026</v>
      </c>
      <c r="L140" s="100" t="str">
        <v>April</v>
      </c>
      <c r="M140" s="87"/>
      <c r="N140" s="87"/>
      <c r="O140" s="87"/>
      <c r="P140" s="87"/>
      <c r="Q140" s="87"/>
      <c r="R140" s="87"/>
      <c r="S140" s="87"/>
      <c r="T140" s="87"/>
    </row>
    <row r="141" spans="1:20" ht="16.5" x14ac:dyDescent="0.3">
      <c r="A141" s="98" t="str">
        <v>Moises Flores</v>
      </c>
      <c r="B141" s="99">
        <v>46141</v>
      </c>
      <c r="C141" s="98" t="str">
        <v>Fabrication</v>
      </c>
      <c r="D141" s="100" t="str">
        <v>410</v>
      </c>
      <c r="E141" s="98" t="str">
        <v>Juan Ramirez</v>
      </c>
      <c r="F141" s="98" t="str">
        <v>Tender Puller</v>
      </c>
      <c r="G141" s="98" t="str">
        <v>Puncture</v>
      </c>
      <c r="H141" s="115" t="str">
        <v>LT - Palm</v>
      </c>
      <c r="I141" s="100" t="str">
        <v>RPO</v>
      </c>
      <c r="J141" s="100" t="str">
        <v>No</v>
      </c>
      <c r="K141" s="101">
        <v>2026</v>
      </c>
      <c r="L141" s="100" t="str">
        <v>April</v>
      </c>
      <c r="M141" s="87"/>
      <c r="N141" s="87"/>
      <c r="O141" s="87"/>
      <c r="P141" s="87"/>
      <c r="Q141" s="87"/>
      <c r="R141" s="87"/>
      <c r="S141" s="87"/>
      <c r="T141" s="87"/>
    </row>
    <row r="142" spans="1:20" ht="16.5" x14ac:dyDescent="0.3">
      <c r="A142" s="98" t="str">
        <v>Maury Gillian</v>
      </c>
      <c r="B142" s="99">
        <v>46140</v>
      </c>
      <c r="C142" s="98" t="str">
        <v>Fabrication</v>
      </c>
      <c r="D142" s="100" t="str">
        <v>420</v>
      </c>
      <c r="E142" s="98" t="str">
        <v>Elizabeth Neufeld</v>
      </c>
      <c r="F142" s="98" t="str">
        <v>Trimmer Top Butt</v>
      </c>
      <c r="G142" s="98" t="str">
        <v>Strain</v>
      </c>
      <c r="H142" s="115" t="str">
        <v>Lower Back &amp; Both Sides</v>
      </c>
      <c r="I142" s="100" t="str">
        <v>FA</v>
      </c>
      <c r="J142" s="100" t="str">
        <v>No</v>
      </c>
      <c r="K142" s="101">
        <v>2026</v>
      </c>
      <c r="L142" s="100" t="str">
        <v>April</v>
      </c>
      <c r="M142" s="87"/>
      <c r="N142" s="87"/>
      <c r="O142" s="87"/>
      <c r="P142" s="87"/>
      <c r="Q142" s="87"/>
      <c r="R142" s="87"/>
      <c r="S142" s="87"/>
      <c r="T142" s="87"/>
    </row>
    <row r="143" spans="1:20" ht="16.5" x14ac:dyDescent="0.3">
      <c r="A143" s="98" t="str">
        <v>Cesar Mendoza</v>
      </c>
      <c r="B143" s="99">
        <v>46136</v>
      </c>
      <c r="C143" s="98" t="str">
        <v>Fabrication</v>
      </c>
      <c r="D143" s="100" t="str">
        <v>400</v>
      </c>
      <c r="E143" s="98" t="str">
        <v>Ovidio Sanchez</v>
      </c>
      <c r="F143" s="98" t="str">
        <v>Brisket Dropper</v>
      </c>
      <c r="G143" s="98" t="str">
        <v>Strain</v>
      </c>
      <c r="H143" s="115" t="str">
        <v>RT - Shoulder &amp; Index Finger</v>
      </c>
      <c r="I143" s="100" t="str">
        <v>FA</v>
      </c>
      <c r="J143" s="100" t="str">
        <v>No</v>
      </c>
      <c r="K143" s="101">
        <v>2026</v>
      </c>
      <c r="L143" s="100" t="str">
        <v>April</v>
      </c>
      <c r="M143" s="87"/>
      <c r="N143" s="87"/>
      <c r="O143" s="87"/>
      <c r="P143" s="87"/>
      <c r="Q143" s="87"/>
      <c r="R143" s="87"/>
      <c r="S143" s="87"/>
      <c r="T143" s="87"/>
    </row>
    <row r="144" spans="1:20" ht="16.5" x14ac:dyDescent="0.3">
      <c r="A144" s="98" t="str">
        <v>Jesus Bustos</v>
      </c>
      <c r="B144" s="99">
        <v>46136</v>
      </c>
      <c r="C144" s="98" t="str">
        <v>Fabrication</v>
      </c>
      <c r="D144" s="100" t="str">
        <v>410</v>
      </c>
      <c r="E144" s="98" t="str">
        <v>Juan Ramirez</v>
      </c>
      <c r="F144" s="98" t="str">
        <v>Tednderloin Puller</v>
      </c>
      <c r="G144" s="98" t="str">
        <v>Puncture</v>
      </c>
      <c r="H144" s="115" t="str">
        <v>RT - Index Finger</v>
      </c>
      <c r="I144" s="100" t="str">
        <v>FA</v>
      </c>
      <c r="J144" s="100" t="str">
        <v>No</v>
      </c>
      <c r="K144" s="101">
        <v>2026</v>
      </c>
      <c r="L144" s="100" t="str">
        <v>April</v>
      </c>
      <c r="M144" s="87"/>
      <c r="N144" s="87"/>
      <c r="O144" s="87"/>
      <c r="P144" s="87"/>
      <c r="Q144" s="87"/>
      <c r="R144" s="87"/>
      <c r="S144" s="87"/>
      <c r="T144" s="87"/>
    </row>
    <row r="145" spans="1:20" ht="16.5" x14ac:dyDescent="0.3">
      <c r="A145" s="98" t="str">
        <v>Adrian Chaidez</v>
      </c>
      <c r="B145" s="99">
        <v>46136</v>
      </c>
      <c r="C145" s="98" t="str">
        <v>Fabrication</v>
      </c>
      <c r="D145" s="100" t="str">
        <v>410</v>
      </c>
      <c r="E145" s="98" t="str">
        <v>Juan Ramirez</v>
      </c>
      <c r="F145" s="98" t="str">
        <v>NA</v>
      </c>
      <c r="G145" s="98" t="str">
        <v>Abrasion</v>
      </c>
      <c r="H145" s="115" t="str">
        <v xml:space="preserve">RT - Palm  </v>
      </c>
      <c r="I145" s="100" t="str">
        <v>FA</v>
      </c>
      <c r="J145" s="100" t="str">
        <v>No</v>
      </c>
      <c r="K145" s="101">
        <v>2026</v>
      </c>
      <c r="L145" s="100" t="str">
        <v>April</v>
      </c>
      <c r="M145" s="87"/>
      <c r="N145" s="87"/>
      <c r="O145" s="87"/>
      <c r="P145" s="87"/>
      <c r="Q145" s="87"/>
      <c r="R145" s="87"/>
      <c r="S145" s="87"/>
      <c r="T145" s="87"/>
    </row>
    <row r="146" spans="1:20" ht="43.5" x14ac:dyDescent="0.3">
      <c r="A146" s="98" t="str">
        <v>James Entrocaso</v>
      </c>
      <c r="B146" s="99">
        <v>46135</v>
      </c>
      <c r="C146" s="98" t="str">
        <v>Fabrication</v>
      </c>
      <c r="D146" s="100" t="str">
        <v>400</v>
      </c>
      <c r="E146" s="98" t="str">
        <v>Ovidio Sanchez</v>
      </c>
      <c r="F146" s="98" t="str">
        <v>Knife Room Lead</v>
      </c>
      <c r="G146" s="98" t="str">
        <v>Puncture</v>
      </c>
      <c r="H146" s="115" t="str">
        <v>LT - Pinky Finger</v>
      </c>
      <c r="I146" s="100" t="str">
        <v>FA</v>
      </c>
      <c r="J146" s="100" t="str">
        <v>No</v>
      </c>
      <c r="K146" s="101">
        <v>2026</v>
      </c>
      <c r="L146" s="100" t="str">
        <v>April</v>
      </c>
      <c r="M146" s="87"/>
      <c r="N146" s="87"/>
      <c r="O146" s="87"/>
      <c r="P146" s="87"/>
      <c r="Q146" s="87"/>
      <c r="R146" s="87"/>
      <c r="S146" s="87"/>
      <c r="T146" s="87"/>
    </row>
    <row r="147" spans="1:20" ht="16.5" x14ac:dyDescent="0.3">
      <c r="A147" s="98" t="str">
        <v>Brando Gonzalez</v>
      </c>
      <c r="B147" s="99">
        <v>46135</v>
      </c>
      <c r="C147" s="98" t="str">
        <v>Fabrication</v>
      </c>
      <c r="D147" s="100" t="str">
        <v>405</v>
      </c>
      <c r="E147" s="98" t="str">
        <v>Diego Soria</v>
      </c>
      <c r="F147" s="98" t="str">
        <v>NA</v>
      </c>
      <c r="G147" s="98" t="str">
        <v>Slip, Trip, &amp; Fall</v>
      </c>
      <c r="H147" s="115" t="str">
        <v>Upper Butt - LT Shinn</v>
      </c>
      <c r="I147" s="100" t="str">
        <v>FA</v>
      </c>
      <c r="J147" s="100" t="str">
        <v>No</v>
      </c>
      <c r="K147" s="101">
        <v>2026</v>
      </c>
      <c r="L147" s="100" t="str">
        <v>April</v>
      </c>
      <c r="M147" s="87"/>
      <c r="N147" s="87"/>
      <c r="O147" s="87"/>
      <c r="P147" s="87"/>
      <c r="Q147" s="87"/>
      <c r="R147" s="87"/>
      <c r="S147" s="87"/>
      <c r="T147" s="87"/>
    </row>
    <row r="148" spans="1:20" ht="16.5" x14ac:dyDescent="0.3">
      <c r="A148" s="98" t="str">
        <v>Jhondri Madariaga</v>
      </c>
      <c r="B148" s="99">
        <v>46135</v>
      </c>
      <c r="C148" s="98" t="str">
        <v>Fabrication</v>
      </c>
      <c r="D148" s="100" t="str">
        <v>429</v>
      </c>
      <c r="E148" s="98" t="str">
        <v>Chadu Moua</v>
      </c>
      <c r="F148" s="98" t="str">
        <v>Bone Saw</v>
      </c>
      <c r="G148" s="98" t="str">
        <v>Strain</v>
      </c>
      <c r="H148" s="115" t="str">
        <v>LT - Shoulder Blade, Shoulder, Upper Arm, Forearm, Hand + LT Upper Back, Center Mid Back, and Center Lower Back.</v>
      </c>
      <c r="I148" s="100" t="str">
        <v>FA</v>
      </c>
      <c r="J148" s="100" t="str">
        <v>No</v>
      </c>
      <c r="K148" s="101">
        <v>2026</v>
      </c>
      <c r="L148" s="100" t="str">
        <v>April</v>
      </c>
      <c r="M148" s="87"/>
      <c r="N148" s="87"/>
      <c r="O148" s="87"/>
      <c r="P148" s="87"/>
      <c r="Q148" s="87"/>
      <c r="R148" s="87"/>
      <c r="S148" s="87"/>
      <c r="T148" s="87"/>
    </row>
    <row r="149" spans="1:20" ht="16.5" x14ac:dyDescent="0.3">
      <c r="A149" s="98" t="str">
        <v>Sergio De Jesus</v>
      </c>
      <c r="B149" s="99">
        <v>46134</v>
      </c>
      <c r="C149" s="98" t="str">
        <v>Fabrication</v>
      </c>
      <c r="D149" s="100" t="str">
        <v>NA</v>
      </c>
      <c r="E149" s="98" t="str">
        <v>Chadu Moua</v>
      </c>
      <c r="F149" s="98" t="str">
        <v>NA</v>
      </c>
      <c r="G149" s="98" t="str">
        <v xml:space="preserve">Crush Injury </v>
      </c>
      <c r="H149" s="115" t="str">
        <v>RT - Thumb</v>
      </c>
      <c r="I149" s="100" t="str">
        <v>FA</v>
      </c>
      <c r="J149" s="100" t="str">
        <v>No</v>
      </c>
      <c r="K149" s="101">
        <v>2026</v>
      </c>
      <c r="L149" s="100" t="str">
        <v>April</v>
      </c>
      <c r="M149" s="87"/>
      <c r="N149" s="87"/>
      <c r="O149" s="87"/>
      <c r="P149" s="87"/>
      <c r="Q149" s="87"/>
      <c r="R149" s="87"/>
      <c r="S149" s="87"/>
      <c r="T149" s="87"/>
    </row>
    <row r="150" spans="1:20" ht="16.5" x14ac:dyDescent="0.3">
      <c r="A150" s="98" t="str">
        <v>Gabriel Garcia</v>
      </c>
      <c r="B150" s="99">
        <v>46134</v>
      </c>
      <c r="C150" s="98" t="str">
        <v>Fabrication</v>
      </c>
      <c r="D150" s="100" t="str">
        <v>429</v>
      </c>
      <c r="E150" s="98" t="str">
        <v>Chadu Moua</v>
      </c>
      <c r="F150" s="98" t="str">
        <v>NA</v>
      </c>
      <c r="G150" s="98" t="str">
        <v xml:space="preserve">Reaction </v>
      </c>
      <c r="H150" s="115" t="str">
        <v>Both Eyes</v>
      </c>
      <c r="I150" s="100" t="str">
        <v>FA</v>
      </c>
      <c r="J150" s="100" t="str">
        <v>No</v>
      </c>
      <c r="K150" s="101">
        <v>2026</v>
      </c>
      <c r="L150" s="100" t="str">
        <v>April</v>
      </c>
      <c r="M150" s="87"/>
      <c r="N150" s="87"/>
      <c r="O150" s="87"/>
      <c r="P150" s="87"/>
      <c r="Q150" s="87"/>
      <c r="R150" s="87"/>
      <c r="S150" s="87"/>
      <c r="T150" s="87"/>
    </row>
    <row r="151" spans="1:20" ht="16.5" x14ac:dyDescent="0.3">
      <c r="A151" s="98" t="str">
        <v>Natividad Galicia</v>
      </c>
      <c r="B151" s="99">
        <v>46134</v>
      </c>
      <c r="C151" s="98" t="str">
        <v>Harvest</v>
      </c>
      <c r="D151" s="100" t="str">
        <v>103</v>
      </c>
      <c r="E151" s="98" t="str">
        <v>Ray Mascorro</v>
      </c>
      <c r="F151" s="98" t="str">
        <v>Air Knife Sharpener</v>
      </c>
      <c r="G151" s="98" t="str">
        <v>Puncture</v>
      </c>
      <c r="H151" s="115" t="str">
        <v>LT - Foot</v>
      </c>
      <c r="I151" s="100" t="str">
        <v>FA</v>
      </c>
      <c r="J151" s="100" t="str">
        <v>No</v>
      </c>
      <c r="K151" s="101">
        <v>2026</v>
      </c>
      <c r="L151" s="100" t="str">
        <v>April</v>
      </c>
      <c r="M151" s="87"/>
      <c r="N151" s="87"/>
      <c r="O151" s="87"/>
      <c r="P151" s="87"/>
      <c r="Q151" s="87"/>
      <c r="R151" s="87"/>
      <c r="S151" s="87"/>
      <c r="T151" s="87"/>
    </row>
    <row r="152" spans="1:20" ht="16.5" x14ac:dyDescent="0.3">
      <c r="A152" s="98" t="str">
        <v>Jonathan Ramirez</v>
      </c>
      <c r="B152" s="99">
        <v>46134</v>
      </c>
      <c r="C152" s="98" t="str">
        <v>Fabrication</v>
      </c>
      <c r="D152" s="100" t="str">
        <v>400</v>
      </c>
      <c r="E152" s="98" t="str">
        <v>Ovidio Sanchez</v>
      </c>
      <c r="F152" s="98" t="str">
        <v>Brisket Boner</v>
      </c>
      <c r="G152" s="98" t="str">
        <v>Puncture</v>
      </c>
      <c r="H152" s="115" t="str">
        <v>RT - Hand</v>
      </c>
      <c r="I152" s="100" t="str">
        <v>FA</v>
      </c>
      <c r="J152" s="100" t="str">
        <v>No</v>
      </c>
      <c r="K152" s="101">
        <v>2026</v>
      </c>
      <c r="L152" s="100" t="str">
        <v>April</v>
      </c>
      <c r="M152" s="87"/>
      <c r="N152" s="87"/>
      <c r="O152" s="87"/>
      <c r="P152" s="87"/>
      <c r="Q152" s="87"/>
      <c r="R152" s="87"/>
      <c r="S152" s="87"/>
      <c r="T152" s="87"/>
    </row>
    <row r="153" spans="1:20" ht="16.5" x14ac:dyDescent="0.3">
      <c r="A153" s="98" t="str">
        <v>Rosalba Oseguera Mendez</v>
      </c>
      <c r="B153" s="99">
        <v>46134</v>
      </c>
      <c r="C153" s="98" t="str">
        <v>Harvest</v>
      </c>
      <c r="D153" s="100" t="str">
        <v>102</v>
      </c>
      <c r="E153" s="98" t="str">
        <v>Samuel Sierra</v>
      </c>
      <c r="F153" s="98" t="str">
        <v>2nd Hock Cutter</v>
      </c>
      <c r="G153" s="98" t="str">
        <v>Strain</v>
      </c>
      <c r="H153" s="115" t="str">
        <v>LT - Wrist</v>
      </c>
      <c r="I153" s="100" t="str">
        <v>FA</v>
      </c>
      <c r="J153" s="100" t="str">
        <v>No</v>
      </c>
      <c r="K153" s="101">
        <v>2026</v>
      </c>
      <c r="L153" s="100" t="str">
        <v>April</v>
      </c>
      <c r="M153" s="87"/>
      <c r="N153" s="87"/>
      <c r="O153" s="87"/>
      <c r="P153" s="87"/>
      <c r="Q153" s="87"/>
      <c r="R153" s="87"/>
      <c r="S153" s="87"/>
      <c r="T153" s="87"/>
    </row>
    <row r="154" spans="1:20" ht="16.5" x14ac:dyDescent="0.3">
      <c r="A154" s="98" t="str">
        <v>Francisco Lopez</v>
      </c>
      <c r="B154" s="99">
        <v>46134</v>
      </c>
      <c r="C154" s="98" t="str">
        <v>Fabrication</v>
      </c>
      <c r="D154" s="100" t="str">
        <v>429</v>
      </c>
      <c r="E154" s="98" t="str">
        <v>Chadu Moua</v>
      </c>
      <c r="F154" s="98" t="str">
        <v>Six Shooter</v>
      </c>
      <c r="G154" s="98" t="str">
        <v>Strain</v>
      </c>
      <c r="H154" s="115" t="str">
        <v>RT - Shoulder</v>
      </c>
      <c r="I154" s="100" t="str">
        <v>FA</v>
      </c>
      <c r="J154" s="100" t="str">
        <v>No</v>
      </c>
      <c r="K154" s="101">
        <v>2026</v>
      </c>
      <c r="L154" s="100" t="str">
        <v>April</v>
      </c>
      <c r="M154" s="87"/>
      <c r="N154" s="87"/>
      <c r="O154" s="87"/>
      <c r="P154" s="87"/>
      <c r="Q154" s="87"/>
      <c r="R154" s="87"/>
      <c r="S154" s="87"/>
      <c r="T154" s="87"/>
    </row>
    <row r="155" spans="1:20" ht="16.5" x14ac:dyDescent="0.3">
      <c r="A155" s="98" t="str">
        <v>Honorina Lopez</v>
      </c>
      <c r="B155" s="99">
        <v>46133</v>
      </c>
      <c r="C155" s="98" t="str">
        <v>Harvest</v>
      </c>
      <c r="D155" s="100" t="str">
        <v>109</v>
      </c>
      <c r="E155" s="98" t="str">
        <v>Christian Lopez</v>
      </c>
      <c r="F155" s="98" t="str">
        <v>Ox Tail Packer</v>
      </c>
      <c r="G155" s="98" t="str">
        <v>Puncture</v>
      </c>
      <c r="H155" s="115" t="str">
        <v>RT - Middle Finger</v>
      </c>
      <c r="I155" s="100" t="str">
        <v>FA</v>
      </c>
      <c r="J155" s="100" t="str">
        <v>No</v>
      </c>
      <c r="K155" s="101">
        <v>2026</v>
      </c>
      <c r="L155" s="100" t="str">
        <v>April</v>
      </c>
      <c r="M155" s="87"/>
      <c r="N155" s="87"/>
      <c r="O155" s="87"/>
      <c r="P155" s="87"/>
      <c r="Q155" s="87"/>
      <c r="R155" s="87"/>
      <c r="S155" s="87"/>
      <c r="T155" s="87"/>
    </row>
    <row r="156" spans="1:20" ht="16.5" x14ac:dyDescent="0.3">
      <c r="A156" s="98" t="str">
        <v>Jose Miranda</v>
      </c>
      <c r="B156" s="99">
        <v>46133</v>
      </c>
      <c r="C156" s="98" t="str">
        <v>Fabrication</v>
      </c>
      <c r="D156" s="100" t="str">
        <v>415</v>
      </c>
      <c r="E156" s="98" t="str">
        <v>Juan Rodriguez</v>
      </c>
      <c r="F156" s="98" t="str">
        <v xml:space="preserve">Whizzard Knife Op. </v>
      </c>
      <c r="G156" s="98" t="str">
        <v>Puncture</v>
      </c>
      <c r="H156" s="115" t="str">
        <v>RT - Index Finger</v>
      </c>
      <c r="I156" s="100" t="str">
        <v>FA</v>
      </c>
      <c r="J156" s="100" t="str">
        <v>No</v>
      </c>
      <c r="K156" s="101">
        <v>2026</v>
      </c>
      <c r="L156" s="100" t="str">
        <v>April</v>
      </c>
      <c r="M156" s="87"/>
      <c r="N156" s="87"/>
      <c r="O156" s="87"/>
      <c r="P156" s="87"/>
      <c r="Q156" s="87"/>
      <c r="R156" s="87"/>
      <c r="S156" s="87"/>
      <c r="T156" s="87"/>
    </row>
    <row r="157" spans="1:20" ht="16.5" x14ac:dyDescent="0.3">
      <c r="A157" s="98" t="str">
        <v>Juan Rodriguez</v>
      </c>
      <c r="B157" s="99">
        <v>46129</v>
      </c>
      <c r="C157" s="98" t="str">
        <v>Fabrication</v>
      </c>
      <c r="D157" s="100" t="str">
        <v>415</v>
      </c>
      <c r="E157" s="98" t="str">
        <v>Juan Rodriguez</v>
      </c>
      <c r="F157" s="98" t="str">
        <v>Chuck Roller</v>
      </c>
      <c r="G157" s="98" t="str">
        <v>Strain</v>
      </c>
      <c r="H157" s="115" t="str">
        <v>LT - Wrist</v>
      </c>
      <c r="I157" s="100" t="str">
        <v>FA</v>
      </c>
      <c r="J157" s="100" t="str">
        <v>No</v>
      </c>
      <c r="K157" s="101">
        <v>2026</v>
      </c>
      <c r="L157" s="100" t="str">
        <v>April</v>
      </c>
      <c r="M157" s="87"/>
      <c r="N157" s="87"/>
      <c r="O157" s="87"/>
      <c r="P157" s="87"/>
      <c r="Q157" s="87"/>
      <c r="R157" s="87"/>
      <c r="S157" s="87"/>
      <c r="T157" s="87"/>
    </row>
    <row r="158" spans="1:20" ht="16.5" x14ac:dyDescent="0.3">
      <c r="A158" s="98" t="str">
        <v>Jose Barajas</v>
      </c>
      <c r="B158" s="99">
        <v>46129</v>
      </c>
      <c r="C158" s="98" t="str">
        <v>Fabrication</v>
      </c>
      <c r="D158" s="100" t="str">
        <v>410</v>
      </c>
      <c r="E158" s="98" t="str">
        <v>Juan Ramirez</v>
      </c>
      <c r="F158" s="98" t="str">
        <v>Sorter</v>
      </c>
      <c r="G158" s="98" t="str">
        <v xml:space="preserve">Foreign Object </v>
      </c>
      <c r="H158" s="115" t="str">
        <v>Both - Eyes</v>
      </c>
      <c r="I158" s="100" t="str">
        <v>FA</v>
      </c>
      <c r="J158" s="100" t="str">
        <v>No</v>
      </c>
      <c r="K158" s="101">
        <v>2026</v>
      </c>
      <c r="L158" s="100" t="str">
        <v>April</v>
      </c>
      <c r="M158" s="87"/>
      <c r="N158" s="87"/>
      <c r="O158" s="87"/>
      <c r="P158" s="87"/>
      <c r="Q158" s="87"/>
      <c r="R158" s="87"/>
      <c r="S158" s="87"/>
      <c r="T158" s="87"/>
    </row>
    <row r="159" spans="1:20" ht="16.5" x14ac:dyDescent="0.3">
      <c r="A159" s="98" t="str">
        <v>Guilbert Beltran</v>
      </c>
      <c r="B159" s="99">
        <v>46129</v>
      </c>
      <c r="C159" s="98" t="str">
        <v>Harvest</v>
      </c>
      <c r="D159" s="100" t="str">
        <v>102</v>
      </c>
      <c r="E159" s="98" t="str">
        <v>Samuel Sierra</v>
      </c>
      <c r="F159" s="98" t="str">
        <v>Front Mark Pattern</v>
      </c>
      <c r="G159" s="98" t="str">
        <v>Strain</v>
      </c>
      <c r="H159" s="115" t="str">
        <v>RT - Hand</v>
      </c>
      <c r="I159" s="100" t="str">
        <v>FA</v>
      </c>
      <c r="J159" s="100" t="str">
        <v>No</v>
      </c>
      <c r="K159" s="101">
        <v>2026</v>
      </c>
      <c r="L159" s="100" t="str">
        <v>April</v>
      </c>
      <c r="M159" s="87"/>
      <c r="N159" s="87"/>
      <c r="O159" s="87"/>
      <c r="P159" s="87"/>
      <c r="Q159" s="87"/>
      <c r="R159" s="87"/>
      <c r="S159" s="87"/>
      <c r="T159" s="87"/>
    </row>
    <row r="160" spans="1:20" ht="16.5" x14ac:dyDescent="0.3">
      <c r="A160" s="98" t="str">
        <v>Ismael Martinez</v>
      </c>
      <c r="B160" s="99">
        <v>46128</v>
      </c>
      <c r="C160" s="98" t="str">
        <v>Fabrication</v>
      </c>
      <c r="D160" s="100" t="str">
        <v>429</v>
      </c>
      <c r="E160" s="98" t="str">
        <v>Chadu Moua</v>
      </c>
      <c r="F160" s="98" t="str">
        <v xml:space="preserve">X-Ray Op. </v>
      </c>
      <c r="G160" s="98" t="str">
        <v>Strain</v>
      </c>
      <c r="H160" s="115" t="str">
        <v>Both - Hands</v>
      </c>
      <c r="I160" s="100" t="str">
        <v>FA</v>
      </c>
      <c r="J160" s="100" t="str">
        <v>No</v>
      </c>
      <c r="K160" s="101">
        <v>2026</v>
      </c>
      <c r="L160" s="100" t="str">
        <v>April</v>
      </c>
      <c r="M160" s="87"/>
      <c r="N160" s="87"/>
      <c r="O160" s="87"/>
      <c r="P160" s="87"/>
      <c r="Q160" s="87"/>
      <c r="R160" s="87"/>
      <c r="S160" s="87"/>
      <c r="T160" s="87"/>
    </row>
    <row r="161" spans="1:20" ht="16.5" x14ac:dyDescent="0.3">
      <c r="A161" s="98" t="str">
        <v>Michael Rocha</v>
      </c>
      <c r="B161" s="99">
        <v>46127</v>
      </c>
      <c r="C161" s="98" t="str">
        <v>Fabrication</v>
      </c>
      <c r="D161" s="100" t="str">
        <v>400</v>
      </c>
      <c r="E161" s="98" t="str">
        <v>Ovidio Sanchez</v>
      </c>
      <c r="F161" s="98" t="str">
        <v>Clod Puller</v>
      </c>
      <c r="G161" s="98" t="str">
        <v xml:space="preserve">Foreign Object </v>
      </c>
      <c r="H161" s="115" t="str">
        <v>LT - Eye</v>
      </c>
      <c r="I161" s="100" t="str">
        <v>FA</v>
      </c>
      <c r="J161" s="100" t="str">
        <v>No</v>
      </c>
      <c r="K161" s="101">
        <v>2026</v>
      </c>
      <c r="L161" s="100" t="str">
        <v>April</v>
      </c>
      <c r="M161" s="87"/>
      <c r="N161" s="87"/>
      <c r="O161" s="87"/>
      <c r="P161" s="87"/>
      <c r="Q161" s="87"/>
      <c r="R161" s="87"/>
      <c r="S161" s="87"/>
      <c r="T161" s="87"/>
    </row>
    <row r="162" spans="1:20" ht="16.5" x14ac:dyDescent="0.3">
      <c r="A162" s="98" t="str">
        <v>Noe Frage Ruiz</v>
      </c>
      <c r="B162" s="99">
        <v>46126</v>
      </c>
      <c r="C162" s="98" t="str">
        <v>Fabrication</v>
      </c>
      <c r="D162" s="100" t="str">
        <v>410</v>
      </c>
      <c r="E162" s="98" t="str">
        <v>Juan Ramirez</v>
      </c>
      <c r="F162" s="98" t="str">
        <v>Tender Puller</v>
      </c>
      <c r="G162" s="98" t="str">
        <v>Strain</v>
      </c>
      <c r="H162" s="115" t="str">
        <v>LT - Shoulder</v>
      </c>
      <c r="I162" s="100" t="str">
        <v>FA</v>
      </c>
      <c r="J162" s="100" t="str">
        <v>No</v>
      </c>
      <c r="K162" s="101">
        <v>2026</v>
      </c>
      <c r="L162" s="100" t="str">
        <v>April</v>
      </c>
      <c r="M162" s="87"/>
      <c r="N162" s="87"/>
      <c r="O162" s="87"/>
      <c r="P162" s="87"/>
      <c r="Q162" s="87"/>
      <c r="R162" s="87"/>
      <c r="S162" s="87"/>
      <c r="T162" s="87"/>
    </row>
    <row r="163" spans="1:20" ht="16.5" x14ac:dyDescent="0.3">
      <c r="A163" s="98" t="str">
        <v>Jesus Valadez</v>
      </c>
      <c r="B163" s="99">
        <v>46126</v>
      </c>
      <c r="C163" s="98" t="str">
        <v>Fabrication</v>
      </c>
      <c r="D163" s="100" t="str">
        <v>405</v>
      </c>
      <c r="E163" s="98" t="str">
        <v>Diego Soria</v>
      </c>
      <c r="F163" s="98" t="str">
        <v>Plate Boner</v>
      </c>
      <c r="G163" s="98" t="str">
        <v>Puncture</v>
      </c>
      <c r="H163" s="115" t="str">
        <v>LT - Ring Finger</v>
      </c>
      <c r="I163" s="100" t="str">
        <v>FA</v>
      </c>
      <c r="J163" s="100" t="str">
        <v>No</v>
      </c>
      <c r="K163" s="101">
        <v>2026</v>
      </c>
      <c r="L163" s="100" t="str">
        <v>April</v>
      </c>
      <c r="M163" s="87"/>
      <c r="N163" s="87"/>
      <c r="O163" s="87"/>
      <c r="P163" s="87"/>
      <c r="Q163" s="87"/>
      <c r="R163" s="87"/>
      <c r="S163" s="87"/>
      <c r="T163" s="87"/>
    </row>
    <row r="164" spans="1:20" ht="16.5" x14ac:dyDescent="0.3">
      <c r="A164" s="98" t="str">
        <v>Edalia Lopez</v>
      </c>
      <c r="B164" s="99">
        <v>46126</v>
      </c>
      <c r="C164" s="98" t="str">
        <v>Harvest</v>
      </c>
      <c r="D164" s="100" t="str">
        <v>107</v>
      </c>
      <c r="E164" s="98" t="str">
        <v>Christian Lopez</v>
      </c>
      <c r="F164" s="98" t="str">
        <v>Head Trimmer</v>
      </c>
      <c r="G164" s="98" t="str">
        <v>Burn</v>
      </c>
      <c r="H164" s="115" t="str">
        <v>Neck</v>
      </c>
      <c r="I164" s="100" t="str">
        <v>FA</v>
      </c>
      <c r="J164" s="100" t="str">
        <v>No</v>
      </c>
      <c r="K164" s="101">
        <v>2026</v>
      </c>
      <c r="L164" s="100" t="str">
        <v>April</v>
      </c>
      <c r="M164" s="87"/>
      <c r="N164" s="87"/>
      <c r="O164" s="87"/>
      <c r="P164" s="87"/>
      <c r="Q164" s="87"/>
      <c r="R164" s="87"/>
      <c r="S164" s="87"/>
      <c r="T164" s="87"/>
    </row>
    <row r="165" spans="1:20" ht="16.5" x14ac:dyDescent="0.3">
      <c r="A165" s="98" t="str">
        <v>Rosangela Rodriguez</v>
      </c>
      <c r="B165" s="99">
        <v>46126</v>
      </c>
      <c r="C165" s="98" t="str">
        <v>Fabrication</v>
      </c>
      <c r="D165" s="100" t="str">
        <v>429</v>
      </c>
      <c r="E165" s="98" t="str">
        <v>Chadu Moua</v>
      </c>
      <c r="F165" s="98" t="str">
        <v xml:space="preserve">X-Ray Op. </v>
      </c>
      <c r="G165" s="98" t="str">
        <v>Abrasion</v>
      </c>
      <c r="H165" s="115" t="str">
        <v>LT - Thumb</v>
      </c>
      <c r="I165" s="100" t="str">
        <v>RPO</v>
      </c>
      <c r="J165" s="100" t="str">
        <v>No</v>
      </c>
      <c r="K165" s="101">
        <v>2026</v>
      </c>
      <c r="L165" s="100" t="str">
        <v>April</v>
      </c>
      <c r="M165" s="87"/>
      <c r="N165" s="87"/>
      <c r="O165" s="87"/>
      <c r="P165" s="87"/>
      <c r="Q165" s="87"/>
      <c r="R165" s="87"/>
      <c r="S165" s="87"/>
      <c r="T165" s="87"/>
    </row>
    <row r="166" spans="1:20" ht="16.5" x14ac:dyDescent="0.3">
      <c r="A166" s="98" t="str">
        <v>Frank Padilla</v>
      </c>
      <c r="B166" s="99">
        <v>46126</v>
      </c>
      <c r="C166" s="98" t="str">
        <v>Fabrication</v>
      </c>
      <c r="D166" s="100" t="str">
        <v>400</v>
      </c>
      <c r="E166" s="98" t="str">
        <v>Ovidio Sanchez</v>
      </c>
      <c r="F166" s="98" t="str">
        <v>Brisket Boner</v>
      </c>
      <c r="G166" s="98" t="str">
        <v>Puncture</v>
      </c>
      <c r="H166" s="115" t="str">
        <v>RT - Hand</v>
      </c>
      <c r="I166" s="100" t="str">
        <v>FA</v>
      </c>
      <c r="J166" s="100" t="str">
        <v>No</v>
      </c>
      <c r="K166" s="101">
        <v>2026</v>
      </c>
      <c r="L166" s="100" t="str">
        <v>April</v>
      </c>
      <c r="M166" s="87"/>
      <c r="N166" s="87"/>
      <c r="O166" s="87"/>
      <c r="P166" s="87"/>
      <c r="Q166" s="87"/>
      <c r="R166" s="87"/>
      <c r="S166" s="87"/>
      <c r="T166" s="87"/>
    </row>
    <row r="167" spans="1:20" ht="16.5" x14ac:dyDescent="0.3">
      <c r="A167" s="98" t="str">
        <v>Rafael Piceno</v>
      </c>
      <c r="B167" s="99">
        <v>46122</v>
      </c>
      <c r="C167" s="98" t="str">
        <v>Fabrication</v>
      </c>
      <c r="D167" s="100" t="str">
        <v>429</v>
      </c>
      <c r="E167" s="98" t="str">
        <v>Chadu Moua</v>
      </c>
      <c r="F167" s="98" t="str">
        <v xml:space="preserve">Pallet Jack Op. </v>
      </c>
      <c r="G167" s="98" t="str">
        <v>Slip, Trip, &amp; Fall</v>
      </c>
      <c r="H167" s="115" t="str">
        <v xml:space="preserve">RT - Rib </v>
      </c>
      <c r="I167" s="100" t="str">
        <v>FA</v>
      </c>
      <c r="J167" s="100" t="str">
        <v>No</v>
      </c>
      <c r="K167" s="101">
        <v>2026</v>
      </c>
      <c r="L167" s="100" t="str">
        <v>April</v>
      </c>
      <c r="M167" s="87"/>
      <c r="N167" s="87"/>
      <c r="O167" s="87"/>
      <c r="P167" s="87"/>
      <c r="Q167" s="87"/>
      <c r="R167" s="87"/>
      <c r="S167" s="87"/>
      <c r="T167" s="87"/>
    </row>
    <row r="168" spans="1:20" ht="16.5" x14ac:dyDescent="0.3">
      <c r="A168" s="98" t="str">
        <v>Omar Chavez</v>
      </c>
      <c r="B168" s="99">
        <v>46122</v>
      </c>
      <c r="C168" s="98" t="str">
        <v>Harvest</v>
      </c>
      <c r="D168" s="100" t="str">
        <v>101</v>
      </c>
      <c r="E168" s="98" t="str">
        <v>Richard Xiong</v>
      </c>
      <c r="F168" s="98" t="str">
        <v>2nd Top Flanker</v>
      </c>
      <c r="G168" s="98" t="str">
        <v>Struck By Cattle</v>
      </c>
      <c r="H168" s="115" t="str">
        <v>LT - Hand - Nose - &amp; Neck</v>
      </c>
      <c r="I168" s="100" t="str">
        <v>FA</v>
      </c>
      <c r="J168" s="100" t="str">
        <v>No</v>
      </c>
      <c r="K168" s="101">
        <v>2026</v>
      </c>
      <c r="L168" s="100" t="str">
        <v>April</v>
      </c>
      <c r="M168" s="87"/>
      <c r="N168" s="87"/>
      <c r="O168" s="87"/>
      <c r="P168" s="87"/>
      <c r="Q168" s="87"/>
      <c r="R168" s="87"/>
      <c r="S168" s="87"/>
      <c r="T168" s="87"/>
    </row>
    <row r="169" spans="1:20" ht="16.5" x14ac:dyDescent="0.3">
      <c r="A169" s="98" t="str">
        <v xml:space="preserve">Morgan Branning </v>
      </c>
      <c r="B169" s="99">
        <v>46122</v>
      </c>
      <c r="C169" s="98" t="str">
        <v>Harvest</v>
      </c>
      <c r="D169" s="100" t="str">
        <v>104</v>
      </c>
      <c r="E169" s="98" t="str">
        <v>Michael Orozco</v>
      </c>
      <c r="F169" s="98" t="str">
        <v>Gullet Bagger</v>
      </c>
      <c r="G169" s="98" t="str">
        <v>Awkward Posture</v>
      </c>
      <c r="H169" s="115" t="str">
        <v xml:space="preserve">RT - Ankle </v>
      </c>
      <c r="I169" s="100" t="str">
        <v>FA</v>
      </c>
      <c r="J169" s="100" t="str">
        <v>No</v>
      </c>
      <c r="K169" s="101">
        <v>2026</v>
      </c>
      <c r="L169" s="100" t="str">
        <v>April</v>
      </c>
      <c r="M169" s="87"/>
      <c r="N169" s="87"/>
      <c r="O169" s="87"/>
      <c r="P169" s="87"/>
      <c r="Q169" s="87"/>
      <c r="R169" s="87"/>
      <c r="S169" s="87"/>
      <c r="T169" s="87"/>
    </row>
    <row r="170" spans="1:20" ht="16.5" x14ac:dyDescent="0.3">
      <c r="A170" s="98" t="str">
        <v>Jesus Bustos</v>
      </c>
      <c r="B170" s="99">
        <v>46121</v>
      </c>
      <c r="C170" s="98" t="str">
        <v>Fabrication</v>
      </c>
      <c r="D170" s="100" t="str">
        <v>410</v>
      </c>
      <c r="E170" s="98" t="str">
        <v>Juan Ramirez</v>
      </c>
      <c r="F170" s="98" t="str">
        <v>Loin Tail Puller</v>
      </c>
      <c r="G170" s="98" t="str">
        <v>Sprain</v>
      </c>
      <c r="H170" s="115" t="str">
        <v>LT - Ring Finger</v>
      </c>
      <c r="I170" s="100" t="str">
        <v>FA</v>
      </c>
      <c r="J170" s="100" t="str">
        <v>No</v>
      </c>
      <c r="K170" s="101">
        <v>2026</v>
      </c>
      <c r="L170" s="100" t="str">
        <v>April</v>
      </c>
      <c r="M170" s="87"/>
      <c r="N170" s="87"/>
      <c r="O170" s="87"/>
      <c r="P170" s="87"/>
      <c r="Q170" s="87"/>
      <c r="R170" s="87"/>
      <c r="S170" s="87"/>
      <c r="T170" s="87"/>
    </row>
    <row r="171" spans="1:20" ht="16.5" x14ac:dyDescent="0.3">
      <c r="A171" s="98" t="str">
        <v>Joseph Gomez</v>
      </c>
      <c r="B171" s="99">
        <v>46121</v>
      </c>
      <c r="C171" s="98" t="str">
        <v>Harvest</v>
      </c>
      <c r="D171" s="100" t="str">
        <v>101</v>
      </c>
      <c r="E171" s="98" t="str">
        <v>Richard Xiong</v>
      </c>
      <c r="F171" s="98" t="str">
        <v>Shackler</v>
      </c>
      <c r="G171" s="98" t="str">
        <v xml:space="preserve">Foreign Object </v>
      </c>
      <c r="H171" s="115" t="str">
        <v>LT - Eye</v>
      </c>
      <c r="I171" s="100" t="str">
        <v>FA</v>
      </c>
      <c r="J171" s="100" t="str">
        <v>No</v>
      </c>
      <c r="K171" s="101">
        <v>2026</v>
      </c>
      <c r="L171" s="100" t="str">
        <v>April</v>
      </c>
      <c r="M171" s="87"/>
      <c r="N171" s="87"/>
      <c r="O171" s="87"/>
      <c r="P171" s="87"/>
      <c r="Q171" s="87"/>
      <c r="R171" s="87"/>
      <c r="S171" s="87"/>
      <c r="T171" s="87"/>
    </row>
    <row r="172" spans="1:20" ht="16.5" x14ac:dyDescent="0.3">
      <c r="A172" s="98" t="str">
        <v>Angel Garcia</v>
      </c>
      <c r="B172" s="99">
        <v>46121</v>
      </c>
      <c r="C172" s="98" t="str">
        <v>Harvest</v>
      </c>
      <c r="D172" s="100" t="str">
        <v>109</v>
      </c>
      <c r="E172" s="98" t="str">
        <v>Christian Lopez</v>
      </c>
      <c r="F172" s="98" t="str">
        <v>Intestine Stripper</v>
      </c>
      <c r="G172" s="98" t="str">
        <v>Rash</v>
      </c>
      <c r="H172" s="115" t="str">
        <v>LT - Upper Arm</v>
      </c>
      <c r="I172" s="100" t="str">
        <v>FA</v>
      </c>
      <c r="J172" s="100" t="str">
        <v>No</v>
      </c>
      <c r="K172" s="101">
        <v>2026</v>
      </c>
      <c r="L172" s="100" t="str">
        <v>April</v>
      </c>
      <c r="M172" s="87"/>
      <c r="N172" s="87"/>
      <c r="O172" s="87"/>
      <c r="P172" s="87"/>
      <c r="Q172" s="87"/>
      <c r="R172" s="87"/>
      <c r="S172" s="87"/>
      <c r="T172" s="87"/>
    </row>
    <row r="173" spans="1:20" ht="16.5" x14ac:dyDescent="0.3">
      <c r="A173" s="98" t="str">
        <v>Hector Raya</v>
      </c>
      <c r="B173" s="99">
        <v>46121</v>
      </c>
      <c r="C173" s="98" t="str">
        <v>Fabrication</v>
      </c>
      <c r="D173" s="100" t="str">
        <v>415</v>
      </c>
      <c r="E173" s="98" t="str">
        <v>Juan Rodriguez</v>
      </c>
      <c r="F173" s="98" t="str">
        <v xml:space="preserve">Deffect Trimmer </v>
      </c>
      <c r="G173" s="98" t="str">
        <v>Strain</v>
      </c>
      <c r="H173" s="115" t="str">
        <v>LT - Middle &amp; Index Finger</v>
      </c>
      <c r="I173" s="100" t="str">
        <v>FA</v>
      </c>
      <c r="J173" s="100" t="str">
        <v>No</v>
      </c>
      <c r="K173" s="101">
        <v>2026</v>
      </c>
      <c r="L173" s="100" t="str">
        <v>April</v>
      </c>
      <c r="M173" s="87"/>
      <c r="N173" s="87"/>
      <c r="O173" s="87"/>
      <c r="P173" s="87"/>
      <c r="Q173" s="87"/>
      <c r="R173" s="87"/>
      <c r="S173" s="87"/>
      <c r="T173" s="87"/>
    </row>
    <row r="174" spans="1:20" ht="16.5" x14ac:dyDescent="0.3">
      <c r="A174" s="98" t="str">
        <v>Jesus Bustos</v>
      </c>
      <c r="B174" s="99">
        <v>46121</v>
      </c>
      <c r="C174" s="98" t="str">
        <v>Fabrication</v>
      </c>
      <c r="D174" s="100" t="str">
        <v>410</v>
      </c>
      <c r="E174" s="98" t="str">
        <v>Juan Rodriguez</v>
      </c>
      <c r="F174" s="98" t="str">
        <v>Tender Puller</v>
      </c>
      <c r="G174" s="98" t="str">
        <v>Strain</v>
      </c>
      <c r="H174" s="115" t="str">
        <v>LT - Hand</v>
      </c>
      <c r="I174" s="100" t="str">
        <v>FA</v>
      </c>
      <c r="J174" s="100" t="str">
        <v>No</v>
      </c>
      <c r="K174" s="101">
        <v>2026</v>
      </c>
      <c r="L174" s="100" t="str">
        <v>April</v>
      </c>
      <c r="M174" s="87"/>
      <c r="N174" s="87"/>
      <c r="O174" s="87"/>
      <c r="P174" s="87"/>
      <c r="Q174" s="87"/>
      <c r="R174" s="87"/>
      <c r="S174" s="87"/>
      <c r="T174" s="87"/>
    </row>
    <row r="175" spans="1:20" ht="16.5" x14ac:dyDescent="0.3">
      <c r="A175" s="98" t="str">
        <v>Gladys Lugan</v>
      </c>
      <c r="B175" s="99">
        <v>46120</v>
      </c>
      <c r="C175" s="98" t="str">
        <v>Harvest</v>
      </c>
      <c r="D175" s="100" t="str">
        <v>106</v>
      </c>
      <c r="E175" s="98" t="str">
        <v>Rutilio Rodriguez</v>
      </c>
      <c r="F175" s="98" t="str">
        <v>Tail and Kidney Remober</v>
      </c>
      <c r="G175" s="98" t="str">
        <v>Struck by - against object</v>
      </c>
      <c r="H175" s="115" t="str">
        <v>RT - Upper Arm &amp; Elbow</v>
      </c>
      <c r="I175" s="100" t="str">
        <v>FA</v>
      </c>
      <c r="J175" s="100" t="str">
        <v>No</v>
      </c>
      <c r="K175" s="101">
        <v>2026</v>
      </c>
      <c r="L175" s="100" t="str">
        <v>April</v>
      </c>
      <c r="M175" s="87"/>
      <c r="N175" s="87"/>
      <c r="O175" s="87"/>
      <c r="P175" s="87"/>
      <c r="Q175" s="87"/>
      <c r="R175" s="87"/>
      <c r="S175" s="87"/>
      <c r="T175" s="87"/>
    </row>
    <row r="176" spans="1:20" ht="16.5" x14ac:dyDescent="0.3">
      <c r="A176" s="98" t="str">
        <v>Jesus Olazava</v>
      </c>
      <c r="B176" s="99">
        <v>46120</v>
      </c>
      <c r="C176" s="98" t="str">
        <v>FSQA</v>
      </c>
      <c r="D176" s="100" t="str">
        <v>Fab FSQA</v>
      </c>
      <c r="E176" s="98" t="str">
        <v>Rene Canas</v>
      </c>
      <c r="F176" s="98" t="str">
        <v>QA Tech</v>
      </c>
      <c r="G176" s="98" t="str">
        <v>Laceration</v>
      </c>
      <c r="H176" s="115" t="str">
        <v>RT - Index Finger</v>
      </c>
      <c r="I176" s="100" t="str">
        <v>FA</v>
      </c>
      <c r="J176" s="100" t="str">
        <v>No</v>
      </c>
      <c r="K176" s="101">
        <v>2026</v>
      </c>
      <c r="L176" s="100" t="str">
        <v>April</v>
      </c>
      <c r="M176" s="87"/>
      <c r="N176" s="87"/>
      <c r="O176" s="87"/>
      <c r="P176" s="87"/>
      <c r="Q176" s="87"/>
      <c r="R176" s="87"/>
      <c r="S176" s="87"/>
      <c r="T176" s="87"/>
    </row>
    <row r="177" spans="1:20" ht="16.5" x14ac:dyDescent="0.3">
      <c r="A177" s="98" t="str">
        <v>Enrique Ramos</v>
      </c>
      <c r="B177" s="99">
        <v>46120</v>
      </c>
      <c r="C177" s="98" t="str">
        <v>Fabrication</v>
      </c>
      <c r="D177" s="100" t="str">
        <v>405</v>
      </c>
      <c r="E177" s="98" t="str">
        <v>Diego Soria</v>
      </c>
      <c r="F177" s="98" t="str">
        <v>Short Rib Bonner</v>
      </c>
      <c r="G177" s="98" t="str">
        <v>Puncture</v>
      </c>
      <c r="H177" s="115" t="str">
        <v>RT - Middle Finger</v>
      </c>
      <c r="I177" s="100" t="str">
        <v>FA</v>
      </c>
      <c r="J177" s="100" t="str">
        <v>No</v>
      </c>
      <c r="K177" s="101">
        <v>2026</v>
      </c>
      <c r="L177" s="100" t="str">
        <v>April</v>
      </c>
      <c r="M177" s="87"/>
      <c r="N177" s="87"/>
      <c r="O177" s="87"/>
      <c r="P177" s="87"/>
      <c r="Q177" s="87"/>
      <c r="R177" s="87"/>
      <c r="S177" s="87"/>
      <c r="T177" s="87"/>
    </row>
    <row r="178" spans="1:20" ht="16.5" x14ac:dyDescent="0.3">
      <c r="A178" s="98" t="str">
        <v>Ana Mendoza</v>
      </c>
      <c r="B178" s="99">
        <v>46120</v>
      </c>
      <c r="C178" s="98" t="str">
        <v>Fabrication</v>
      </c>
      <c r="D178" s="100" t="str">
        <v>420</v>
      </c>
      <c r="E178" s="98" t="str">
        <v>Elizabeth Neufeld</v>
      </c>
      <c r="F178" s="98" t="str">
        <v>Trimmer</v>
      </c>
      <c r="G178" s="98" t="str">
        <v>Contact Stess</v>
      </c>
      <c r="H178" s="115" t="str">
        <v>LT - Pinky Finger</v>
      </c>
      <c r="I178" s="100" t="str">
        <v>FA</v>
      </c>
      <c r="J178" s="100" t="str">
        <v>No</v>
      </c>
      <c r="K178" s="101">
        <v>2026</v>
      </c>
      <c r="L178" s="100" t="str">
        <v>April</v>
      </c>
      <c r="M178" s="87"/>
      <c r="N178" s="87"/>
      <c r="O178" s="87"/>
      <c r="P178" s="87"/>
      <c r="Q178" s="87"/>
      <c r="R178" s="87"/>
      <c r="S178" s="87"/>
      <c r="T178" s="87"/>
    </row>
    <row r="179" spans="1:20" ht="16.5" x14ac:dyDescent="0.3">
      <c r="A179" s="98" t="str">
        <v>Jesse De La Torre</v>
      </c>
      <c r="B179" s="99">
        <v>46120</v>
      </c>
      <c r="C179" s="98" t="str">
        <v>Fabrication</v>
      </c>
      <c r="D179" s="100" t="str">
        <v>405</v>
      </c>
      <c r="E179" s="98" t="str">
        <v>Diego Soria</v>
      </c>
      <c r="F179" s="98" t="str">
        <v xml:space="preserve">Chine Saw </v>
      </c>
      <c r="G179" s="98" t="str">
        <v>Rash</v>
      </c>
      <c r="H179" s="115" t="str">
        <v>Both - Middle Fingers</v>
      </c>
      <c r="I179" s="100" t="str">
        <v>FA</v>
      </c>
      <c r="J179" s="100" t="str">
        <v>No</v>
      </c>
      <c r="K179" s="101">
        <v>2026</v>
      </c>
      <c r="L179" s="100" t="str">
        <v>April</v>
      </c>
      <c r="M179" s="87"/>
      <c r="N179" s="87"/>
      <c r="O179" s="87"/>
      <c r="P179" s="87"/>
      <c r="Q179" s="87"/>
      <c r="R179" s="87"/>
      <c r="S179" s="87"/>
      <c r="T179" s="87"/>
    </row>
    <row r="180" spans="1:20" ht="16.5" x14ac:dyDescent="0.3">
      <c r="A180" s="98" t="str">
        <v>Samantha Guzman</v>
      </c>
      <c r="B180" s="99">
        <v>46119</v>
      </c>
      <c r="C180" s="98" t="str">
        <v>Warehouse</v>
      </c>
      <c r="D180" s="100" t="str">
        <v>Warehouse</v>
      </c>
      <c r="E180" s="98" t="str">
        <v>Jesus Avila</v>
      </c>
      <c r="F180" s="98" t="str">
        <v xml:space="preserve">Lead </v>
      </c>
      <c r="G180" s="98" t="str">
        <v>Struck by - against object</v>
      </c>
      <c r="H180" s="115" t="str">
        <v>LT - Middle Finger</v>
      </c>
      <c r="I180" s="100" t="str">
        <v>RPO</v>
      </c>
      <c r="J180" s="100" t="str">
        <v>No</v>
      </c>
      <c r="K180" s="101">
        <v>2026</v>
      </c>
      <c r="L180" s="100" t="str">
        <v>April</v>
      </c>
      <c r="M180" s="87"/>
      <c r="N180" s="87"/>
      <c r="O180" s="87"/>
      <c r="P180" s="87"/>
      <c r="Q180" s="87"/>
      <c r="R180" s="87"/>
      <c r="S180" s="87"/>
      <c r="T180" s="87"/>
    </row>
    <row r="181" spans="1:20" ht="16.5" x14ac:dyDescent="0.3">
      <c r="A181" s="98" t="str">
        <v>Juan Vazquez</v>
      </c>
      <c r="B181" s="99">
        <v>46119</v>
      </c>
      <c r="C181" s="98" t="str">
        <v>Fabrication</v>
      </c>
      <c r="D181" s="100" t="str">
        <v>420</v>
      </c>
      <c r="E181" s="98" t="str">
        <v>Elizabeth Neufeld</v>
      </c>
      <c r="F181" s="98" t="str">
        <v>Strip Trimmer</v>
      </c>
      <c r="G181" s="98" t="str">
        <v>Struck by - against object</v>
      </c>
      <c r="H181" s="115" t="str">
        <v>LT - eye</v>
      </c>
      <c r="I181" s="100" t="str">
        <v>RPO</v>
      </c>
      <c r="J181" s="100" t="str">
        <v>No</v>
      </c>
      <c r="K181" s="101">
        <v>2026</v>
      </c>
      <c r="L181" s="100" t="str">
        <v>April</v>
      </c>
      <c r="M181" s="87"/>
      <c r="N181" s="87"/>
      <c r="O181" s="87"/>
      <c r="P181" s="87"/>
      <c r="Q181" s="87"/>
      <c r="R181" s="87"/>
      <c r="S181" s="87"/>
      <c r="T181" s="87"/>
    </row>
    <row r="182" spans="1:20" ht="16.5" x14ac:dyDescent="0.3">
      <c r="A182" s="98" t="str">
        <v>Juan Lugardo</v>
      </c>
      <c r="B182" s="99">
        <v>46115</v>
      </c>
      <c r="C182" s="98" t="str">
        <v>Harvest</v>
      </c>
      <c r="D182" s="100" t="str">
        <v>103</v>
      </c>
      <c r="E182" s="98" t="str">
        <v>Ray Mascorro</v>
      </c>
      <c r="F182" s="98" t="str">
        <v>Knife Sharpner</v>
      </c>
      <c r="G182" s="98" t="str">
        <v>Puncture</v>
      </c>
      <c r="H182" s="115" t="str">
        <v>LT - Palm</v>
      </c>
      <c r="I182" s="100" t="str">
        <v>RECORDABLE</v>
      </c>
      <c r="J182" s="100" t="str">
        <v>Yes</v>
      </c>
      <c r="K182" s="101">
        <v>2026</v>
      </c>
      <c r="L182" s="100" t="str">
        <v>April</v>
      </c>
      <c r="M182" s="87"/>
      <c r="N182" s="87"/>
      <c r="O182" s="87"/>
      <c r="P182" s="87"/>
      <c r="Q182" s="87"/>
      <c r="R182" s="87"/>
      <c r="S182" s="87"/>
      <c r="T182" s="87"/>
    </row>
    <row r="183" spans="1:20" ht="16.5" x14ac:dyDescent="0.3">
      <c r="A183" s="98" t="str">
        <v>Guadalupe Barajas</v>
      </c>
      <c r="B183" s="99">
        <v>46115</v>
      </c>
      <c r="C183" s="98" t="str">
        <v>Fabrication</v>
      </c>
      <c r="D183" s="100" t="str">
        <v>410</v>
      </c>
      <c r="E183" s="98" t="str">
        <v>Juan Ramirez</v>
      </c>
      <c r="F183" s="98" t="str">
        <v>Product Sorter</v>
      </c>
      <c r="G183" s="98" t="str">
        <v>Strain</v>
      </c>
      <c r="H183" s="115" t="str">
        <v>LT - Shoulder &amp; Neck</v>
      </c>
      <c r="I183" s="100" t="str">
        <v>FA</v>
      </c>
      <c r="J183" s="100" t="str">
        <v>No</v>
      </c>
      <c r="K183" s="101">
        <v>2026</v>
      </c>
      <c r="L183" s="100" t="str">
        <v>April</v>
      </c>
      <c r="M183" s="87"/>
      <c r="N183" s="87"/>
      <c r="O183" s="87"/>
      <c r="P183" s="87"/>
      <c r="Q183" s="87"/>
      <c r="R183" s="87"/>
      <c r="S183" s="87"/>
      <c r="T183" s="87"/>
    </row>
    <row r="184" spans="1:20" ht="16.5" x14ac:dyDescent="0.3">
      <c r="A184" s="98" t="str">
        <v>Samuel Cruz</v>
      </c>
      <c r="B184" s="99">
        <v>46115</v>
      </c>
      <c r="C184" s="98" t="str">
        <v>Fabrication</v>
      </c>
      <c r="D184" s="100" t="str">
        <v>415</v>
      </c>
      <c r="E184" s="98" t="str">
        <v>Juan Rodriguez</v>
      </c>
      <c r="F184" s="98" t="str">
        <v xml:space="preserve">Chuck Boner </v>
      </c>
      <c r="G184" s="98" t="str">
        <v>Strain</v>
      </c>
      <c r="H184" s="115" t="str">
        <v>Both - Forearms</v>
      </c>
      <c r="I184" s="100" t="str">
        <v>FA</v>
      </c>
      <c r="J184" s="100" t="str">
        <v>No</v>
      </c>
      <c r="K184" s="101">
        <v>2026</v>
      </c>
      <c r="L184" s="100" t="str">
        <v>April</v>
      </c>
      <c r="M184" s="87"/>
      <c r="N184" s="87"/>
      <c r="O184" s="87"/>
      <c r="P184" s="87"/>
      <c r="Q184" s="87"/>
      <c r="R184" s="87"/>
      <c r="S184" s="87"/>
      <c r="T184" s="87"/>
    </row>
    <row r="185" spans="1:20" ht="16.5" x14ac:dyDescent="0.3">
      <c r="A185" s="98" t="str">
        <v>Samuel Cruz</v>
      </c>
      <c r="B185" s="99">
        <v>46114</v>
      </c>
      <c r="C185" s="98" t="str">
        <v>Fabrication</v>
      </c>
      <c r="D185" s="100" t="str">
        <v>415</v>
      </c>
      <c r="E185" s="98" t="str">
        <v>Juan Rodriguez</v>
      </c>
      <c r="F185" s="98" t="str">
        <v xml:space="preserve">Chuck Boner </v>
      </c>
      <c r="G185" s="98" t="str">
        <v>Abrasion</v>
      </c>
      <c r="H185" s="115" t="str">
        <v>LT - Nose</v>
      </c>
      <c r="I185" s="100" t="str">
        <v>FA</v>
      </c>
      <c r="J185" s="100" t="str">
        <v>No</v>
      </c>
      <c r="K185" s="101">
        <v>2026</v>
      </c>
      <c r="L185" s="100" t="str">
        <v>April</v>
      </c>
      <c r="M185" s="87"/>
      <c r="N185" s="87"/>
      <c r="O185" s="87"/>
      <c r="P185" s="87"/>
      <c r="Q185" s="87"/>
      <c r="R185" s="87"/>
      <c r="S185" s="87"/>
      <c r="T185" s="87"/>
    </row>
    <row r="186" spans="1:20" ht="16.5" x14ac:dyDescent="0.3">
      <c r="A186" s="98" t="str">
        <v>Yvonne Matinez</v>
      </c>
      <c r="B186" s="99">
        <v>46113</v>
      </c>
      <c r="C186" s="98" t="str">
        <v>Fabrication</v>
      </c>
      <c r="D186" s="100" t="str">
        <v>420</v>
      </c>
      <c r="E186" s="98" t="str">
        <v>Elizabeth Neufeld</v>
      </c>
      <c r="F186" s="98" t="str">
        <v>Whizzard Knife Op.</v>
      </c>
      <c r="G186" s="98" t="str">
        <v>NA - Stress</v>
      </c>
      <c r="H186" s="115" t="str">
        <v>NA</v>
      </c>
      <c r="I186" s="100" t="str">
        <v>RPO</v>
      </c>
      <c r="J186" s="100" t="str">
        <v>No</v>
      </c>
      <c r="K186" s="101">
        <v>2026</v>
      </c>
      <c r="L186" s="100" t="str">
        <v>April</v>
      </c>
      <c r="M186" s="87"/>
      <c r="N186" s="87"/>
      <c r="O186" s="87"/>
      <c r="P186" s="87"/>
      <c r="Q186" s="87"/>
      <c r="R186" s="87"/>
      <c r="S186" s="87"/>
      <c r="T186" s="87"/>
    </row>
    <row r="187" spans="1:20" ht="16.5" x14ac:dyDescent="0.3">
      <c r="A187" s="98" t="str">
        <v>Saul Flores</v>
      </c>
      <c r="B187" s="99">
        <v>46113</v>
      </c>
      <c r="C187" s="98" t="str">
        <v>Fabrication</v>
      </c>
      <c r="D187" s="100" t="str">
        <v>415</v>
      </c>
      <c r="E187" s="98" t="str">
        <v>Juan Rodriguez</v>
      </c>
      <c r="F187" s="98" t="str">
        <v xml:space="preserve">Whizzard Knife Op. </v>
      </c>
      <c r="G187" s="98" t="str">
        <v>Strain</v>
      </c>
      <c r="H187" s="115" t="str">
        <v>RT - Palm &amp; Shoulder</v>
      </c>
      <c r="I187" s="100" t="str">
        <v>FA</v>
      </c>
      <c r="J187" s="100" t="str">
        <v>No</v>
      </c>
      <c r="K187" s="101">
        <v>2026</v>
      </c>
      <c r="L187" s="100" t="str">
        <v>April</v>
      </c>
      <c r="M187" s="87"/>
      <c r="N187" s="87"/>
      <c r="O187" s="87"/>
      <c r="P187" s="87"/>
      <c r="Q187" s="87"/>
      <c r="R187" s="87"/>
      <c r="S187" s="87"/>
      <c r="T187" s="87"/>
    </row>
    <row r="188" spans="1:20" ht="16.5" x14ac:dyDescent="0.3">
      <c r="A188" s="98" t="str">
        <v>Jorge Maldonado</v>
      </c>
      <c r="B188" s="99">
        <v>46112</v>
      </c>
      <c r="C188" s="98" t="str">
        <v>Fabrication</v>
      </c>
      <c r="D188" s="100" t="str">
        <v>405</v>
      </c>
      <c r="E188" s="98" t="str">
        <v>Diego Soria</v>
      </c>
      <c r="F188" s="98" t="str">
        <v xml:space="preserve">Lead  </v>
      </c>
      <c r="G188" s="98" t="str">
        <v>Puncture</v>
      </c>
      <c r="H188" s="115" t="str">
        <v>RT - Index Finger</v>
      </c>
      <c r="I188" s="100" t="str">
        <v>FA</v>
      </c>
      <c r="J188" s="100" t="str">
        <v>No</v>
      </c>
      <c r="K188" s="101">
        <v>2026</v>
      </c>
      <c r="L188" s="100" t="str">
        <v>March</v>
      </c>
      <c r="M188" s="87"/>
      <c r="N188" s="87"/>
      <c r="O188" s="87"/>
      <c r="P188" s="87"/>
      <c r="Q188" s="87"/>
      <c r="R188" s="87"/>
      <c r="S188" s="87"/>
      <c r="T188" s="87"/>
    </row>
    <row r="189" spans="1:20" ht="16.5" x14ac:dyDescent="0.3">
      <c r="A189" s="98" t="str">
        <v>Rogelio Mendoza</v>
      </c>
      <c r="B189" s="99">
        <v>46112</v>
      </c>
      <c r="C189" s="98" t="str">
        <v>Maintenance</v>
      </c>
      <c r="D189" s="100" t="str">
        <v>Maintenance</v>
      </c>
      <c r="E189" s="98" t="str">
        <v>Osbaldo Gutierrez</v>
      </c>
      <c r="F189" s="98" t="str">
        <v>Harvest Maintenance</v>
      </c>
      <c r="G189" s="98" t="str">
        <v>Strain</v>
      </c>
      <c r="H189" s="115" t="str">
        <v xml:space="preserve">Obdimen </v>
      </c>
      <c r="I189" s="100" t="str">
        <v>FA</v>
      </c>
      <c r="J189" s="100" t="str">
        <v>No</v>
      </c>
      <c r="K189" s="101">
        <v>2026</v>
      </c>
      <c r="L189" s="100" t="str">
        <v>March</v>
      </c>
      <c r="M189" s="87"/>
      <c r="N189" s="87"/>
      <c r="O189" s="87"/>
      <c r="P189" s="87"/>
      <c r="Q189" s="87"/>
      <c r="R189" s="87"/>
      <c r="S189" s="87"/>
      <c r="T189" s="87"/>
    </row>
    <row r="190" spans="1:20" ht="16.5" x14ac:dyDescent="0.3">
      <c r="A190" s="98" t="str">
        <v>Edgar Hernandez</v>
      </c>
      <c r="B190" s="99">
        <v>46111</v>
      </c>
      <c r="C190" s="98" t="str">
        <v>Harvest</v>
      </c>
      <c r="D190" s="100" t="str">
        <v>102</v>
      </c>
      <c r="E190" s="98" t="str">
        <v>Samuel Sierra</v>
      </c>
      <c r="F190" s="98" t="str">
        <v>Tail Notch</v>
      </c>
      <c r="G190" s="98" t="str">
        <v>Strain</v>
      </c>
      <c r="H190" s="115" t="str">
        <v>RT - Wrist</v>
      </c>
      <c r="I190" s="100" t="str">
        <v>FA</v>
      </c>
      <c r="J190" s="100" t="str">
        <v>No</v>
      </c>
      <c r="K190" s="101">
        <v>2026</v>
      </c>
      <c r="L190" s="100" t="str">
        <v>March</v>
      </c>
      <c r="M190" s="87"/>
      <c r="N190" s="87"/>
      <c r="O190" s="87"/>
      <c r="P190" s="87"/>
      <c r="Q190" s="87"/>
      <c r="R190" s="87"/>
      <c r="S190" s="87"/>
      <c r="T190" s="87"/>
    </row>
    <row r="191" spans="1:20" ht="16.5" x14ac:dyDescent="0.3">
      <c r="A191" s="98" t="str">
        <v>Isreal Cruz Hernandez</v>
      </c>
      <c r="B191" s="99">
        <v>46108</v>
      </c>
      <c r="C191" s="98" t="str">
        <v>Harvest</v>
      </c>
      <c r="D191" s="100" t="str">
        <v>107</v>
      </c>
      <c r="E191" s="98" t="str">
        <v>Christian Lopez</v>
      </c>
      <c r="F191" s="98" t="str">
        <v>Split Lips</v>
      </c>
      <c r="G191" s="98" t="str">
        <v>Laceration</v>
      </c>
      <c r="H191" s="115" t="str">
        <v>RT - Pinky Finger</v>
      </c>
      <c r="I191" s="100" t="str">
        <v>FA</v>
      </c>
      <c r="J191" s="100" t="str">
        <v>No</v>
      </c>
      <c r="K191" s="101">
        <v>2026</v>
      </c>
      <c r="L191" s="100" t="str">
        <v>March</v>
      </c>
      <c r="M191" s="87"/>
      <c r="N191" s="87"/>
      <c r="O191" s="87"/>
      <c r="P191" s="87"/>
      <c r="Q191" s="87"/>
      <c r="R191" s="87"/>
      <c r="S191" s="87"/>
      <c r="T191" s="87"/>
    </row>
    <row r="192" spans="1:20" ht="16.5" x14ac:dyDescent="0.3">
      <c r="A192" s="98" t="str">
        <v>RA Thach</v>
      </c>
      <c r="B192" s="99">
        <v>46108</v>
      </c>
      <c r="C192" s="98" t="str">
        <v>Fabrication</v>
      </c>
      <c r="D192" s="100" t="str">
        <v>410</v>
      </c>
      <c r="E192" s="98" t="str">
        <v>Juan Ramirez</v>
      </c>
      <c r="F192" s="98" t="str">
        <v>Tender Puller</v>
      </c>
      <c r="G192" s="98" t="str">
        <v>Strain</v>
      </c>
      <c r="H192" s="115" t="str">
        <v>LT - Wrist</v>
      </c>
      <c r="I192" s="100" t="str">
        <v>FA</v>
      </c>
      <c r="J192" s="100" t="str">
        <v>No</v>
      </c>
      <c r="K192" s="101">
        <v>2026</v>
      </c>
      <c r="L192" s="100" t="str">
        <v>March</v>
      </c>
      <c r="M192" s="87"/>
      <c r="N192" s="87"/>
      <c r="O192" s="87"/>
      <c r="P192" s="87"/>
      <c r="Q192" s="87"/>
      <c r="R192" s="87"/>
      <c r="S192" s="87"/>
      <c r="T192" s="87"/>
    </row>
    <row r="193" spans="1:20" ht="16.5" x14ac:dyDescent="0.3">
      <c r="A193" s="98" t="str">
        <v>Mayra Solarte</v>
      </c>
      <c r="B193" s="99">
        <v>46105</v>
      </c>
      <c r="C193" s="98" t="str">
        <v>Harvest</v>
      </c>
      <c r="D193" s="100" t="str">
        <v>102</v>
      </c>
      <c r="E193" s="98" t="str">
        <v>Samuel Sierra</v>
      </c>
      <c r="F193" s="98" t="str">
        <v xml:space="preserve">Whizzard Kinfe Op. </v>
      </c>
      <c r="G193" s="98" t="str">
        <v>Strain</v>
      </c>
      <c r="H193" s="115" t="str">
        <v>RT - Elbow &amp; Forearm</v>
      </c>
      <c r="I193" s="100" t="str">
        <v>FA</v>
      </c>
      <c r="J193" s="100" t="str">
        <v>No</v>
      </c>
      <c r="K193" s="101">
        <v>2026</v>
      </c>
      <c r="L193" s="100" t="str">
        <v>March</v>
      </c>
      <c r="M193" s="87"/>
      <c r="N193" s="87"/>
      <c r="O193" s="87"/>
      <c r="P193" s="87"/>
      <c r="Q193" s="87"/>
      <c r="R193" s="87"/>
      <c r="S193" s="87"/>
      <c r="T193" s="87"/>
    </row>
    <row r="194" spans="1:20" ht="16.5" x14ac:dyDescent="0.3">
      <c r="A194" s="98" t="str">
        <v>Jesus Topete</v>
      </c>
      <c r="B194" s="99">
        <v>46104</v>
      </c>
      <c r="C194" s="98" t="str">
        <v>Fabrication</v>
      </c>
      <c r="D194" s="100" t="str">
        <v>400</v>
      </c>
      <c r="E194" s="98" t="str">
        <v>Ovidio Sanchez</v>
      </c>
      <c r="F194" s="98" t="str">
        <v>PAA Sprayer</v>
      </c>
      <c r="G194" s="98" t="str">
        <v>Strain</v>
      </c>
      <c r="H194" s="115" t="str">
        <v>LT - Wrist</v>
      </c>
      <c r="I194" s="100" t="str">
        <v>FA</v>
      </c>
      <c r="J194" s="100" t="str">
        <v>No</v>
      </c>
      <c r="K194" s="101">
        <v>2026</v>
      </c>
      <c r="L194" s="100" t="str">
        <v>March</v>
      </c>
      <c r="M194" s="87"/>
      <c r="N194" s="87"/>
      <c r="O194" s="87"/>
      <c r="P194" s="87"/>
      <c r="Q194" s="87"/>
      <c r="R194" s="87"/>
      <c r="S194" s="87"/>
      <c r="T194" s="87"/>
    </row>
    <row r="195" spans="1:20" ht="16.5" x14ac:dyDescent="0.3">
      <c r="A195" s="98" t="str">
        <v>Saul Flores</v>
      </c>
      <c r="B195" s="99">
        <v>46101</v>
      </c>
      <c r="C195" s="98" t="str">
        <v>Fabrication</v>
      </c>
      <c r="D195" s="100" t="str">
        <v>415</v>
      </c>
      <c r="E195" s="98" t="str">
        <v>Juan Rodriguez</v>
      </c>
      <c r="F195" s="98" t="str">
        <v xml:space="preserve">Whizzard Knife Op. </v>
      </c>
      <c r="G195" s="98" t="str">
        <v xml:space="preserve">Strain </v>
      </c>
      <c r="H195" s="115" t="str">
        <v>RT - Wrist, Elbow, &amp; Forearm</v>
      </c>
      <c r="I195" s="100" t="str">
        <v>FA</v>
      </c>
      <c r="J195" s="100" t="str">
        <v>No</v>
      </c>
      <c r="K195" s="101">
        <v>2026</v>
      </c>
      <c r="L195" s="100" t="str">
        <v>March</v>
      </c>
      <c r="M195" s="87"/>
      <c r="N195" s="87"/>
      <c r="O195" s="87"/>
      <c r="P195" s="87"/>
      <c r="Q195" s="87"/>
      <c r="R195" s="87"/>
      <c r="S195" s="87"/>
      <c r="T195" s="87"/>
    </row>
    <row r="196" spans="1:20" ht="16.5" x14ac:dyDescent="0.3">
      <c r="A196" s="98" t="str">
        <v>Alan Aranda</v>
      </c>
      <c r="B196" s="99">
        <v>46101</v>
      </c>
      <c r="C196" s="98" t="str">
        <v>Fabrication</v>
      </c>
      <c r="D196" s="100" t="str">
        <v>420</v>
      </c>
      <c r="E196" s="98" t="str">
        <v>Elizabeth Neufeld</v>
      </c>
      <c r="F196" s="98" t="str">
        <v>Strip Bonner</v>
      </c>
      <c r="G196" s="98" t="str">
        <v>Slip, Trip, &amp; Fall</v>
      </c>
      <c r="H196" s="115" t="str">
        <v xml:space="preserve">RT - Ankle </v>
      </c>
      <c r="I196" s="100" t="str">
        <v>FA</v>
      </c>
      <c r="J196" s="100" t="str">
        <v>No</v>
      </c>
      <c r="K196" s="101">
        <v>2026</v>
      </c>
      <c r="L196" s="100" t="str">
        <v>March</v>
      </c>
      <c r="M196" s="87"/>
      <c r="N196" s="87"/>
      <c r="O196" s="87"/>
      <c r="P196" s="87"/>
      <c r="Q196" s="87"/>
      <c r="R196" s="87"/>
      <c r="S196" s="87"/>
      <c r="T196" s="87"/>
    </row>
    <row r="197" spans="1:20" ht="16.5" x14ac:dyDescent="0.3">
      <c r="A197" s="98" t="str">
        <v>Xeng Vuew</v>
      </c>
      <c r="B197" s="99">
        <v>46101</v>
      </c>
      <c r="C197" s="98" t="str">
        <v>Harvest</v>
      </c>
      <c r="D197" s="100" t="str">
        <v>109</v>
      </c>
      <c r="E197" s="98" t="str">
        <v>Samuel Sierra</v>
      </c>
      <c r="F197" s="98" t="str">
        <v>Intestine Stripper</v>
      </c>
      <c r="G197" s="98" t="str">
        <v>Rash</v>
      </c>
      <c r="H197" s="115" t="str">
        <v xml:space="preserve">LT - Upper Arm, Ribs &amp; Both Inner Thighs. </v>
      </c>
      <c r="I197" s="100" t="str">
        <v>FA</v>
      </c>
      <c r="J197" s="100" t="str">
        <v>No</v>
      </c>
      <c r="K197" s="101">
        <v>2026</v>
      </c>
      <c r="L197" s="100" t="str">
        <v>March</v>
      </c>
      <c r="M197" s="87"/>
      <c r="N197" s="87"/>
      <c r="O197" s="87"/>
      <c r="P197" s="87"/>
      <c r="Q197" s="87"/>
      <c r="R197" s="87"/>
      <c r="S197" s="87"/>
      <c r="T197" s="87"/>
    </row>
    <row r="198" spans="1:20" ht="16.5" x14ac:dyDescent="0.3">
      <c r="A198" s="98" t="str">
        <v>China Bonner</v>
      </c>
      <c r="B198" s="99">
        <v>46100</v>
      </c>
      <c r="C198" s="98" t="str">
        <v>Fabrication</v>
      </c>
      <c r="D198" s="100" t="str">
        <v>420</v>
      </c>
      <c r="E198" s="98" t="str">
        <v>Elizabeth Neufeld</v>
      </c>
      <c r="F198" s="98" t="str">
        <v>Top Trimmer</v>
      </c>
      <c r="G198" s="98" t="str">
        <v xml:space="preserve">Foreign Object </v>
      </c>
      <c r="H198" s="115" t="str">
        <v>RT - Eye</v>
      </c>
      <c r="I198" s="100" t="str">
        <v>FA</v>
      </c>
      <c r="J198" s="100" t="str">
        <v>No</v>
      </c>
      <c r="K198" s="101">
        <v>2026</v>
      </c>
      <c r="L198" s="100" t="str">
        <v>March</v>
      </c>
      <c r="M198" s="87"/>
      <c r="N198" s="87"/>
      <c r="O198" s="87"/>
      <c r="P198" s="87"/>
      <c r="Q198" s="87"/>
      <c r="R198" s="87"/>
      <c r="S198" s="87"/>
      <c r="T198" s="87"/>
    </row>
    <row r="199" spans="1:20" ht="16.5" x14ac:dyDescent="0.3">
      <c r="A199" s="98" t="str">
        <v>Edgar Guttierez</v>
      </c>
      <c r="B199" s="99">
        <v>46100</v>
      </c>
      <c r="C199" s="98" t="str">
        <v>Fabrication</v>
      </c>
      <c r="D199" s="100" t="str">
        <v>405</v>
      </c>
      <c r="E199" s="98" t="str">
        <v>Diego Soria</v>
      </c>
      <c r="F199" s="98" t="str">
        <v>Plate Boner</v>
      </c>
      <c r="G199" s="98" t="str">
        <v>Puncture</v>
      </c>
      <c r="H199" s="115" t="str">
        <v>LT - Mid Back</v>
      </c>
      <c r="I199" s="100" t="str">
        <v>FA</v>
      </c>
      <c r="J199" s="100" t="str">
        <v>No</v>
      </c>
      <c r="K199" s="101">
        <v>2026</v>
      </c>
      <c r="L199" s="100" t="str">
        <v>March</v>
      </c>
      <c r="M199" s="87"/>
      <c r="N199" s="87"/>
      <c r="O199" s="87"/>
      <c r="P199" s="87"/>
      <c r="Q199" s="87"/>
      <c r="R199" s="87"/>
      <c r="S199" s="87"/>
      <c r="T199" s="87"/>
    </row>
    <row r="200" spans="1:20" ht="16.5" x14ac:dyDescent="0.3">
      <c r="A200" s="98" t="str">
        <v xml:space="preserve">Jesus Bernal </v>
      </c>
      <c r="B200" s="99">
        <v>46100</v>
      </c>
      <c r="C200" s="98" t="str">
        <v>Harvest</v>
      </c>
      <c r="D200" s="100" t="str">
        <v>100</v>
      </c>
      <c r="E200" s="98" t="str">
        <v>Marilyn Herrera</v>
      </c>
      <c r="F200" s="98" t="str">
        <v>Cattle Pusher</v>
      </c>
      <c r="G200" s="98" t="str">
        <v xml:space="preserve">Foreign Object </v>
      </c>
      <c r="H200" s="115" t="str">
        <v>RT - Eye</v>
      </c>
      <c r="I200" s="100" t="str">
        <v>FA</v>
      </c>
      <c r="J200" s="100" t="str">
        <v>No</v>
      </c>
      <c r="K200" s="101">
        <v>2026</v>
      </c>
      <c r="L200" s="100" t="str">
        <v>March</v>
      </c>
      <c r="M200" s="87"/>
      <c r="N200" s="87"/>
      <c r="O200" s="87"/>
      <c r="P200" s="87"/>
      <c r="Q200" s="87"/>
      <c r="R200" s="87"/>
      <c r="S200" s="87"/>
      <c r="T200" s="87"/>
    </row>
    <row r="201" spans="1:20" ht="16.5" x14ac:dyDescent="0.3">
      <c r="A201" s="98" t="str">
        <v>Cesar Castellanos</v>
      </c>
      <c r="B201" s="99">
        <v>46100</v>
      </c>
      <c r="C201" s="98" t="str">
        <v>Harvest</v>
      </c>
      <c r="D201" s="100" t="str">
        <v>100</v>
      </c>
      <c r="E201" s="98" t="str">
        <v>Marilyn Herrera</v>
      </c>
      <c r="F201" s="98" t="str">
        <v>Cattle Pusher</v>
      </c>
      <c r="G201" s="98" t="str">
        <v>Struck By Cattle</v>
      </c>
      <c r="H201" s="115" t="str">
        <v>RT - Tight</v>
      </c>
      <c r="I201" s="100" t="str">
        <v>FA</v>
      </c>
      <c r="J201" s="100" t="str">
        <v>No</v>
      </c>
      <c r="K201" s="101">
        <v>2026</v>
      </c>
      <c r="L201" s="100" t="str">
        <v>March</v>
      </c>
      <c r="M201" s="87"/>
      <c r="N201" s="87"/>
      <c r="O201" s="87"/>
      <c r="P201" s="87"/>
      <c r="Q201" s="87"/>
      <c r="R201" s="87"/>
      <c r="S201" s="87"/>
      <c r="T201" s="87"/>
    </row>
    <row r="202" spans="1:20" ht="16.5" x14ac:dyDescent="0.3">
      <c r="A202" s="98" t="str">
        <v>Griselda Floran</v>
      </c>
      <c r="B202" s="99">
        <v>46100</v>
      </c>
      <c r="C202" s="98" t="str">
        <v>Harvest</v>
      </c>
      <c r="D202" s="100" t="str">
        <v>109</v>
      </c>
      <c r="E202" s="98" t="str">
        <v>Samuel Sierra</v>
      </c>
      <c r="F202" s="98" t="str">
        <v>Intestine Stripper</v>
      </c>
      <c r="G202" s="98" t="str">
        <v>Rash</v>
      </c>
      <c r="H202" s="115" t="str">
        <v>LT - Index Finger</v>
      </c>
      <c r="I202" s="100" t="str">
        <v>FA</v>
      </c>
      <c r="J202" s="100" t="str">
        <v>No</v>
      </c>
      <c r="K202" s="101">
        <v>2026</v>
      </c>
      <c r="L202" s="100" t="str">
        <v>March</v>
      </c>
      <c r="M202" s="87"/>
      <c r="N202" s="87"/>
      <c r="O202" s="87"/>
      <c r="P202" s="87"/>
      <c r="Q202" s="87"/>
      <c r="R202" s="87"/>
      <c r="S202" s="87"/>
      <c r="T202" s="87"/>
    </row>
    <row r="203" spans="1:20" ht="16.5" x14ac:dyDescent="0.3">
      <c r="A203" s="98" t="str">
        <v>Jhondri Madariaga</v>
      </c>
      <c r="B203" s="99">
        <v>46098</v>
      </c>
      <c r="C203" s="98" t="str">
        <v>Fabrication</v>
      </c>
      <c r="D203" s="100" t="str">
        <v>429</v>
      </c>
      <c r="E203" s="98" t="str">
        <v>Chadu Moua</v>
      </c>
      <c r="F203" s="98" t="str">
        <v>Bone Saw</v>
      </c>
      <c r="G203" s="98" t="str">
        <v>Struck by equipment</v>
      </c>
      <c r="H203" s="115" t="str">
        <v>RT - Index Finger</v>
      </c>
      <c r="I203" s="100" t="str">
        <v>FA</v>
      </c>
      <c r="J203" s="100" t="str">
        <v>No</v>
      </c>
      <c r="K203" s="101">
        <v>2026</v>
      </c>
      <c r="L203" s="100" t="str">
        <v>March</v>
      </c>
      <c r="M203" s="87"/>
      <c r="N203" s="87"/>
      <c r="O203" s="87"/>
      <c r="P203" s="87"/>
      <c r="Q203" s="87"/>
      <c r="R203" s="87"/>
      <c r="S203" s="87"/>
      <c r="T203" s="87"/>
    </row>
    <row r="204" spans="1:20" ht="16.5" x14ac:dyDescent="0.3">
      <c r="A204" s="98" t="str">
        <v>Kristy Davila</v>
      </c>
      <c r="B204" s="99">
        <v>46094</v>
      </c>
      <c r="C204" s="98" t="str">
        <v>Fabrication</v>
      </c>
      <c r="D204" s="100" t="str">
        <v>420</v>
      </c>
      <c r="E204" s="98" t="str">
        <v>Elizabeth Neufeld</v>
      </c>
      <c r="F204" s="98" t="str">
        <v>Flat Trimmer</v>
      </c>
      <c r="G204" s="98" t="str">
        <v>Contact Stess</v>
      </c>
      <c r="H204" s="115" t="str">
        <v>LT - Hand</v>
      </c>
      <c r="I204" s="100" t="str">
        <v>RPO</v>
      </c>
      <c r="J204" s="100" t="str">
        <v>No</v>
      </c>
      <c r="K204" s="101">
        <v>2026</v>
      </c>
      <c r="L204" s="100" t="str">
        <v>March</v>
      </c>
      <c r="M204" s="87"/>
      <c r="N204" s="87"/>
      <c r="O204" s="87"/>
      <c r="P204" s="87"/>
      <c r="Q204" s="87"/>
      <c r="R204" s="87"/>
      <c r="S204" s="87"/>
      <c r="T204" s="87"/>
    </row>
    <row r="205" spans="1:20" ht="16.5" x14ac:dyDescent="0.3">
      <c r="A205" s="98" t="str">
        <v>Karen Vance</v>
      </c>
      <c r="B205" s="99">
        <v>46092</v>
      </c>
      <c r="C205" s="98" t="str">
        <v>Maintenance</v>
      </c>
      <c r="D205" s="100" t="str">
        <v>Maintenance</v>
      </c>
      <c r="E205" s="98" t="str">
        <v>Jonathan Hernandez</v>
      </c>
      <c r="F205" s="98" t="str">
        <v>Maintenance Clerk</v>
      </c>
      <c r="G205" s="98" t="str">
        <v>Slip, Trip, &amp; Fall</v>
      </c>
      <c r="H205" s="115" t="str">
        <v>RT - Foearm, Hip, Knee</v>
      </c>
      <c r="I205" s="100" t="str">
        <v>FA</v>
      </c>
      <c r="J205" s="100" t="str">
        <v>No</v>
      </c>
      <c r="K205" s="101">
        <v>2026</v>
      </c>
      <c r="L205" s="100" t="str">
        <v>March</v>
      </c>
      <c r="M205" s="87"/>
      <c r="N205" s="87"/>
      <c r="O205" s="87"/>
      <c r="P205" s="87"/>
      <c r="Q205" s="87"/>
      <c r="R205" s="87"/>
      <c r="S205" s="87"/>
      <c r="T205" s="87"/>
    </row>
    <row r="206" spans="1:20" ht="16.5" x14ac:dyDescent="0.3">
      <c r="A206" s="98" t="str">
        <v>Samuel Cruz</v>
      </c>
      <c r="B206" s="99">
        <v>46091</v>
      </c>
      <c r="C206" s="98" t="str">
        <v>Fabrication</v>
      </c>
      <c r="D206" s="100" t="str">
        <v>405</v>
      </c>
      <c r="E206" s="98" t="str">
        <v>Juan Rodriguez</v>
      </c>
      <c r="F206" s="98" t="str">
        <v xml:space="preserve">Chuck Boner </v>
      </c>
      <c r="G206" s="98" t="str">
        <v>Struck by Against Object</v>
      </c>
      <c r="H206" s="115" t="str">
        <v>LT - Ear</v>
      </c>
      <c r="I206" s="100" t="str">
        <v>FA</v>
      </c>
      <c r="J206" s="100" t="str">
        <v>No</v>
      </c>
      <c r="K206" s="101">
        <v>2026</v>
      </c>
      <c r="L206" s="100" t="str">
        <v>March</v>
      </c>
      <c r="M206" s="87"/>
      <c r="N206" s="87"/>
      <c r="O206" s="87"/>
      <c r="P206" s="87"/>
      <c r="Q206" s="87"/>
      <c r="R206" s="87"/>
      <c r="S206" s="87"/>
      <c r="T206" s="87"/>
    </row>
    <row r="207" spans="1:20" ht="16.5" x14ac:dyDescent="0.3">
      <c r="A207" s="98" t="str">
        <v>Kathrine Montez</v>
      </c>
      <c r="B207" s="99">
        <v>46087</v>
      </c>
      <c r="C207" s="98" t="str">
        <v>Harvest</v>
      </c>
      <c r="D207" s="100" t="str">
        <v>107</v>
      </c>
      <c r="E207" s="98" t="str">
        <v>Samuel Sierra</v>
      </c>
      <c r="F207" s="98" t="str">
        <v>Pack Off</v>
      </c>
      <c r="G207" s="98" t="str">
        <v xml:space="preserve">Crush Injury </v>
      </c>
      <c r="H207" s="115" t="str">
        <v>LT - Index Finger</v>
      </c>
      <c r="I207" s="100" t="str">
        <v>FA</v>
      </c>
      <c r="J207" s="100" t="str">
        <v>No</v>
      </c>
      <c r="K207" s="101">
        <v>2026</v>
      </c>
      <c r="L207" s="100" t="str">
        <v>March</v>
      </c>
      <c r="M207" s="87"/>
      <c r="N207" s="87"/>
      <c r="O207" s="87"/>
      <c r="P207" s="87"/>
      <c r="Q207" s="87"/>
      <c r="R207" s="87"/>
      <c r="S207" s="87"/>
      <c r="T207" s="87"/>
    </row>
    <row r="208" spans="1:20" ht="16.5" x14ac:dyDescent="0.3">
      <c r="A208" s="98" t="str">
        <v>Armando Gonzalez</v>
      </c>
      <c r="B208" s="99">
        <v>46087</v>
      </c>
      <c r="C208" s="98" t="str">
        <v>Fabrication</v>
      </c>
      <c r="D208" s="100" t="str">
        <v>410</v>
      </c>
      <c r="E208" s="98" t="str">
        <v>Juan Ramirez</v>
      </c>
      <c r="F208" s="98" t="str">
        <v>Round Dropper</v>
      </c>
      <c r="G208" s="98" t="str">
        <v>Strain</v>
      </c>
      <c r="H208" s="115" t="str">
        <v>RT - Wrist</v>
      </c>
      <c r="I208" s="100" t="str">
        <v>FA</v>
      </c>
      <c r="J208" s="100" t="str">
        <v>No</v>
      </c>
      <c r="K208" s="101">
        <v>2026</v>
      </c>
      <c r="L208" s="100" t="str">
        <v>March</v>
      </c>
      <c r="M208" s="87"/>
      <c r="N208" s="87"/>
      <c r="O208" s="87"/>
      <c r="P208" s="87"/>
      <c r="Q208" s="87"/>
      <c r="R208" s="87"/>
      <c r="S208" s="87"/>
      <c r="T208" s="87"/>
    </row>
    <row r="209" spans="1:20" ht="16.5" x14ac:dyDescent="0.3">
      <c r="A209" s="98" t="str">
        <v>Braulio Torres</v>
      </c>
      <c r="B209" s="99">
        <v>46087</v>
      </c>
      <c r="C209" s="98" t="str">
        <v>Corrals</v>
      </c>
      <c r="D209" s="100" t="str">
        <v>100</v>
      </c>
      <c r="E209" s="98" t="str">
        <v>Marilyn Herrera</v>
      </c>
      <c r="F209" s="98" t="str">
        <v>Herdsman</v>
      </c>
      <c r="G209" s="98" t="str">
        <v xml:space="preserve">Foreign Object </v>
      </c>
      <c r="H209" s="115" t="str">
        <v>LT - Eye</v>
      </c>
      <c r="I209" s="100" t="str">
        <v>FA</v>
      </c>
      <c r="J209" s="100" t="str">
        <v>No</v>
      </c>
      <c r="K209" s="101">
        <v>2026</v>
      </c>
      <c r="L209" s="100" t="str">
        <v>March</v>
      </c>
      <c r="M209" s="87"/>
      <c r="N209" s="87"/>
      <c r="O209" s="87"/>
      <c r="P209" s="87"/>
      <c r="Q209" s="87"/>
      <c r="R209" s="87"/>
      <c r="S209" s="87"/>
      <c r="T209" s="87"/>
    </row>
    <row r="210" spans="1:20" ht="16.5" x14ac:dyDescent="0.3">
      <c r="A210" s="98" t="str">
        <v>Israel Cruz Hernandez</v>
      </c>
      <c r="B210" s="99">
        <v>46087</v>
      </c>
      <c r="C210" s="98" t="str">
        <v>Harvest</v>
      </c>
      <c r="D210" s="100" t="str">
        <v>107</v>
      </c>
      <c r="E210" s="98" t="str">
        <v>Samuel Sierra</v>
      </c>
      <c r="F210" s="98" t="str">
        <v>Lip Opener</v>
      </c>
      <c r="G210" s="98" t="str">
        <v>Strain</v>
      </c>
      <c r="H210" s="115" t="str">
        <v xml:space="preserve">RT - Wrist  </v>
      </c>
      <c r="I210" s="100" t="str">
        <v>FA</v>
      </c>
      <c r="J210" s="100" t="str">
        <v>No</v>
      </c>
      <c r="K210" s="101">
        <v>2026</v>
      </c>
      <c r="L210" s="100" t="str">
        <v>March</v>
      </c>
      <c r="M210" s="87"/>
      <c r="N210" s="87"/>
      <c r="O210" s="87"/>
      <c r="P210" s="87"/>
      <c r="Q210" s="87"/>
      <c r="R210" s="87"/>
      <c r="S210" s="87"/>
      <c r="T210" s="87"/>
    </row>
    <row r="211" spans="1:20" ht="16.5" x14ac:dyDescent="0.3">
      <c r="A211" s="98" t="str">
        <v>German Cerda</v>
      </c>
      <c r="B211" s="99">
        <v>46086</v>
      </c>
      <c r="C211" s="98" t="str">
        <v>Fabrication</v>
      </c>
      <c r="D211" s="100" t="str">
        <v>405</v>
      </c>
      <c r="E211" s="98" t="str">
        <v>Diego Soria</v>
      </c>
      <c r="F211" s="98" t="str">
        <v>Plate Boner</v>
      </c>
      <c r="G211" s="98" t="str">
        <v>Strain</v>
      </c>
      <c r="H211" s="115" t="str">
        <v>Back of Neck</v>
      </c>
      <c r="I211" s="100" t="str">
        <v>FA</v>
      </c>
      <c r="J211" s="100" t="str">
        <v>No</v>
      </c>
      <c r="K211" s="101">
        <v>2026</v>
      </c>
      <c r="L211" s="100" t="str">
        <v>March</v>
      </c>
      <c r="M211" s="87"/>
      <c r="N211" s="87"/>
      <c r="O211" s="87"/>
      <c r="P211" s="87"/>
      <c r="Q211" s="87"/>
      <c r="R211" s="87"/>
      <c r="S211" s="87"/>
      <c r="T211" s="87"/>
    </row>
    <row r="212" spans="1:20" ht="16.5" x14ac:dyDescent="0.3">
      <c r="A212" s="98" t="str">
        <v>Chadu Moua</v>
      </c>
      <c r="B212" s="99">
        <v>46086</v>
      </c>
      <c r="C212" s="98" t="str">
        <v>Fabrication</v>
      </c>
      <c r="D212" s="100" t="str">
        <v>429</v>
      </c>
      <c r="E212" s="98" t="str">
        <v>David Zavala</v>
      </c>
      <c r="F212" s="98" t="str">
        <v>Supervisor</v>
      </c>
      <c r="G212" s="98" t="str">
        <v>Struck by Against Object</v>
      </c>
      <c r="H212" s="115" t="str">
        <v>LT - Index Finger &amp; RT - Thumb</v>
      </c>
      <c r="I212" s="100" t="str">
        <v>FA</v>
      </c>
      <c r="J212" s="100" t="str">
        <v>No</v>
      </c>
      <c r="K212" s="101">
        <v>2026</v>
      </c>
      <c r="L212" s="100" t="str">
        <v>March</v>
      </c>
      <c r="M212" s="87"/>
      <c r="N212" s="87"/>
      <c r="O212" s="87"/>
      <c r="P212" s="87"/>
      <c r="Q212" s="87"/>
      <c r="R212" s="87"/>
      <c r="S212" s="87"/>
      <c r="T212" s="87"/>
    </row>
    <row r="213" spans="1:20" ht="16.5" x14ac:dyDescent="0.3">
      <c r="A213" s="98" t="str">
        <v>Juan Herrera</v>
      </c>
      <c r="B213" s="99">
        <v>46085</v>
      </c>
      <c r="C213" s="98" t="str">
        <v>Fabrication</v>
      </c>
      <c r="D213" s="100" t="str">
        <v>420</v>
      </c>
      <c r="E213" s="98" t="str">
        <v>Elizabeth Neufeld</v>
      </c>
      <c r="F213" s="98" t="str">
        <v>Flap Meat Trimmer</v>
      </c>
      <c r="G213" s="98" t="str">
        <v>Contact Stess</v>
      </c>
      <c r="H213" s="115" t="str">
        <v>RT - Pinky Finger</v>
      </c>
      <c r="I213" s="100" t="str">
        <v>FA</v>
      </c>
      <c r="J213" s="100" t="str">
        <v>No</v>
      </c>
      <c r="K213" s="101">
        <v>2026</v>
      </c>
      <c r="L213" s="100" t="str">
        <v>March</v>
      </c>
      <c r="M213" s="87"/>
      <c r="N213" s="87"/>
      <c r="O213" s="87"/>
      <c r="P213" s="87"/>
      <c r="Q213" s="87"/>
      <c r="R213" s="87"/>
      <c r="S213" s="87"/>
      <c r="T213" s="87"/>
    </row>
    <row r="214" spans="1:20" ht="16.5" x14ac:dyDescent="0.3">
      <c r="A214" s="98" t="str">
        <v>Juan Dominguez</v>
      </c>
      <c r="B214" s="99">
        <v>46085</v>
      </c>
      <c r="C214" s="98" t="str">
        <v>Harvest</v>
      </c>
      <c r="D214" s="100" t="str">
        <v>106</v>
      </c>
      <c r="E214" s="98" t="str">
        <v>Christian Lopez</v>
      </c>
      <c r="F214" s="98" t="str">
        <v>106 - Roamer</v>
      </c>
      <c r="G214" s="98" t="str">
        <v>Laceration</v>
      </c>
      <c r="H214" s="115" t="str">
        <v>RT - Ring Finger</v>
      </c>
      <c r="I214" s="100" t="str">
        <v>FA</v>
      </c>
      <c r="J214" s="100" t="str">
        <v>No</v>
      </c>
      <c r="K214" s="101">
        <v>2026</v>
      </c>
      <c r="L214" s="100" t="str">
        <v>March</v>
      </c>
      <c r="M214" s="87"/>
      <c r="N214" s="87"/>
      <c r="O214" s="87"/>
      <c r="P214" s="87"/>
      <c r="Q214" s="87"/>
      <c r="R214" s="87"/>
      <c r="S214" s="87"/>
      <c r="T214" s="87"/>
    </row>
    <row r="215" spans="1:20" ht="16.5" x14ac:dyDescent="0.3">
      <c r="A215" s="98" t="str">
        <v>Jesus Morales</v>
      </c>
      <c r="B215" s="99">
        <v>46085</v>
      </c>
      <c r="C215" s="98" t="str">
        <v>Corrals</v>
      </c>
      <c r="D215" s="100" t="str">
        <v>100</v>
      </c>
      <c r="E215" s="98" t="str">
        <v>Marilyn Herrera</v>
      </c>
      <c r="F215" s="98" t="str">
        <v>Herdsman</v>
      </c>
      <c r="G215" s="98" t="str">
        <v xml:space="preserve">Crush Injury </v>
      </c>
      <c r="H215" s="115" t="str">
        <v>RT - Pinky Finger</v>
      </c>
      <c r="I215" s="100" t="str">
        <v>RECORDABLE</v>
      </c>
      <c r="J215" s="100" t="str">
        <v>Yes</v>
      </c>
      <c r="K215" s="101">
        <v>2026</v>
      </c>
      <c r="L215" s="100" t="str">
        <v>March</v>
      </c>
      <c r="M215" s="87"/>
      <c r="N215" s="87"/>
      <c r="O215" s="87"/>
      <c r="P215" s="87"/>
      <c r="Q215" s="87"/>
      <c r="R215" s="87"/>
      <c r="S215" s="87"/>
      <c r="T215" s="87"/>
    </row>
    <row r="216" spans="1:20" ht="16.5" x14ac:dyDescent="0.3">
      <c r="A216" s="98" t="str">
        <v>Karson Lowe</v>
      </c>
      <c r="B216" s="99">
        <v>46085</v>
      </c>
      <c r="C216" s="98" t="str">
        <v>Harvest</v>
      </c>
      <c r="D216" s="100" t="str">
        <v>104</v>
      </c>
      <c r="E216" s="98" t="str">
        <v>Michael Orozco</v>
      </c>
      <c r="F216" s="98" t="str">
        <v>Head Chain Trimmer</v>
      </c>
      <c r="G216" s="98" t="str">
        <v>Strain</v>
      </c>
      <c r="H216" s="115" t="str">
        <v>RT - Pinky Finger &amp; LT - Middle Finger - Hand</v>
      </c>
      <c r="I216" s="100" t="str">
        <v>FA</v>
      </c>
      <c r="J216" s="100" t="str">
        <v>No</v>
      </c>
      <c r="K216" s="101">
        <v>2026</v>
      </c>
      <c r="L216" s="100" t="str">
        <v>March</v>
      </c>
      <c r="M216" s="87"/>
      <c r="N216" s="87"/>
      <c r="O216" s="87"/>
      <c r="P216" s="87"/>
      <c r="Q216" s="87"/>
      <c r="R216" s="87"/>
      <c r="S216" s="87"/>
      <c r="T216" s="87"/>
    </row>
    <row r="217" spans="1:20" ht="16.5" x14ac:dyDescent="0.3">
      <c r="A217" s="98" t="str">
        <v>Maria Sanchez</v>
      </c>
      <c r="B217" s="99">
        <v>46084</v>
      </c>
      <c r="C217" s="98" t="str">
        <v>Fabrication</v>
      </c>
      <c r="D217" s="100" t="str">
        <v>400</v>
      </c>
      <c r="E217" s="98" t="str">
        <v>Ovidio Sanchez</v>
      </c>
      <c r="F217" s="98" t="str">
        <v>Clean Up</v>
      </c>
      <c r="G217" s="98" t="str">
        <v>Strain</v>
      </c>
      <c r="H217" s="115" t="str">
        <v>LT - Shoulder - Upper Arm - Forearm</v>
      </c>
      <c r="I217" s="100" t="str">
        <v>FA</v>
      </c>
      <c r="J217" s="100" t="str">
        <v>No</v>
      </c>
      <c r="K217" s="101">
        <v>2026</v>
      </c>
      <c r="L217" s="100" t="str">
        <v>March</v>
      </c>
      <c r="M217" s="87"/>
      <c r="N217" s="87"/>
      <c r="O217" s="87"/>
      <c r="P217" s="87"/>
      <c r="Q217" s="87"/>
      <c r="R217" s="87"/>
      <c r="S217" s="87"/>
      <c r="T217" s="87"/>
    </row>
    <row r="218" spans="1:20" ht="16.5" x14ac:dyDescent="0.3">
      <c r="A218" s="98" t="str">
        <v>Guadalupe Fuentes</v>
      </c>
      <c r="B218" s="99">
        <v>46083</v>
      </c>
      <c r="C218" s="98" t="str">
        <v>Harvest</v>
      </c>
      <c r="D218" s="100" t="str">
        <v>102</v>
      </c>
      <c r="E218" s="98" t="str">
        <v>Rutilio Rodriguez</v>
      </c>
      <c r="F218" s="98" t="str">
        <v>Paper Knock Hole</v>
      </c>
      <c r="G218" s="98" t="str">
        <v>Strain</v>
      </c>
      <c r="H218" s="115" t="str">
        <v>RT - Thumb</v>
      </c>
      <c r="I218" s="100" t="str">
        <v>FA</v>
      </c>
      <c r="J218" s="100" t="str">
        <v>No</v>
      </c>
      <c r="K218" s="101">
        <v>2026</v>
      </c>
      <c r="L218" s="100" t="str">
        <v>March</v>
      </c>
      <c r="M218" s="87"/>
      <c r="N218" s="87"/>
      <c r="O218" s="87"/>
      <c r="P218" s="87"/>
      <c r="Q218" s="87"/>
      <c r="R218" s="87"/>
      <c r="S218" s="87"/>
      <c r="T218" s="87"/>
    </row>
    <row r="219" spans="1:20" ht="16.5" x14ac:dyDescent="0.3">
      <c r="A219" s="98" t="str">
        <v>Kristy Davila</v>
      </c>
      <c r="B219" s="99">
        <v>46080</v>
      </c>
      <c r="C219" s="98" t="str">
        <v>Fabrication</v>
      </c>
      <c r="D219" s="100" t="str">
        <v>420</v>
      </c>
      <c r="E219" s="98" t="str">
        <v>Elizabeth Neufeld</v>
      </c>
      <c r="F219" s="98" t="str">
        <v>Flat Trimmer</v>
      </c>
      <c r="G219" s="98" t="str">
        <v>Strain</v>
      </c>
      <c r="H219" s="115" t="str">
        <v xml:space="preserve">RT - Shoulder </v>
      </c>
      <c r="I219" s="100" t="str">
        <v>FA</v>
      </c>
      <c r="J219" s="100" t="str">
        <v>No</v>
      </c>
      <c r="K219" s="101">
        <v>2026</v>
      </c>
      <c r="L219" s="100" t="str">
        <v>February</v>
      </c>
      <c r="M219" s="87"/>
      <c r="N219" s="87"/>
      <c r="O219" s="87"/>
      <c r="P219" s="87"/>
      <c r="Q219" s="87"/>
      <c r="R219" s="87"/>
      <c r="S219" s="87"/>
      <c r="T219" s="87"/>
    </row>
    <row r="220" spans="1:20" ht="16.5" x14ac:dyDescent="0.3">
      <c r="A220" s="98" t="str">
        <v>Devron Gassaway</v>
      </c>
      <c r="B220" s="99">
        <v>46080</v>
      </c>
      <c r="C220" s="98" t="str">
        <v>Fabrication</v>
      </c>
      <c r="D220" s="100" t="str">
        <v>429</v>
      </c>
      <c r="E220" s="98" t="str">
        <v>Chadu Moua</v>
      </c>
      <c r="F220" s="98" t="str">
        <v>Scale Operator</v>
      </c>
      <c r="G220" s="98" t="str">
        <v>Slip, Trip, &amp; Fall</v>
      </c>
      <c r="H220" s="115" t="str">
        <v>LT - Knee</v>
      </c>
      <c r="I220" s="100" t="str">
        <v>FA</v>
      </c>
      <c r="J220" s="100" t="str">
        <v>No</v>
      </c>
      <c r="K220" s="101">
        <v>2026</v>
      </c>
      <c r="L220" s="100" t="str">
        <v>February</v>
      </c>
      <c r="M220" s="87"/>
      <c r="N220" s="87"/>
      <c r="O220" s="87"/>
      <c r="P220" s="87"/>
      <c r="Q220" s="87"/>
      <c r="R220" s="87"/>
      <c r="S220" s="87"/>
      <c r="T220" s="87"/>
    </row>
    <row r="221" spans="1:20" ht="16.5" x14ac:dyDescent="0.3">
      <c r="A221" s="98" t="str">
        <v>Jesus Bustos</v>
      </c>
      <c r="B221" s="99">
        <v>46080</v>
      </c>
      <c r="C221" s="98" t="str">
        <v>Fabrication</v>
      </c>
      <c r="D221" s="100" t="str">
        <v>410</v>
      </c>
      <c r="E221" s="98" t="str">
        <v>Juan Ramirez</v>
      </c>
      <c r="F221" s="98" t="str">
        <v>Tender Puller</v>
      </c>
      <c r="G221" s="98" t="str">
        <v>Strain</v>
      </c>
      <c r="H221" s="115" t="str">
        <v>LT - Hand</v>
      </c>
      <c r="I221" s="100" t="str">
        <v>FA</v>
      </c>
      <c r="J221" s="100" t="str">
        <v>No</v>
      </c>
      <c r="K221" s="101">
        <v>2026</v>
      </c>
      <c r="L221" s="100" t="str">
        <v>February</v>
      </c>
      <c r="M221" s="87"/>
      <c r="N221" s="87"/>
      <c r="O221" s="87"/>
      <c r="P221" s="87"/>
      <c r="Q221" s="87"/>
      <c r="R221" s="87"/>
      <c r="S221" s="87"/>
      <c r="T221" s="87"/>
    </row>
    <row r="222" spans="1:20" ht="16.5" x14ac:dyDescent="0.3">
      <c r="A222" s="98" t="str">
        <v>Valeria Vasquez</v>
      </c>
      <c r="B222" s="99">
        <v>46079</v>
      </c>
      <c r="C222" s="98" t="str">
        <v>Harvest</v>
      </c>
      <c r="D222" s="100" t="str">
        <v>102</v>
      </c>
      <c r="E222" s="98" t="str">
        <v>Rutilio Rodriguez</v>
      </c>
      <c r="F222" s="98" t="str">
        <v>Tendon Collector</v>
      </c>
      <c r="G222" s="98" t="str">
        <v>Strain</v>
      </c>
      <c r="H222" s="115" t="str">
        <v xml:space="preserve">LT - Shoulder </v>
      </c>
      <c r="I222" s="100" t="str">
        <v>FA</v>
      </c>
      <c r="J222" s="100" t="str">
        <v>No</v>
      </c>
      <c r="K222" s="101">
        <v>2026</v>
      </c>
      <c r="L222" s="100" t="str">
        <v>February</v>
      </c>
      <c r="M222" s="87"/>
      <c r="N222" s="87"/>
      <c r="O222" s="87"/>
      <c r="P222" s="87"/>
      <c r="Q222" s="87"/>
      <c r="R222" s="87"/>
      <c r="S222" s="87"/>
      <c r="T222" s="87"/>
    </row>
    <row r="223" spans="1:20" ht="16.5" x14ac:dyDescent="0.3">
      <c r="A223" s="98" t="str">
        <v>Quiroz Sanchez</v>
      </c>
      <c r="B223" s="99">
        <v>46079</v>
      </c>
      <c r="C223" s="98" t="str">
        <v>Harvest</v>
      </c>
      <c r="D223" s="100" t="str">
        <v>106</v>
      </c>
      <c r="E223" s="98" t="str">
        <v>Christian Lopez</v>
      </c>
      <c r="F223" s="98" t="str">
        <v xml:space="preserve">Saw Operator </v>
      </c>
      <c r="G223" s="98" t="str">
        <v>Inhalation / Reaction</v>
      </c>
      <c r="H223" s="115" t="str">
        <v>Chest &amp; Nose</v>
      </c>
      <c r="I223" s="100" t="str">
        <v>RPO</v>
      </c>
      <c r="J223" s="100" t="str">
        <v>No</v>
      </c>
      <c r="K223" s="101">
        <v>2026</v>
      </c>
      <c r="L223" s="100" t="str">
        <v>February</v>
      </c>
      <c r="M223" s="87"/>
      <c r="N223" s="87"/>
      <c r="O223" s="87"/>
      <c r="P223" s="87"/>
      <c r="Q223" s="87"/>
      <c r="R223" s="87"/>
      <c r="S223" s="87"/>
      <c r="T223" s="87"/>
    </row>
    <row r="224" spans="1:20" ht="16.5" x14ac:dyDescent="0.3">
      <c r="A224" s="98" t="str">
        <v>Jose Ramirez</v>
      </c>
      <c r="B224" s="99">
        <v>46078</v>
      </c>
      <c r="C224" s="98" t="str">
        <v>Harvest</v>
      </c>
      <c r="D224" s="100" t="str">
        <v>106</v>
      </c>
      <c r="E224" s="98" t="str">
        <v>Christian Lopez</v>
      </c>
      <c r="F224" s="98" t="str">
        <v>Lugger</v>
      </c>
      <c r="G224" s="98" t="str">
        <v>Abrasion</v>
      </c>
      <c r="H224" s="115" t="str">
        <v>LT - Forearm</v>
      </c>
      <c r="I224" s="100" t="str">
        <v>FA</v>
      </c>
      <c r="J224" s="100" t="str">
        <v>No</v>
      </c>
      <c r="K224" s="101">
        <v>2026</v>
      </c>
      <c r="L224" s="100" t="str">
        <v>February</v>
      </c>
      <c r="M224" s="87"/>
      <c r="N224" s="87"/>
      <c r="O224" s="87"/>
      <c r="P224" s="87"/>
      <c r="Q224" s="87"/>
      <c r="R224" s="87"/>
      <c r="S224" s="87"/>
      <c r="T224" s="87"/>
    </row>
    <row r="225" spans="1:20" ht="16.5" x14ac:dyDescent="0.3">
      <c r="A225" s="98" t="str">
        <v>Marquiz Gassaway</v>
      </c>
      <c r="B225" s="99">
        <v>46078</v>
      </c>
      <c r="C225" s="98" t="str">
        <v>Harvest</v>
      </c>
      <c r="D225" s="100" t="str">
        <v>106</v>
      </c>
      <c r="E225" s="98" t="str">
        <v>Christian Lopez</v>
      </c>
      <c r="F225" s="98" t="str">
        <v>Lactic Acid Sprayer</v>
      </c>
      <c r="G225" s="98" t="str">
        <v>Rash</v>
      </c>
      <c r="H225" s="115" t="str">
        <v>Both Upper Arms &amp; Shoulders</v>
      </c>
      <c r="I225" s="100" t="str">
        <v>FA</v>
      </c>
      <c r="J225" s="100" t="str">
        <v>No</v>
      </c>
      <c r="K225" s="101">
        <v>2026</v>
      </c>
      <c r="L225" s="100" t="str">
        <v>February</v>
      </c>
      <c r="M225" s="87"/>
      <c r="N225" s="87"/>
      <c r="O225" s="87"/>
      <c r="P225" s="87"/>
      <c r="Q225" s="87"/>
      <c r="R225" s="87"/>
      <c r="S225" s="87"/>
      <c r="T225" s="87"/>
    </row>
    <row r="226" spans="1:20" ht="16.5" x14ac:dyDescent="0.3">
      <c r="A226" s="98" t="str">
        <v>Oscar Torres</v>
      </c>
      <c r="B226" s="99">
        <v>46078</v>
      </c>
      <c r="C226" s="98" t="str">
        <v>Fabrication</v>
      </c>
      <c r="D226" s="100" t="str">
        <v>420</v>
      </c>
      <c r="E226" s="98" t="str">
        <v>Elizabeth Neufeld</v>
      </c>
      <c r="F226" s="98" t="str">
        <v>NA</v>
      </c>
      <c r="G226" s="98" t="str">
        <v>Strain</v>
      </c>
      <c r="H226" s="115" t="str">
        <v>NA</v>
      </c>
      <c r="I226" s="100" t="str">
        <v>RPO</v>
      </c>
      <c r="J226" s="100" t="str">
        <v>No</v>
      </c>
      <c r="K226" s="101">
        <v>2026</v>
      </c>
      <c r="L226" s="100" t="str">
        <v>February</v>
      </c>
      <c r="M226" s="87"/>
      <c r="N226" s="87"/>
      <c r="O226" s="87"/>
      <c r="P226" s="87"/>
      <c r="Q226" s="87"/>
      <c r="R226" s="87"/>
      <c r="S226" s="87"/>
      <c r="T226" s="87"/>
    </row>
    <row r="227" spans="1:20" ht="16.5" x14ac:dyDescent="0.3">
      <c r="A227" s="98" t="str">
        <v>Joaquin Diaz</v>
      </c>
      <c r="B227" s="99">
        <v>46077</v>
      </c>
      <c r="C227" s="98" t="str">
        <v>Harvest</v>
      </c>
      <c r="D227" s="100" t="str">
        <v>106</v>
      </c>
      <c r="E227" s="98" t="str">
        <v>Christian Lopez</v>
      </c>
      <c r="F227" s="98" t="str">
        <v>SRM Removal</v>
      </c>
      <c r="G227" s="98" t="str">
        <v>Burn</v>
      </c>
      <c r="H227" s="115" t="str">
        <v>LT - Middle Finger</v>
      </c>
      <c r="I227" s="100" t="str">
        <v>FA</v>
      </c>
      <c r="J227" s="100" t="str">
        <v>No</v>
      </c>
      <c r="K227" s="101">
        <v>2026</v>
      </c>
      <c r="L227" s="100" t="str">
        <v>February</v>
      </c>
      <c r="M227" s="87"/>
      <c r="N227" s="87"/>
      <c r="O227" s="87"/>
      <c r="P227" s="87"/>
      <c r="Q227" s="87"/>
      <c r="R227" s="87"/>
      <c r="S227" s="87"/>
      <c r="T227" s="87"/>
    </row>
    <row r="228" spans="1:20" ht="16.5" x14ac:dyDescent="0.3">
      <c r="A228" s="98" t="str">
        <v>Martel Sanchez</v>
      </c>
      <c r="B228" s="99">
        <v>46076</v>
      </c>
      <c r="C228" s="98" t="str">
        <v>Fabrication</v>
      </c>
      <c r="D228" s="100" t="str">
        <v>405</v>
      </c>
      <c r="E228" s="98" t="str">
        <v>Diego Soria</v>
      </c>
      <c r="F228" s="98" t="str">
        <v>Whizzard Knife Op.</v>
      </c>
      <c r="G228" s="98" t="str">
        <v>Puncture</v>
      </c>
      <c r="H228" s="115" t="str">
        <v xml:space="preserve">RT - Hand </v>
      </c>
      <c r="I228" s="100" t="str">
        <v>FA</v>
      </c>
      <c r="J228" s="100" t="str">
        <v>No</v>
      </c>
      <c r="K228" s="101">
        <v>2026</v>
      </c>
      <c r="L228" s="100" t="str">
        <v>February</v>
      </c>
      <c r="M228" s="87"/>
      <c r="N228" s="87"/>
      <c r="O228" s="87"/>
      <c r="P228" s="87"/>
      <c r="Q228" s="87"/>
      <c r="R228" s="87"/>
      <c r="S228" s="87"/>
      <c r="T228" s="87"/>
    </row>
    <row r="229" spans="1:20" ht="16.5" x14ac:dyDescent="0.3">
      <c r="A229" s="98" t="str">
        <v>Fermin Martinez</v>
      </c>
      <c r="B229" s="99">
        <v>46076</v>
      </c>
      <c r="C229" s="98" t="str">
        <v>Fabrication</v>
      </c>
      <c r="D229" s="100" t="str">
        <v>420</v>
      </c>
      <c r="E229" s="98" t="str">
        <v>Elizabeth Neufeld</v>
      </c>
      <c r="F229" s="98" t="str">
        <v>Sirloin Trimmer</v>
      </c>
      <c r="G229" s="98" t="str">
        <v>Strain</v>
      </c>
      <c r="H229" s="115" t="str">
        <v>LT - Elbow</v>
      </c>
      <c r="I229" s="100" t="str">
        <v>FA</v>
      </c>
      <c r="J229" s="100" t="str">
        <v>No</v>
      </c>
      <c r="K229" s="101">
        <v>2026</v>
      </c>
      <c r="L229" s="100" t="str">
        <v>February</v>
      </c>
      <c r="M229" s="87"/>
      <c r="N229" s="87"/>
      <c r="O229" s="87"/>
      <c r="P229" s="87"/>
      <c r="Q229" s="87"/>
      <c r="R229" s="87"/>
      <c r="S229" s="87"/>
      <c r="T229" s="87"/>
    </row>
    <row r="230" spans="1:20" ht="16.5" x14ac:dyDescent="0.3">
      <c r="A230" s="98" t="str">
        <v>Jesus Avila</v>
      </c>
      <c r="B230" s="99">
        <v>46076</v>
      </c>
      <c r="C230" s="98" t="str">
        <v>Warehouse</v>
      </c>
      <c r="D230" s="100" t="str">
        <v>Warehouse</v>
      </c>
      <c r="E230" s="98" t="str">
        <v>Rosia Rosas</v>
      </c>
      <c r="F230" s="98" t="str">
        <v>Warehouse Supervisor</v>
      </c>
      <c r="G230" s="98" t="str">
        <v>Inhalation / Reaction</v>
      </c>
      <c r="H230" s="115" t="str">
        <v>Eyes - Cranial - Inhalation</v>
      </c>
      <c r="I230" s="100" t="str">
        <v>FA</v>
      </c>
      <c r="J230" s="100" t="str">
        <v>No</v>
      </c>
      <c r="K230" s="101">
        <v>2026</v>
      </c>
      <c r="L230" s="100" t="str">
        <v>February</v>
      </c>
      <c r="M230" s="87"/>
      <c r="N230" s="87"/>
      <c r="O230" s="87"/>
      <c r="P230" s="87"/>
      <c r="Q230" s="87"/>
      <c r="R230" s="87"/>
      <c r="S230" s="87"/>
      <c r="T230" s="87"/>
    </row>
    <row r="231" spans="1:20" ht="16.5" x14ac:dyDescent="0.3">
      <c r="A231" s="98" t="str">
        <v>Imelda Ranger</v>
      </c>
      <c r="B231" s="99">
        <v>46076</v>
      </c>
      <c r="C231" s="98" t="str">
        <v>Warehouse</v>
      </c>
      <c r="D231" s="100" t="str">
        <v>Warehouse</v>
      </c>
      <c r="E231" s="98" t="str">
        <v>Jesus Avila</v>
      </c>
      <c r="F231" s="98" t="str">
        <v>Purchasing Agent</v>
      </c>
      <c r="G231" s="98" t="str">
        <v>Inhalation / Reaction</v>
      </c>
      <c r="H231" s="115" t="str">
        <v>Eyes - Cranial - Inhalation</v>
      </c>
      <c r="I231" s="100" t="str">
        <v>FA</v>
      </c>
      <c r="J231" s="100" t="str">
        <v>No</v>
      </c>
      <c r="K231" s="101">
        <v>2026</v>
      </c>
      <c r="L231" s="100" t="str">
        <v>February</v>
      </c>
      <c r="M231" s="87"/>
      <c r="N231" s="87"/>
      <c r="O231" s="87"/>
      <c r="P231" s="87"/>
      <c r="Q231" s="87"/>
      <c r="R231" s="87"/>
      <c r="S231" s="87"/>
      <c r="T231" s="87"/>
    </row>
    <row r="232" spans="1:20" ht="16.5" x14ac:dyDescent="0.3">
      <c r="A232" s="98" t="str">
        <v>Hilary Coberly</v>
      </c>
      <c r="B232" s="99">
        <v>46076</v>
      </c>
      <c r="C232" s="98" t="str">
        <v>Warehouse</v>
      </c>
      <c r="D232" s="100" t="str">
        <v>Warehouse</v>
      </c>
      <c r="E232" s="98" t="str">
        <v>Jesus Avila</v>
      </c>
      <c r="F232" s="98" t="str">
        <v>Purchasing Agent</v>
      </c>
      <c r="G232" s="98" t="str">
        <v>Inhalation / Reaction</v>
      </c>
      <c r="H232" s="115" t="str">
        <v xml:space="preserve">Eyes - Cranial - Inhalation </v>
      </c>
      <c r="I232" s="100" t="str">
        <v>FA</v>
      </c>
      <c r="J232" s="100" t="str">
        <v>No</v>
      </c>
      <c r="K232" s="101">
        <v>2026</v>
      </c>
      <c r="L232" s="100" t="str">
        <v>February</v>
      </c>
      <c r="M232" s="87"/>
      <c r="N232" s="87"/>
      <c r="O232" s="87"/>
      <c r="P232" s="87"/>
      <c r="Q232" s="87"/>
      <c r="R232" s="87"/>
      <c r="S232" s="87"/>
      <c r="T232" s="87"/>
    </row>
    <row r="233" spans="1:20" ht="16.5" x14ac:dyDescent="0.3">
      <c r="A233" s="98" t="str">
        <v>Adam Valdiva</v>
      </c>
      <c r="B233" s="99">
        <v>46076</v>
      </c>
      <c r="C233" s="98" t="str">
        <v>Warehouse</v>
      </c>
      <c r="D233" s="100" t="str">
        <v>Warehouse</v>
      </c>
      <c r="E233" s="98" t="str">
        <v>Jesus Avila</v>
      </c>
      <c r="F233" s="98" t="str">
        <v>Purchasing Agent</v>
      </c>
      <c r="G233" s="98" t="str">
        <v>Inhalation / Reaction</v>
      </c>
      <c r="H233" s="115" t="str">
        <v>Eyes - Cranial - Inhalation</v>
      </c>
      <c r="I233" s="100" t="str">
        <v>RPO</v>
      </c>
      <c r="J233" s="100" t="str">
        <v>No</v>
      </c>
      <c r="K233" s="101">
        <v>2026</v>
      </c>
      <c r="L233" s="100" t="str">
        <v>February</v>
      </c>
      <c r="M233" s="87"/>
      <c r="N233" s="87"/>
      <c r="O233" s="87"/>
      <c r="P233" s="87"/>
      <c r="Q233" s="87"/>
      <c r="R233" s="87"/>
      <c r="S233" s="87"/>
      <c r="T233" s="87"/>
    </row>
    <row r="234" spans="1:20" ht="16.5" x14ac:dyDescent="0.3">
      <c r="A234" s="98" t="str">
        <v>Moises Bahera</v>
      </c>
      <c r="B234" s="99">
        <v>46076</v>
      </c>
      <c r="C234" s="98" t="str">
        <v>Warehouse</v>
      </c>
      <c r="D234" s="100" t="str">
        <v>Warehouse</v>
      </c>
      <c r="E234" s="98" t="str">
        <v>Jesus Avila</v>
      </c>
      <c r="F234" s="98" t="str">
        <v>Lead Forklift</v>
      </c>
      <c r="G234" s="98" t="str">
        <v>Inhalation / Reaction</v>
      </c>
      <c r="H234" s="115" t="str">
        <v>Eyes - Cranial - Inhalation</v>
      </c>
      <c r="I234" s="100" t="str">
        <v>RPO</v>
      </c>
      <c r="J234" s="100" t="str">
        <v>No</v>
      </c>
      <c r="K234" s="101">
        <v>2026</v>
      </c>
      <c r="L234" s="100" t="str">
        <v>February</v>
      </c>
      <c r="M234" s="87"/>
      <c r="N234" s="87"/>
      <c r="O234" s="87"/>
      <c r="P234" s="87"/>
      <c r="Q234" s="87"/>
      <c r="R234" s="87"/>
      <c r="S234" s="87"/>
      <c r="T234" s="87"/>
    </row>
    <row r="235" spans="1:20" ht="16.5" x14ac:dyDescent="0.3">
      <c r="A235" s="98" t="str">
        <v>Edalia Lopez</v>
      </c>
      <c r="B235" s="99">
        <v>46073</v>
      </c>
      <c r="C235" s="98" t="str">
        <v>Harvest</v>
      </c>
      <c r="D235" s="100" t="str">
        <v>107</v>
      </c>
      <c r="E235" s="98" t="str">
        <v>Samuel Sierra</v>
      </c>
      <c r="F235" s="98" t="str">
        <v>Whizzard Op Head Table</v>
      </c>
      <c r="G235" s="98" t="str">
        <v>Abrasion</v>
      </c>
      <c r="H235" s="115" t="str">
        <v>RT - Index Finger</v>
      </c>
      <c r="I235" s="100" t="str">
        <v>FA</v>
      </c>
      <c r="J235" s="100" t="str">
        <v>No</v>
      </c>
      <c r="K235" s="101">
        <v>2026</v>
      </c>
      <c r="L235" s="100" t="str">
        <v>February</v>
      </c>
      <c r="M235" s="87"/>
      <c r="N235" s="87"/>
      <c r="O235" s="87"/>
      <c r="P235" s="87"/>
      <c r="Q235" s="87"/>
      <c r="R235" s="87"/>
      <c r="S235" s="87"/>
      <c r="T235" s="87"/>
    </row>
    <row r="236" spans="1:20" ht="16.5" x14ac:dyDescent="0.3">
      <c r="A236" s="98" t="str">
        <v>Magalie Cadet</v>
      </c>
      <c r="B236" s="99">
        <v>46072</v>
      </c>
      <c r="C236" s="98" t="str">
        <v>Harvest</v>
      </c>
      <c r="D236" s="100" t="str">
        <v>102</v>
      </c>
      <c r="E236" s="98" t="str">
        <v>Rutilio Rodriguez</v>
      </c>
      <c r="F236" s="98" t="str">
        <v>Head Flush</v>
      </c>
      <c r="G236" s="98" t="str">
        <v>Strain</v>
      </c>
      <c r="H236" s="115" t="str">
        <v>RT - Thumb - Forearm</v>
      </c>
      <c r="I236" s="100" t="str">
        <v>FA</v>
      </c>
      <c r="J236" s="100" t="str">
        <v>No</v>
      </c>
      <c r="K236" s="101">
        <v>2026</v>
      </c>
      <c r="L236" s="100" t="str">
        <v>February</v>
      </c>
      <c r="M236" s="87"/>
      <c r="N236" s="87"/>
      <c r="O236" s="87"/>
      <c r="P236" s="87"/>
      <c r="Q236" s="87"/>
      <c r="R236" s="87"/>
      <c r="S236" s="87"/>
      <c r="T236" s="87"/>
    </row>
    <row r="237" spans="1:20" ht="16.5" x14ac:dyDescent="0.3">
      <c r="A237" s="98" t="str">
        <v>Honorina Lopez</v>
      </c>
      <c r="B237" s="99">
        <v>46072</v>
      </c>
      <c r="C237" s="98" t="str">
        <v>Harvest</v>
      </c>
      <c r="D237" s="100" t="str">
        <v>109</v>
      </c>
      <c r="E237" s="98" t="str">
        <v>Samuel Sierra</v>
      </c>
      <c r="F237" s="98" t="str">
        <v>Tail Pack Off</v>
      </c>
      <c r="G237" s="98" t="str">
        <v>Struck By-Against Object</v>
      </c>
      <c r="H237" s="115" t="str">
        <v>LT - Hand</v>
      </c>
      <c r="I237" s="100" t="str">
        <v>FA</v>
      </c>
      <c r="J237" s="100" t="str">
        <v>No</v>
      </c>
      <c r="K237" s="101">
        <v>2026</v>
      </c>
      <c r="L237" s="100" t="str">
        <v>February</v>
      </c>
      <c r="M237" s="87"/>
      <c r="N237" s="87"/>
      <c r="O237" s="87"/>
      <c r="P237" s="87"/>
      <c r="Q237" s="87"/>
      <c r="R237" s="87"/>
      <c r="S237" s="87"/>
      <c r="T237" s="87"/>
    </row>
    <row r="238" spans="1:20" ht="16.5" x14ac:dyDescent="0.3">
      <c r="A238" s="98" t="str">
        <v>Adrian Chaidez</v>
      </c>
      <c r="B238" s="99">
        <v>46071</v>
      </c>
      <c r="C238" s="98" t="str">
        <v>Fabrication</v>
      </c>
      <c r="D238" s="100" t="str">
        <v>410</v>
      </c>
      <c r="E238" s="98" t="str">
        <v>Juan Ramirez</v>
      </c>
      <c r="F238" s="98" t="str">
        <v>Round Dropper</v>
      </c>
      <c r="G238" s="98" t="str">
        <v>Strain</v>
      </c>
      <c r="H238" s="115" t="str">
        <v>RT - Wrist</v>
      </c>
      <c r="I238" s="100" t="str">
        <v>FA</v>
      </c>
      <c r="J238" s="100" t="str">
        <v>No</v>
      </c>
      <c r="K238" s="101">
        <v>2026</v>
      </c>
      <c r="L238" s="100" t="str">
        <v>February</v>
      </c>
      <c r="M238" s="87"/>
      <c r="N238" s="87"/>
      <c r="O238" s="87"/>
      <c r="P238" s="87"/>
      <c r="Q238" s="87"/>
      <c r="R238" s="87"/>
      <c r="S238" s="87"/>
      <c r="T238" s="87"/>
    </row>
    <row r="239" spans="1:20" ht="16.5" x14ac:dyDescent="0.3">
      <c r="A239" s="98" t="str">
        <v>Cesar Castellanos</v>
      </c>
      <c r="B239" s="99">
        <v>46071</v>
      </c>
      <c r="C239" s="98" t="str">
        <v>Corrals</v>
      </c>
      <c r="D239" s="100" t="str">
        <v>100</v>
      </c>
      <c r="E239" s="98" t="str">
        <v>Marilyn Herrera</v>
      </c>
      <c r="F239" s="98" t="str">
        <v>Cattle Pusher</v>
      </c>
      <c r="G239" s="98" t="str">
        <v>Struck By Cattle</v>
      </c>
      <c r="H239" s="115" t="str">
        <v xml:space="preserve">RT - Ankle </v>
      </c>
      <c r="I239" s="100" t="str">
        <v>FA</v>
      </c>
      <c r="J239" s="100" t="str">
        <v>No</v>
      </c>
      <c r="K239" s="101">
        <v>2026</v>
      </c>
      <c r="L239" s="100" t="str">
        <v>February</v>
      </c>
      <c r="M239" s="87"/>
      <c r="N239" s="87"/>
      <c r="O239" s="87"/>
      <c r="P239" s="87"/>
      <c r="Q239" s="87"/>
      <c r="R239" s="87"/>
      <c r="S239" s="87"/>
      <c r="T239" s="87"/>
    </row>
    <row r="240" spans="1:20" ht="16.5" x14ac:dyDescent="0.3">
      <c r="A240" s="98" t="str">
        <v>Aaron Slorio</v>
      </c>
      <c r="B240" s="99">
        <v>46071</v>
      </c>
      <c r="C240" s="98" t="str">
        <v>Harvest</v>
      </c>
      <c r="D240" s="100" t="str">
        <v>105</v>
      </c>
      <c r="E240" s="98" t="str">
        <v>Michael Orozco</v>
      </c>
      <c r="F240" s="98" t="str">
        <v>Pre Gutter</v>
      </c>
      <c r="G240" s="98" t="str">
        <v>Rash</v>
      </c>
      <c r="H240" s="115" t="str">
        <v>LT - Forearm</v>
      </c>
      <c r="I240" s="100" t="str">
        <v>FA</v>
      </c>
      <c r="J240" s="100" t="str">
        <v>No</v>
      </c>
      <c r="K240" s="101">
        <v>2026</v>
      </c>
      <c r="L240" s="100" t="str">
        <v>February</v>
      </c>
      <c r="M240" s="87"/>
      <c r="N240" s="87"/>
      <c r="O240" s="87"/>
      <c r="P240" s="87"/>
      <c r="Q240" s="87"/>
      <c r="R240" s="87"/>
      <c r="S240" s="87"/>
      <c r="T240" s="87"/>
    </row>
    <row r="241" spans="1:20" ht="16.5" x14ac:dyDescent="0.3">
      <c r="A241" s="98" t="str">
        <v>Joseph Gomez</v>
      </c>
      <c r="B241" s="99">
        <v>46071</v>
      </c>
      <c r="C241" s="98" t="str">
        <v>Harvest</v>
      </c>
      <c r="D241" s="100" t="str">
        <v>101</v>
      </c>
      <c r="E241" s="98" t="str">
        <v>Richard Xiong</v>
      </c>
      <c r="F241" s="98" t="str">
        <v>Shackler</v>
      </c>
      <c r="G241" s="98" t="str">
        <v>Struck By Cattle</v>
      </c>
      <c r="H241" s="115" t="str">
        <v>RT - Hand</v>
      </c>
      <c r="I241" s="100" t="str">
        <v>FA</v>
      </c>
      <c r="J241" s="100" t="str">
        <v>No</v>
      </c>
      <c r="K241" s="101">
        <v>2026</v>
      </c>
      <c r="L241" s="100" t="str">
        <v>February</v>
      </c>
      <c r="M241" s="87"/>
      <c r="N241" s="87"/>
      <c r="O241" s="87"/>
      <c r="P241" s="87"/>
      <c r="Q241" s="87"/>
      <c r="R241" s="87"/>
      <c r="S241" s="87"/>
      <c r="T241" s="87"/>
    </row>
    <row r="242" spans="1:20" ht="16.5" x14ac:dyDescent="0.3">
      <c r="A242" s="98" t="str">
        <v>Jose Lopez</v>
      </c>
      <c r="B242" s="99">
        <v>46070</v>
      </c>
      <c r="C242" s="98" t="str">
        <v>Corrals</v>
      </c>
      <c r="D242" s="100" t="str">
        <v>100</v>
      </c>
      <c r="E242" s="98" t="str">
        <v>Marilyn Herrera</v>
      </c>
      <c r="F242" s="98" t="str">
        <v>100 - Roamer</v>
      </c>
      <c r="G242" s="98" t="str">
        <v>Struck By Cattle</v>
      </c>
      <c r="H242" s="115" t="str">
        <v>LT - Thumb</v>
      </c>
      <c r="I242" s="100" t="str">
        <v>FA</v>
      </c>
      <c r="J242" s="100" t="str">
        <v>No</v>
      </c>
      <c r="K242" s="101">
        <v>2026</v>
      </c>
      <c r="L242" s="100" t="str">
        <v>February</v>
      </c>
      <c r="M242" s="87"/>
      <c r="N242" s="87"/>
      <c r="O242" s="87"/>
      <c r="P242" s="87"/>
      <c r="Q242" s="87"/>
      <c r="R242" s="87"/>
      <c r="S242" s="87"/>
      <c r="T242" s="87"/>
    </row>
    <row r="243" spans="1:20" ht="16.5" x14ac:dyDescent="0.3">
      <c r="A243" s="98" t="str">
        <v>Raul Trejo</v>
      </c>
      <c r="B243" s="99">
        <v>46070</v>
      </c>
      <c r="C243" s="98" t="str">
        <v>Fabrication</v>
      </c>
      <c r="D243" s="100" t="str">
        <v>Coolers</v>
      </c>
      <c r="E243" s="98" t="str">
        <v>Erwin Vega</v>
      </c>
      <c r="F243" s="98" t="str">
        <v>Cooler Cordinator</v>
      </c>
      <c r="G243" s="98" t="str">
        <v>Rash</v>
      </c>
      <c r="H243" s="115" t="str">
        <v>LT - Thumb</v>
      </c>
      <c r="I243" s="100" t="str">
        <v>FA</v>
      </c>
      <c r="J243" s="100" t="str">
        <v>No</v>
      </c>
      <c r="K243" s="101">
        <v>2026</v>
      </c>
      <c r="L243" s="100" t="str">
        <v>February</v>
      </c>
      <c r="M243" s="87"/>
      <c r="N243" s="87"/>
      <c r="O243" s="87"/>
      <c r="P243" s="87"/>
      <c r="Q243" s="87"/>
      <c r="R243" s="87"/>
      <c r="S243" s="87"/>
      <c r="T243" s="87"/>
    </row>
    <row r="244" spans="1:20" ht="16.5" x14ac:dyDescent="0.3">
      <c r="A244" s="98" t="str">
        <v>Daniel Ortega</v>
      </c>
      <c r="B244" s="99">
        <v>46069</v>
      </c>
      <c r="C244" s="98" t="str">
        <v>Harvest</v>
      </c>
      <c r="D244" s="100" t="str">
        <v>102</v>
      </c>
      <c r="E244" s="98" t="str">
        <v>Rutilio Rodriguez</v>
      </c>
      <c r="F244" s="98" t="str">
        <v>Lowbacker</v>
      </c>
      <c r="G244" s="98" t="str">
        <v>Struck by Equipment</v>
      </c>
      <c r="H244" s="115" t="str">
        <v>NA</v>
      </c>
      <c r="I244" s="100" t="str">
        <v>RPO</v>
      </c>
      <c r="J244" s="100" t="str">
        <v>No</v>
      </c>
      <c r="K244" s="101">
        <v>2026</v>
      </c>
      <c r="L244" s="100" t="str">
        <v>February</v>
      </c>
      <c r="M244" s="87"/>
      <c r="N244" s="87"/>
      <c r="O244" s="87"/>
      <c r="P244" s="87"/>
      <c r="Q244" s="87"/>
      <c r="R244" s="87"/>
      <c r="S244" s="87"/>
      <c r="T244" s="87"/>
    </row>
    <row r="245" spans="1:20" ht="16.5" x14ac:dyDescent="0.3">
      <c r="A245" s="98" t="str">
        <v>China Bonner</v>
      </c>
      <c r="B245" s="99">
        <v>46066</v>
      </c>
      <c r="C245" s="98" t="str">
        <v>Fabrication</v>
      </c>
      <c r="D245" s="100" t="str">
        <v>420</v>
      </c>
      <c r="E245" s="98" t="str">
        <v>Elizabeth Neufeld</v>
      </c>
      <c r="F245" s="98" t="str">
        <v xml:space="preserve">Whizzard Knife Op. </v>
      </c>
      <c r="G245" s="98" t="str">
        <v>Strain</v>
      </c>
      <c r="H245" s="115" t="str">
        <v>RT - Wrist &amp; Forearm</v>
      </c>
      <c r="I245" s="100" t="str">
        <v>FA</v>
      </c>
      <c r="J245" s="100" t="str">
        <v>No</v>
      </c>
      <c r="K245" s="101">
        <v>2026</v>
      </c>
      <c r="L245" s="100" t="str">
        <v>February</v>
      </c>
      <c r="M245" s="87"/>
      <c r="N245" s="87"/>
      <c r="O245" s="87"/>
      <c r="P245" s="87"/>
      <c r="Q245" s="87"/>
      <c r="R245" s="87"/>
      <c r="S245" s="87"/>
      <c r="T245" s="87"/>
    </row>
    <row r="246" spans="1:20" ht="16.5" x14ac:dyDescent="0.3">
      <c r="A246" s="98" t="str">
        <v xml:space="preserve">Po Thao </v>
      </c>
      <c r="B246" s="99">
        <v>46066</v>
      </c>
      <c r="C246" s="98" t="str">
        <v>Harvest</v>
      </c>
      <c r="D246" s="100" t="str">
        <v>109</v>
      </c>
      <c r="E246" s="98" t="str">
        <v>Samuel Sierra</v>
      </c>
      <c r="F246" s="98" t="str">
        <v xml:space="preserve">Pack Off  </v>
      </c>
      <c r="G246" s="98" t="str">
        <v>Laceration</v>
      </c>
      <c r="H246" s="115" t="str">
        <v>LT - Middle Finger</v>
      </c>
      <c r="I246" s="100" t="str">
        <v>FA</v>
      </c>
      <c r="J246" s="100" t="str">
        <v>No</v>
      </c>
      <c r="K246" s="101">
        <v>2026</v>
      </c>
      <c r="L246" s="100" t="str">
        <v>February</v>
      </c>
      <c r="M246" s="87"/>
      <c r="N246" s="87"/>
      <c r="O246" s="87"/>
      <c r="P246" s="87"/>
      <c r="Q246" s="87"/>
      <c r="R246" s="87"/>
      <c r="S246" s="87"/>
      <c r="T246" s="87"/>
    </row>
    <row r="247" spans="1:20" ht="16.5" x14ac:dyDescent="0.3">
      <c r="A247" s="98" t="str">
        <v>Esmeralda Avalos Vazquez</v>
      </c>
      <c r="B247" s="99">
        <v>46066</v>
      </c>
      <c r="C247" s="98" t="str">
        <v>Harvest</v>
      </c>
      <c r="D247" s="100" t="str">
        <v>106</v>
      </c>
      <c r="E247" s="98" t="str">
        <v>Christian Lopez</v>
      </c>
      <c r="F247" s="98" t="str">
        <v>Spinal Cord Remover</v>
      </c>
      <c r="G247" s="98" t="str">
        <v>Strain</v>
      </c>
      <c r="H247" s="115" t="str">
        <v>RT - Wrist</v>
      </c>
      <c r="I247" s="100" t="str">
        <v>FA</v>
      </c>
      <c r="J247" s="100" t="str">
        <v>No</v>
      </c>
      <c r="K247" s="101">
        <v>2026</v>
      </c>
      <c r="L247" s="100" t="str">
        <v>February</v>
      </c>
      <c r="M247" s="87"/>
      <c r="N247" s="87"/>
      <c r="O247" s="87"/>
      <c r="P247" s="87"/>
      <c r="Q247" s="87"/>
      <c r="R247" s="87"/>
      <c r="S247" s="87"/>
      <c r="T247" s="87"/>
    </row>
    <row r="248" spans="1:20" ht="16.5" x14ac:dyDescent="0.3">
      <c r="A248" s="98" t="str">
        <v>Daniel Vega</v>
      </c>
      <c r="B248" s="99">
        <v>46065</v>
      </c>
      <c r="C248" s="98" t="str">
        <v>Fabrication</v>
      </c>
      <c r="D248" s="100" t="str">
        <v>445</v>
      </c>
      <c r="E248" s="98" t="str">
        <v>Maria Garcia</v>
      </c>
      <c r="F248" s="98" t="str">
        <v>Pack Off Lead</v>
      </c>
      <c r="G248" s="98" t="str">
        <v xml:space="preserve">Foreign Object </v>
      </c>
      <c r="H248" s="115" t="str">
        <v>RT - Eye</v>
      </c>
      <c r="I248" s="100" t="str">
        <v>FA</v>
      </c>
      <c r="J248" s="100" t="str">
        <v>No</v>
      </c>
      <c r="K248" s="101">
        <v>2026</v>
      </c>
      <c r="L248" s="100" t="str">
        <v>February</v>
      </c>
      <c r="M248" s="87"/>
      <c r="N248" s="87"/>
      <c r="O248" s="87"/>
      <c r="P248" s="87"/>
      <c r="Q248" s="87"/>
      <c r="R248" s="87"/>
      <c r="S248" s="87"/>
      <c r="T248" s="87"/>
    </row>
    <row r="249" spans="1:20" ht="16.5" x14ac:dyDescent="0.3">
      <c r="A249" s="98" t="str">
        <v>Chrisofer Diaz</v>
      </c>
      <c r="B249" s="99">
        <v>46065</v>
      </c>
      <c r="C249" s="98" t="str">
        <v>Loading Dock</v>
      </c>
      <c r="D249" s="100" t="str">
        <v>Loading Dock</v>
      </c>
      <c r="E249" s="98" t="str">
        <v>Francisco Tapia</v>
      </c>
      <c r="F249" s="98" t="str">
        <v>Palletizer</v>
      </c>
      <c r="G249" s="98" t="str">
        <v>Strain</v>
      </c>
      <c r="H249" s="115" t="str">
        <v xml:space="preserve">RT - Upper Arm </v>
      </c>
      <c r="I249" s="100" t="str">
        <v>FA</v>
      </c>
      <c r="J249" s="100" t="str">
        <v>No</v>
      </c>
      <c r="K249" s="101">
        <v>2026</v>
      </c>
      <c r="L249" s="100" t="str">
        <v>February</v>
      </c>
      <c r="M249" s="87"/>
      <c r="N249" s="87"/>
      <c r="O249" s="87"/>
      <c r="P249" s="87"/>
      <c r="Q249" s="87"/>
      <c r="R249" s="87"/>
      <c r="S249" s="87"/>
      <c r="T249" s="87"/>
    </row>
    <row r="250" spans="1:20" ht="16.5" x14ac:dyDescent="0.3">
      <c r="A250" s="98" t="str">
        <v>Servando Valencia</v>
      </c>
      <c r="B250" s="99">
        <v>46063</v>
      </c>
      <c r="C250" s="98" t="str">
        <v>Maintenance</v>
      </c>
      <c r="D250" s="100" t="str">
        <v>Maintenance</v>
      </c>
      <c r="E250" s="98" t="str">
        <v>Rayomond Corrales</v>
      </c>
      <c r="F250" s="98" t="str">
        <v xml:space="preserve">Maintenance </v>
      </c>
      <c r="G250" s="98" t="str">
        <v>Laceration</v>
      </c>
      <c r="H250" s="115" t="str">
        <v>RT - Thumb</v>
      </c>
      <c r="I250" s="100" t="str">
        <v>FA</v>
      </c>
      <c r="J250" s="100" t="str">
        <v>No</v>
      </c>
      <c r="K250" s="101">
        <v>2026</v>
      </c>
      <c r="L250" s="100" t="str">
        <v>February</v>
      </c>
      <c r="M250" s="87"/>
      <c r="N250" s="87"/>
      <c r="O250" s="87"/>
      <c r="P250" s="87"/>
      <c r="Q250" s="87"/>
      <c r="R250" s="87"/>
      <c r="S250" s="87"/>
      <c r="T250" s="87"/>
    </row>
    <row r="251" spans="1:20" ht="16.5" x14ac:dyDescent="0.3">
      <c r="A251" s="98" t="str">
        <v>Joseph Munt</v>
      </c>
      <c r="B251" s="99">
        <v>46063</v>
      </c>
      <c r="C251" s="98" t="str">
        <v>Fabrication</v>
      </c>
      <c r="D251" s="100" t="str">
        <v>Coolers</v>
      </c>
      <c r="E251" s="98" t="str">
        <v>Erwin Vega</v>
      </c>
      <c r="F251" s="98" t="str">
        <v>Carcass Pusher</v>
      </c>
      <c r="G251" s="98" t="str">
        <v>Puncture</v>
      </c>
      <c r="H251" s="115" t="str">
        <v>LT - Wrist</v>
      </c>
      <c r="I251" s="100" t="str">
        <v>FA</v>
      </c>
      <c r="J251" s="100" t="str">
        <v>No</v>
      </c>
      <c r="K251" s="101">
        <v>2026</v>
      </c>
      <c r="L251" s="100" t="str">
        <v>February</v>
      </c>
      <c r="M251" s="87"/>
      <c r="N251" s="87"/>
      <c r="O251" s="87"/>
      <c r="P251" s="87"/>
      <c r="Q251" s="87"/>
      <c r="R251" s="87"/>
      <c r="S251" s="87"/>
      <c r="T251" s="87"/>
    </row>
    <row r="252" spans="1:20" ht="16.5" x14ac:dyDescent="0.3">
      <c r="A252" s="98" t="str">
        <v>Arsenio Leyva</v>
      </c>
      <c r="B252" s="99">
        <v>46063</v>
      </c>
      <c r="C252" s="98" t="str">
        <v>Harvest</v>
      </c>
      <c r="D252" s="100" t="str">
        <v>101</v>
      </c>
      <c r="E252" s="98" t="str">
        <v>Rutilio Rodriguez</v>
      </c>
      <c r="F252" s="98" t="str">
        <v>Pre - Udder</v>
      </c>
      <c r="G252" s="98" t="str">
        <v>Strain</v>
      </c>
      <c r="H252" s="115" t="str">
        <v>RT - Forearm</v>
      </c>
      <c r="I252" s="100" t="str">
        <v>FA</v>
      </c>
      <c r="J252" s="100" t="str">
        <v>No</v>
      </c>
      <c r="K252" s="101">
        <v>2026</v>
      </c>
      <c r="L252" s="100" t="str">
        <v>February</v>
      </c>
      <c r="M252" s="87"/>
      <c r="N252" s="87"/>
      <c r="O252" s="87"/>
      <c r="P252" s="87"/>
      <c r="Q252" s="87"/>
      <c r="R252" s="87"/>
      <c r="S252" s="87"/>
      <c r="T252" s="87"/>
    </row>
    <row r="253" spans="1:20" ht="16.5" x14ac:dyDescent="0.3">
      <c r="A253" s="98" t="str">
        <v>Deshovana Wells</v>
      </c>
      <c r="B253" s="99">
        <v>46059</v>
      </c>
      <c r="C253" s="98" t="str">
        <v>Harvest</v>
      </c>
      <c r="D253" s="100" t="str">
        <v>104</v>
      </c>
      <c r="E253" s="98" t="str">
        <v>Michael Orozco</v>
      </c>
      <c r="F253" s="98" t="str">
        <v>Head Chain Trimmer</v>
      </c>
      <c r="G253" s="98" t="str">
        <v>Strain</v>
      </c>
      <c r="H253" s="115" t="str">
        <v>LT - Middle Finger</v>
      </c>
      <c r="I253" s="100" t="str">
        <v>FA</v>
      </c>
      <c r="J253" s="100" t="str">
        <v>No</v>
      </c>
      <c r="K253" s="101">
        <v>2026</v>
      </c>
      <c r="L253" s="100" t="str">
        <v>February</v>
      </c>
      <c r="M253" s="87"/>
      <c r="N253" s="87"/>
      <c r="O253" s="87"/>
      <c r="P253" s="87"/>
      <c r="Q253" s="87"/>
      <c r="R253" s="87"/>
      <c r="S253" s="87"/>
      <c r="T253" s="87"/>
    </row>
    <row r="254" spans="1:20" ht="16.5" x14ac:dyDescent="0.3">
      <c r="A254" s="98" t="str">
        <v>Gabriel Garcia</v>
      </c>
      <c r="B254" s="99">
        <v>46059</v>
      </c>
      <c r="C254" s="98" t="str">
        <v>Fabrication</v>
      </c>
      <c r="D254" s="100" t="str">
        <v>429</v>
      </c>
      <c r="E254" s="98" t="str">
        <v>Chadu Moua</v>
      </c>
      <c r="F254" s="98" t="str">
        <v>Trim Sorter</v>
      </c>
      <c r="G254" s="98" t="str">
        <v xml:space="preserve">Contusion </v>
      </c>
      <c r="H254" s="115" t="str">
        <v xml:space="preserve">LT - Cheek </v>
      </c>
      <c r="I254" s="100" t="str">
        <v>FA</v>
      </c>
      <c r="J254" s="100" t="str">
        <v>No</v>
      </c>
      <c r="K254" s="101">
        <v>2026</v>
      </c>
      <c r="L254" s="100" t="str">
        <v>February</v>
      </c>
      <c r="M254" s="87"/>
      <c r="N254" s="87"/>
      <c r="O254" s="87"/>
      <c r="P254" s="87"/>
      <c r="Q254" s="87"/>
      <c r="R254" s="87"/>
      <c r="S254" s="87"/>
      <c r="T254" s="87"/>
    </row>
    <row r="255" spans="1:20" ht="16.5" x14ac:dyDescent="0.3">
      <c r="A255" s="98" t="str">
        <v>Sonia Orozco</v>
      </c>
      <c r="B255" s="99">
        <v>46059</v>
      </c>
      <c r="C255" s="98" t="str">
        <v>Fabrication</v>
      </c>
      <c r="D255" s="100" t="str">
        <v>429</v>
      </c>
      <c r="E255" s="98" t="str">
        <v>Chadu Moua</v>
      </c>
      <c r="F255" s="98" t="str">
        <v>Blade Meat</v>
      </c>
      <c r="G255" s="98" t="str">
        <v>Sprain</v>
      </c>
      <c r="H255" s="115" t="str">
        <v>LT - Wrist</v>
      </c>
      <c r="I255" s="100" t="str">
        <v>FA</v>
      </c>
      <c r="J255" s="100" t="str">
        <v>No</v>
      </c>
      <c r="K255" s="101">
        <v>2026</v>
      </c>
      <c r="L255" s="100" t="str">
        <v>February</v>
      </c>
      <c r="M255" s="87"/>
      <c r="N255" s="87"/>
      <c r="O255" s="87"/>
      <c r="P255" s="87"/>
      <c r="Q255" s="87"/>
      <c r="R255" s="87"/>
      <c r="S255" s="87"/>
      <c r="T255" s="87"/>
    </row>
    <row r="256" spans="1:20" ht="16.5" x14ac:dyDescent="0.3">
      <c r="A256" s="98" t="str">
        <v>Edgar Hernandez</v>
      </c>
      <c r="B256" s="99">
        <v>46059</v>
      </c>
      <c r="C256" s="98" t="str">
        <v>Harvest</v>
      </c>
      <c r="D256" s="100" t="str">
        <v>102</v>
      </c>
      <c r="E256" s="98" t="str">
        <v>Rutilio Rodriguez</v>
      </c>
      <c r="F256" s="98" t="str">
        <v>Tail Knotch</v>
      </c>
      <c r="G256" s="98" t="str">
        <v>Strain</v>
      </c>
      <c r="H256" s="115" t="str">
        <v>LT - Hand</v>
      </c>
      <c r="I256" s="100" t="str">
        <v>FA</v>
      </c>
      <c r="J256" s="100" t="str">
        <v>No</v>
      </c>
      <c r="K256" s="101">
        <v>2026</v>
      </c>
      <c r="L256" s="100" t="str">
        <v>February</v>
      </c>
      <c r="M256" s="87"/>
      <c r="N256" s="87"/>
      <c r="O256" s="87"/>
      <c r="P256" s="87"/>
      <c r="Q256" s="87"/>
      <c r="R256" s="87"/>
      <c r="S256" s="87"/>
      <c r="T256" s="87"/>
    </row>
    <row r="257" spans="1:20" ht="16.5" x14ac:dyDescent="0.3">
      <c r="A257" s="98" t="str">
        <v>David Rodriguez</v>
      </c>
      <c r="B257" s="99">
        <v>46058</v>
      </c>
      <c r="C257" s="98" t="str">
        <v>Harvest</v>
      </c>
      <c r="D257" s="100" t="str">
        <v>101</v>
      </c>
      <c r="E257" s="98" t="str">
        <v>Richard Xiong</v>
      </c>
      <c r="F257" s="98" t="str">
        <v>Hock Trimmer</v>
      </c>
      <c r="G257" s="98" t="str">
        <v>Strain</v>
      </c>
      <c r="H257" s="115" t="str">
        <v xml:space="preserve">RT - Shoulder </v>
      </c>
      <c r="I257" s="100" t="str">
        <v>FA</v>
      </c>
      <c r="J257" s="100" t="str">
        <v>No</v>
      </c>
      <c r="K257" s="101">
        <v>2026</v>
      </c>
      <c r="L257" s="100" t="str">
        <v>February</v>
      </c>
      <c r="M257" s="87"/>
      <c r="N257" s="87"/>
      <c r="O257" s="87"/>
      <c r="P257" s="87"/>
      <c r="Q257" s="87"/>
      <c r="R257" s="87"/>
      <c r="S257" s="87"/>
      <c r="T257" s="87"/>
    </row>
    <row r="258" spans="1:20" ht="16.5" x14ac:dyDescent="0.3">
      <c r="A258" s="98" t="str">
        <v>Mathew Lee</v>
      </c>
      <c r="B258" s="99">
        <v>46057</v>
      </c>
      <c r="C258" s="98" t="str">
        <v>Maintenance</v>
      </c>
      <c r="D258" s="100" t="str">
        <v>Blood Room</v>
      </c>
      <c r="E258" s="98" t="str">
        <v>Carlos Mata</v>
      </c>
      <c r="F258" s="98" t="str">
        <v>Blood Room Op.</v>
      </c>
      <c r="G258" s="98" t="str">
        <v>Abrasion</v>
      </c>
      <c r="H258" s="115" t="str">
        <v>RT - Middle Finger</v>
      </c>
      <c r="I258" s="100" t="str">
        <v>FA</v>
      </c>
      <c r="J258" s="100" t="str">
        <v>No</v>
      </c>
      <c r="K258" s="101">
        <v>2026</v>
      </c>
      <c r="L258" s="100" t="str">
        <v>February</v>
      </c>
      <c r="M258" s="87"/>
      <c r="N258" s="87"/>
      <c r="O258" s="87"/>
      <c r="P258" s="87"/>
      <c r="Q258" s="87"/>
      <c r="R258" s="87"/>
      <c r="S258" s="87"/>
      <c r="T258" s="87"/>
    </row>
    <row r="259" spans="1:20" ht="16.5" x14ac:dyDescent="0.3">
      <c r="A259" s="98" t="str">
        <v>Deshovana Wells</v>
      </c>
      <c r="B259" s="99">
        <v>46057</v>
      </c>
      <c r="C259" s="98" t="str">
        <v>Harvest</v>
      </c>
      <c r="D259" s="100" t="str">
        <v>104</v>
      </c>
      <c r="E259" s="98" t="str">
        <v>Michael Orozco</v>
      </c>
      <c r="F259" s="98" t="str">
        <v>Head Chain Trimmer</v>
      </c>
      <c r="G259" s="98" t="str">
        <v>Strain</v>
      </c>
      <c r="H259" s="115" t="str">
        <v>RT - Middle Finger</v>
      </c>
      <c r="I259" s="100" t="str">
        <v>FA</v>
      </c>
      <c r="J259" s="100" t="str">
        <v>No</v>
      </c>
      <c r="K259" s="101">
        <v>2026</v>
      </c>
      <c r="L259" s="100" t="str">
        <v>February</v>
      </c>
      <c r="M259" s="87"/>
      <c r="N259" s="87"/>
      <c r="O259" s="87"/>
      <c r="P259" s="87"/>
      <c r="Q259" s="87"/>
      <c r="R259" s="87"/>
      <c r="S259" s="87"/>
      <c r="T259" s="87"/>
    </row>
    <row r="260" spans="1:20" ht="16.5" x14ac:dyDescent="0.3">
      <c r="A260" s="98" t="str">
        <v>Ronald Barboza</v>
      </c>
      <c r="B260" s="99">
        <v>46057</v>
      </c>
      <c r="C260" s="98" t="str">
        <v>Fabrication</v>
      </c>
      <c r="D260" s="100" t="str">
        <v>410</v>
      </c>
      <c r="E260" s="98" t="str">
        <v>Juan Rodriguez</v>
      </c>
      <c r="F260" s="98" t="str">
        <v>Shank Bonner</v>
      </c>
      <c r="G260" s="98" t="str">
        <v>Strain</v>
      </c>
      <c r="H260" s="115" t="str">
        <v>LT - Shoulder, Shoulder blade, Neck</v>
      </c>
      <c r="I260" s="100" t="str">
        <v>FA</v>
      </c>
      <c r="J260" s="100" t="str">
        <v>No</v>
      </c>
      <c r="K260" s="101">
        <v>2026</v>
      </c>
      <c r="L260" s="100" t="str">
        <v>February</v>
      </c>
      <c r="M260" s="87"/>
      <c r="N260" s="87"/>
      <c r="O260" s="87"/>
      <c r="P260" s="87"/>
      <c r="Q260" s="87"/>
      <c r="R260" s="87"/>
      <c r="S260" s="87"/>
      <c r="T260" s="87"/>
    </row>
    <row r="261" spans="1:20" ht="16.5" x14ac:dyDescent="0.3">
      <c r="A261" s="98" t="str">
        <v>Martin Escalera</v>
      </c>
      <c r="B261" s="99">
        <v>46055</v>
      </c>
      <c r="C261" s="98" t="str">
        <v>Outside Clean Up</v>
      </c>
      <c r="D261" s="100" t="str">
        <v>Outside Clean Up</v>
      </c>
      <c r="E261" s="98" t="str">
        <v>Clara Salazar</v>
      </c>
      <c r="F261" s="98" t="str">
        <v>Outside Clean Up</v>
      </c>
      <c r="G261" s="98" t="str">
        <v>Inhalation</v>
      </c>
      <c r="H261" s="115" t="str">
        <v>Respiratory System</v>
      </c>
      <c r="I261" s="100" t="str">
        <v>RPO</v>
      </c>
      <c r="J261" s="100" t="str">
        <v>No</v>
      </c>
      <c r="K261" s="101">
        <v>2026</v>
      </c>
      <c r="L261" s="100" t="str">
        <v>February</v>
      </c>
      <c r="M261" s="87"/>
      <c r="N261" s="87"/>
      <c r="O261" s="87"/>
      <c r="P261" s="87"/>
      <c r="Q261" s="87"/>
      <c r="R261" s="87"/>
      <c r="S261" s="87"/>
      <c r="T261" s="87"/>
    </row>
    <row r="262" spans="1:20" ht="16.5" x14ac:dyDescent="0.3">
      <c r="A262" s="98" t="str">
        <v>Esperanza Alvarez</v>
      </c>
      <c r="B262" s="99">
        <v>46055</v>
      </c>
      <c r="C262" s="98" t="str">
        <v>Outside Clean Up</v>
      </c>
      <c r="D262" s="100" t="str">
        <v>Outside Clean Up</v>
      </c>
      <c r="E262" s="98" t="str">
        <v>Clara Salazar</v>
      </c>
      <c r="F262" s="98" t="str">
        <v>Outside Clean Up</v>
      </c>
      <c r="G262" s="98" t="str">
        <v>Inhalation</v>
      </c>
      <c r="H262" s="115" t="str">
        <v>Respiratory System</v>
      </c>
      <c r="I262" s="100" t="str">
        <v>RPO</v>
      </c>
      <c r="J262" s="100" t="str">
        <v>No</v>
      </c>
      <c r="K262" s="101">
        <v>2026</v>
      </c>
      <c r="L262" s="100" t="str">
        <v>February</v>
      </c>
      <c r="M262" s="87"/>
      <c r="N262" s="87"/>
      <c r="O262" s="87"/>
      <c r="P262" s="87"/>
      <c r="Q262" s="87"/>
      <c r="R262" s="87"/>
      <c r="S262" s="87"/>
      <c r="T262" s="87"/>
    </row>
    <row r="263" spans="1:20" ht="16.5" x14ac:dyDescent="0.3">
      <c r="A263" s="98" t="str">
        <v>Esmeralda Avalos Vazquez</v>
      </c>
      <c r="B263" s="99">
        <v>46050</v>
      </c>
      <c r="C263" s="98" t="str">
        <v>Harvest</v>
      </c>
      <c r="D263" s="100" t="str">
        <v>106</v>
      </c>
      <c r="E263" s="98" t="str">
        <v>Christian Lopez</v>
      </c>
      <c r="F263" s="98" t="str">
        <v>Spinal Cord Remover</v>
      </c>
      <c r="G263" s="98" t="str">
        <v>Slip, Trip, &amp; Fall</v>
      </c>
      <c r="H263" s="115" t="str">
        <v>RT - Knee &amp; Groin</v>
      </c>
      <c r="I263" s="100" t="str">
        <v>FA</v>
      </c>
      <c r="J263" s="100" t="str">
        <v>No</v>
      </c>
      <c r="K263" s="101">
        <v>2026</v>
      </c>
      <c r="L263" s="100" t="str">
        <v>January</v>
      </c>
      <c r="M263" s="87"/>
      <c r="N263" s="87"/>
      <c r="O263" s="87"/>
      <c r="P263" s="87"/>
      <c r="Q263" s="87"/>
      <c r="R263" s="87"/>
      <c r="S263" s="87"/>
      <c r="T263" s="87"/>
    </row>
    <row r="264" spans="1:20" ht="16.5" x14ac:dyDescent="0.3">
      <c r="A264" s="98" t="str">
        <v>Frank Aguero</v>
      </c>
      <c r="B264" s="99">
        <v>46050</v>
      </c>
      <c r="C264" s="98" t="str">
        <v>Fabrication</v>
      </c>
      <c r="D264" s="100" t="str">
        <v>445</v>
      </c>
      <c r="E264" s="98" t="str">
        <v>Maria Garcia</v>
      </c>
      <c r="F264" s="98" t="str">
        <v>Bagger</v>
      </c>
      <c r="G264" s="98" t="str">
        <v xml:space="preserve">Foreign Object </v>
      </c>
      <c r="H264" s="115" t="str">
        <v xml:space="preserve">RT - Eye </v>
      </c>
      <c r="I264" s="100" t="str">
        <v>FA</v>
      </c>
      <c r="J264" s="100" t="str">
        <v>No</v>
      </c>
      <c r="K264" s="101">
        <v>2026</v>
      </c>
      <c r="L264" s="100" t="str">
        <v>January</v>
      </c>
      <c r="M264" s="87"/>
      <c r="N264" s="87"/>
      <c r="O264" s="87"/>
      <c r="P264" s="87"/>
      <c r="Q264" s="87"/>
      <c r="R264" s="87"/>
      <c r="S264" s="87"/>
      <c r="T264" s="87"/>
    </row>
    <row r="265" spans="1:20" ht="16.5" x14ac:dyDescent="0.3">
      <c r="A265" s="98" t="str">
        <v>Joseph Munt</v>
      </c>
      <c r="B265" s="99">
        <v>46049</v>
      </c>
      <c r="C265" s="98" t="str">
        <v>Fabrication</v>
      </c>
      <c r="D265" s="100" t="str">
        <v>Coolers</v>
      </c>
      <c r="E265" s="98" t="str">
        <v>Erwin Vega</v>
      </c>
      <c r="F265" s="98" t="str">
        <v>Carcass Pusher</v>
      </c>
      <c r="G265" s="98" t="str">
        <v>Slip, Trip, &amp; Fall</v>
      </c>
      <c r="H265" s="115" t="str">
        <v>NA</v>
      </c>
      <c r="I265" s="100" t="str">
        <v>RPO</v>
      </c>
      <c r="J265" s="100" t="str">
        <v>No</v>
      </c>
      <c r="K265" s="101">
        <v>2026</v>
      </c>
      <c r="L265" s="100" t="str">
        <v>January</v>
      </c>
      <c r="M265" s="87"/>
      <c r="N265" s="87"/>
      <c r="O265" s="87"/>
      <c r="P265" s="87"/>
      <c r="Q265" s="87"/>
      <c r="R265" s="87"/>
      <c r="S265" s="87"/>
      <c r="T265" s="87"/>
    </row>
    <row r="266" spans="1:20" ht="16.5" x14ac:dyDescent="0.3">
      <c r="A266" s="98" t="str">
        <v>Gabriel Sandhu</v>
      </c>
      <c r="B266" s="99">
        <v>46049</v>
      </c>
      <c r="C266" s="98" t="str">
        <v>Fabrication</v>
      </c>
      <c r="D266" s="100" t="str">
        <v>420</v>
      </c>
      <c r="E266" s="98" t="str">
        <v>Elizabeth Neufeld</v>
      </c>
      <c r="F266" s="98" t="str">
        <v>Top Butt Trimmer</v>
      </c>
      <c r="G266" s="98" t="str">
        <v>Strain</v>
      </c>
      <c r="H266" s="115" t="str">
        <v>RT - Wrist</v>
      </c>
      <c r="I266" s="100" t="str">
        <v>FA</v>
      </c>
      <c r="J266" s="100" t="str">
        <v>No</v>
      </c>
      <c r="K266" s="101">
        <v>2026</v>
      </c>
      <c r="L266" s="100" t="str">
        <v>January</v>
      </c>
      <c r="M266" s="87"/>
      <c r="N266" s="87"/>
      <c r="O266" s="87"/>
      <c r="P266" s="87"/>
      <c r="Q266" s="87"/>
      <c r="R266" s="87"/>
      <c r="S266" s="87"/>
      <c r="T266" s="87"/>
    </row>
    <row r="267" spans="1:20" ht="16.5" x14ac:dyDescent="0.3">
      <c r="A267" s="98" t="str">
        <v>Edgar Guttierez</v>
      </c>
      <c r="B267" s="99">
        <v>46048</v>
      </c>
      <c r="C267" s="98" t="str">
        <v>Fabrication</v>
      </c>
      <c r="D267" s="100" t="str">
        <v>405</v>
      </c>
      <c r="E267" s="98" t="str">
        <v>Diego Soria</v>
      </c>
      <c r="F267" s="98" t="str">
        <v>Plate Boner</v>
      </c>
      <c r="G267" s="98" t="str">
        <v>Strain</v>
      </c>
      <c r="H267" s="115" t="str">
        <v xml:space="preserve">RT - Shoulder </v>
      </c>
      <c r="I267" s="100" t="str">
        <v>FA</v>
      </c>
      <c r="J267" s="100" t="str">
        <v>No</v>
      </c>
      <c r="K267" s="101">
        <v>2026</v>
      </c>
      <c r="L267" s="100" t="str">
        <v>January</v>
      </c>
      <c r="M267" s="87"/>
      <c r="N267" s="87"/>
      <c r="O267" s="87"/>
      <c r="P267" s="87"/>
      <c r="Q267" s="87"/>
      <c r="R267" s="87"/>
      <c r="S267" s="87"/>
      <c r="T267" s="87"/>
    </row>
    <row r="268" spans="1:20" ht="16.5" x14ac:dyDescent="0.3">
      <c r="A268" s="98" t="str">
        <v>Michael Valdez</v>
      </c>
      <c r="B268" s="99">
        <v>46048</v>
      </c>
      <c r="C268" s="98" t="str">
        <v>Fabrication</v>
      </c>
      <c r="D268" s="100" t="str">
        <v>400</v>
      </c>
      <c r="E268" s="98" t="str">
        <v>Ovidio Sanchez</v>
      </c>
      <c r="F268" s="98" t="str">
        <v>Chuck Hanger</v>
      </c>
      <c r="G268" s="98" t="str">
        <v>Sprain</v>
      </c>
      <c r="H268" s="115" t="str">
        <v xml:space="preserve">LT - Upper Arm/ Shoulder/ Shoulder Blade. </v>
      </c>
      <c r="I268" s="100" t="str">
        <v>FA</v>
      </c>
      <c r="J268" s="100" t="str">
        <v>No</v>
      </c>
      <c r="K268" s="101">
        <v>2026</v>
      </c>
      <c r="L268" s="100" t="str">
        <v>January</v>
      </c>
      <c r="M268" s="87"/>
      <c r="N268" s="87"/>
      <c r="O268" s="87"/>
      <c r="P268" s="87"/>
      <c r="Q268" s="87"/>
      <c r="R268" s="87"/>
      <c r="S268" s="87"/>
      <c r="T268" s="87"/>
    </row>
    <row r="269" spans="1:20" ht="16.5" x14ac:dyDescent="0.3">
      <c r="A269" s="98" t="str">
        <v>Rayna Perez</v>
      </c>
      <c r="B269" s="99">
        <v>46045</v>
      </c>
      <c r="C269" s="98" t="str">
        <v>Harvest</v>
      </c>
      <c r="D269" s="100" t="str">
        <v>102</v>
      </c>
      <c r="E269" s="98" t="str">
        <v>Rutilio Rodriguez</v>
      </c>
      <c r="F269" s="98" t="str">
        <v xml:space="preserve">Deffect Trimmer </v>
      </c>
      <c r="G269" s="98" t="str">
        <v>Strain</v>
      </c>
      <c r="H269" s="115" t="str">
        <v>RT - Elbow</v>
      </c>
      <c r="I269" s="100" t="str">
        <v>FA</v>
      </c>
      <c r="J269" s="100" t="str">
        <v>No</v>
      </c>
      <c r="K269" s="101">
        <v>2026</v>
      </c>
      <c r="L269" s="100" t="str">
        <v>January</v>
      </c>
      <c r="M269" s="87"/>
      <c r="N269" s="87"/>
      <c r="O269" s="87"/>
      <c r="P269" s="87"/>
      <c r="Q269" s="87"/>
      <c r="R269" s="87"/>
      <c r="S269" s="87"/>
      <c r="T269" s="87"/>
    </row>
    <row r="270" spans="1:20" ht="16.5" x14ac:dyDescent="0.3">
      <c r="A270" s="98" t="str">
        <v>Jesus Garcia</v>
      </c>
      <c r="B270" s="99">
        <v>46045</v>
      </c>
      <c r="C270" s="98" t="str">
        <v>Harvest</v>
      </c>
      <c r="D270" s="100" t="str">
        <v>102</v>
      </c>
      <c r="E270" s="98" t="str">
        <v>Rutilio Rodriguez</v>
      </c>
      <c r="F270" s="98" t="str">
        <v>Wax Papper Remover</v>
      </c>
      <c r="G270" s="98" t="str">
        <v>Rash</v>
      </c>
      <c r="H270" s="115" t="str">
        <v xml:space="preserve">Bilateral - Forearms </v>
      </c>
      <c r="I270" s="100" t="str">
        <v>FA</v>
      </c>
      <c r="J270" s="100" t="str">
        <v>No</v>
      </c>
      <c r="K270" s="101">
        <v>2026</v>
      </c>
      <c r="L270" s="100" t="str">
        <v>January</v>
      </c>
      <c r="M270" s="87"/>
      <c r="N270" s="87"/>
      <c r="O270" s="87"/>
      <c r="P270" s="87"/>
      <c r="Q270" s="87"/>
      <c r="R270" s="87"/>
      <c r="S270" s="87"/>
      <c r="T270" s="87"/>
    </row>
    <row r="271" spans="1:20" ht="16.5" x14ac:dyDescent="0.3">
      <c r="A271" s="98" t="str">
        <v>Israel Douglas</v>
      </c>
      <c r="B271" s="99">
        <v>46044</v>
      </c>
      <c r="C271" s="98" t="str">
        <v>Fabrication</v>
      </c>
      <c r="D271" s="100" t="str">
        <v>405</v>
      </c>
      <c r="E271" s="98" t="str">
        <v>Diego Soria</v>
      </c>
      <c r="F271" s="98" t="str">
        <v xml:space="preserve">Saw Operator </v>
      </c>
      <c r="G271" s="98" t="str">
        <v>Strain</v>
      </c>
      <c r="H271" s="115" t="str">
        <v>RT - Wrist</v>
      </c>
      <c r="I271" s="100" t="str">
        <v>FA</v>
      </c>
      <c r="J271" s="100" t="str">
        <v>No</v>
      </c>
      <c r="K271" s="101">
        <v>2026</v>
      </c>
      <c r="L271" s="100" t="str">
        <v>January</v>
      </c>
      <c r="M271" s="87"/>
      <c r="N271" s="87"/>
      <c r="O271" s="87"/>
      <c r="P271" s="87"/>
      <c r="Q271" s="87"/>
      <c r="R271" s="87"/>
      <c r="S271" s="87"/>
      <c r="T271" s="87"/>
    </row>
    <row r="272" spans="1:20" ht="16.5" x14ac:dyDescent="0.3">
      <c r="A272" s="98" t="str">
        <v>Braulio Torres</v>
      </c>
      <c r="B272" s="99">
        <v>46044</v>
      </c>
      <c r="C272" s="98" t="str">
        <v>Harvest</v>
      </c>
      <c r="D272" s="100" t="str">
        <v>100</v>
      </c>
      <c r="E272" s="98" t="str">
        <v>Marilyn Herrera</v>
      </c>
      <c r="F272" s="98" t="str">
        <v>Herdsman Clerk</v>
      </c>
      <c r="G272" s="98" t="str">
        <v>Abrasion</v>
      </c>
      <c r="H272" s="115" t="str">
        <v>RT - Ring Finger</v>
      </c>
      <c r="I272" s="100" t="str">
        <v>FA</v>
      </c>
      <c r="J272" s="100" t="str">
        <v>No</v>
      </c>
      <c r="K272" s="101">
        <v>2026</v>
      </c>
      <c r="L272" s="100" t="str">
        <v>January</v>
      </c>
      <c r="M272" s="87"/>
      <c r="N272" s="87"/>
      <c r="O272" s="87"/>
      <c r="P272" s="87"/>
      <c r="Q272" s="87"/>
      <c r="R272" s="87"/>
      <c r="S272" s="87"/>
      <c r="T272" s="87"/>
    </row>
    <row r="273" spans="1:20" ht="16.5" x14ac:dyDescent="0.3">
      <c r="A273" s="98" t="str">
        <v>Aliyah Gonzalez</v>
      </c>
      <c r="B273" s="99">
        <v>46044</v>
      </c>
      <c r="C273" s="98" t="str">
        <v>Harvest</v>
      </c>
      <c r="D273" s="100" t="str">
        <v>106</v>
      </c>
      <c r="E273" s="98" t="str">
        <v>Christian Lopez</v>
      </c>
      <c r="F273" s="98" t="str">
        <v>Whizzard Knife Op.</v>
      </c>
      <c r="G273" s="98" t="str">
        <v>Strain</v>
      </c>
      <c r="H273" s="115" t="str">
        <v xml:space="preserve">RT - Shoulder </v>
      </c>
      <c r="I273" s="100" t="str">
        <v>FA</v>
      </c>
      <c r="J273" s="100" t="str">
        <v>No</v>
      </c>
      <c r="K273" s="101">
        <v>2026</v>
      </c>
      <c r="L273" s="100" t="str">
        <v>January</v>
      </c>
      <c r="M273" s="87"/>
      <c r="N273" s="87"/>
      <c r="O273" s="87"/>
      <c r="P273" s="87"/>
      <c r="Q273" s="87"/>
      <c r="R273" s="87"/>
      <c r="S273" s="87"/>
      <c r="T273" s="87"/>
    </row>
    <row r="274" spans="1:20" ht="16.5" x14ac:dyDescent="0.3">
      <c r="A274" s="98" t="str">
        <v xml:space="preserve">Edwin Parada </v>
      </c>
      <c r="B274" s="99">
        <v>46044</v>
      </c>
      <c r="C274" s="98" t="str">
        <v>Fabrication</v>
      </c>
      <c r="D274" s="100" t="str">
        <v>420</v>
      </c>
      <c r="E274" s="98" t="str">
        <v>Elizabeth Neufeld</v>
      </c>
      <c r="F274" s="98" t="str">
        <v>Whizzard Knife Op - Button Boner</v>
      </c>
      <c r="G274" s="98" t="str">
        <v>Strain</v>
      </c>
      <c r="H274" s="115" t="str">
        <v xml:space="preserve">RT - Shoulder </v>
      </c>
      <c r="I274" s="100" t="str">
        <v>FA</v>
      </c>
      <c r="J274" s="100" t="str">
        <v>No</v>
      </c>
      <c r="K274" s="101">
        <v>2026</v>
      </c>
      <c r="L274" s="100" t="str">
        <v>January</v>
      </c>
      <c r="M274" s="87"/>
      <c r="N274" s="87"/>
      <c r="O274" s="87"/>
      <c r="P274" s="87"/>
      <c r="Q274" s="87"/>
      <c r="R274" s="87"/>
      <c r="S274" s="87"/>
      <c r="T274" s="87"/>
    </row>
    <row r="275" spans="1:20" ht="16.5" x14ac:dyDescent="0.3">
      <c r="A275" s="98" t="str">
        <v>Artemio Monje</v>
      </c>
      <c r="B275" s="99">
        <v>46043</v>
      </c>
      <c r="C275" s="98" t="str">
        <v>Fabrication</v>
      </c>
      <c r="D275" s="100" t="str">
        <v>405</v>
      </c>
      <c r="E275" s="98" t="str">
        <v>Diego Soria</v>
      </c>
      <c r="F275" s="98" t="str">
        <v>Paddle Boner</v>
      </c>
      <c r="G275" s="98" t="str">
        <v>Strain</v>
      </c>
      <c r="H275" s="115" t="str">
        <v>RT - Elbow</v>
      </c>
      <c r="I275" s="100" t="str">
        <v>FA</v>
      </c>
      <c r="J275" s="100" t="str">
        <v>No</v>
      </c>
      <c r="K275" s="101">
        <v>2026</v>
      </c>
      <c r="L275" s="100" t="str">
        <v>January</v>
      </c>
      <c r="M275" s="87"/>
      <c r="N275" s="87"/>
      <c r="O275" s="87"/>
      <c r="P275" s="87"/>
      <c r="Q275" s="87"/>
      <c r="R275" s="87"/>
      <c r="S275" s="87"/>
      <c r="T275" s="87"/>
    </row>
    <row r="276" spans="1:20" ht="16.5" x14ac:dyDescent="0.3">
      <c r="A276" s="98" t="str">
        <v>Diego Prciado</v>
      </c>
      <c r="B276" s="99">
        <v>46043</v>
      </c>
      <c r="C276" s="98" t="str">
        <v>Harvest</v>
      </c>
      <c r="D276" s="100" t="str">
        <v>105</v>
      </c>
      <c r="E276" s="98" t="str">
        <v>Michael Orozco</v>
      </c>
      <c r="F276" s="98" t="str">
        <v>Gutter</v>
      </c>
      <c r="G276" s="98" t="str">
        <v xml:space="preserve">Foreign Object </v>
      </c>
      <c r="H276" s="115" t="str">
        <v>LT - Eye</v>
      </c>
      <c r="I276" s="100" t="str">
        <v>FA</v>
      </c>
      <c r="J276" s="100" t="str">
        <v>No</v>
      </c>
      <c r="K276" s="101">
        <v>2026</v>
      </c>
      <c r="L276" s="100" t="str">
        <v>January</v>
      </c>
      <c r="M276" s="87"/>
      <c r="N276" s="87"/>
      <c r="O276" s="87"/>
      <c r="P276" s="87"/>
      <c r="Q276" s="87"/>
      <c r="R276" s="87"/>
      <c r="S276" s="87"/>
      <c r="T276" s="87"/>
    </row>
    <row r="277" spans="1:20" ht="16.5" x14ac:dyDescent="0.3">
      <c r="A277" s="98" t="str">
        <v>Valeria Vasquez</v>
      </c>
      <c r="B277" s="99">
        <v>46043</v>
      </c>
      <c r="C277" s="98" t="str">
        <v>Harvest</v>
      </c>
      <c r="D277" s="100" t="str">
        <v>102</v>
      </c>
      <c r="E277" s="98" t="str">
        <v>Rutilio Rodriguez</v>
      </c>
      <c r="F277" s="98" t="str">
        <v>Tendon Collector</v>
      </c>
      <c r="G277" s="98" t="str">
        <v>Strain</v>
      </c>
      <c r="H277" s="115" t="str">
        <v>LT - Index &amp; Middle Finger</v>
      </c>
      <c r="I277" s="100" t="str">
        <v>FA</v>
      </c>
      <c r="J277" s="100" t="str">
        <v>No</v>
      </c>
      <c r="K277" s="101">
        <v>2026</v>
      </c>
      <c r="L277" s="100" t="str">
        <v>January</v>
      </c>
      <c r="M277" s="87"/>
      <c r="N277" s="87"/>
      <c r="O277" s="87"/>
      <c r="P277" s="87"/>
      <c r="Q277" s="87"/>
      <c r="R277" s="87"/>
      <c r="S277" s="87"/>
      <c r="T277" s="87"/>
    </row>
    <row r="278" spans="1:20" ht="16.5" x14ac:dyDescent="0.3">
      <c r="A278" s="98" t="str">
        <v>Jonathan Golaviz</v>
      </c>
      <c r="B278" s="99">
        <v>46042</v>
      </c>
      <c r="C278" s="98" t="str">
        <v>Fabrication</v>
      </c>
      <c r="D278" s="100" t="str">
        <v>405</v>
      </c>
      <c r="E278" s="98" t="str">
        <v>Diego Soria</v>
      </c>
      <c r="F278" s="98" t="str">
        <v>Aitch Boner</v>
      </c>
      <c r="G278" s="98" t="str">
        <v>Strain</v>
      </c>
      <c r="H278" s="115" t="str">
        <v>RT - Pinky Finger</v>
      </c>
      <c r="I278" s="100" t="str">
        <v>FA</v>
      </c>
      <c r="J278" s="100" t="str">
        <v>No</v>
      </c>
      <c r="K278" s="101">
        <v>2026</v>
      </c>
      <c r="L278" s="100" t="str">
        <v>January</v>
      </c>
      <c r="M278" s="87"/>
      <c r="N278" s="87"/>
      <c r="O278" s="87"/>
      <c r="P278" s="87"/>
      <c r="Q278" s="87"/>
      <c r="R278" s="87"/>
      <c r="S278" s="87"/>
      <c r="T278" s="87"/>
    </row>
    <row r="279" spans="1:20" ht="16.5" x14ac:dyDescent="0.3">
      <c r="A279" s="98" t="str">
        <v>Mayra Solarte</v>
      </c>
      <c r="B279" s="99">
        <v>46038</v>
      </c>
      <c r="C279" s="98" t="str">
        <v>Harvest</v>
      </c>
      <c r="D279" s="100" t="str">
        <v>106</v>
      </c>
      <c r="E279" s="98" t="str">
        <v>Rutilio Rodriguez</v>
      </c>
      <c r="F279" s="98" t="str">
        <v>Trim Shanks</v>
      </c>
      <c r="G279" s="98" t="str">
        <v>Rash</v>
      </c>
      <c r="H279" s="115" t="str">
        <v>LT - Upper Arm</v>
      </c>
      <c r="I279" s="100" t="str">
        <v>RPO</v>
      </c>
      <c r="J279" s="100" t="str">
        <v>No</v>
      </c>
      <c r="K279" s="101">
        <v>2026</v>
      </c>
      <c r="L279" s="100" t="str">
        <v>January</v>
      </c>
      <c r="M279" s="87"/>
      <c r="N279" s="87"/>
      <c r="O279" s="87"/>
      <c r="P279" s="87"/>
      <c r="Q279" s="87"/>
      <c r="R279" s="87"/>
      <c r="S279" s="87"/>
      <c r="T279" s="87"/>
    </row>
    <row r="280" spans="1:20" ht="16.5" x14ac:dyDescent="0.3">
      <c r="A280" s="98" t="str">
        <v>Esmeralda Avalos Vazquez</v>
      </c>
      <c r="B280" s="99">
        <v>46038</v>
      </c>
      <c r="C280" s="98" t="str">
        <v>Harvest</v>
      </c>
      <c r="D280" s="100" t="str">
        <v>106</v>
      </c>
      <c r="E280" s="98" t="str">
        <v>Christian Lopez</v>
      </c>
      <c r="F280" s="98" t="str">
        <v>Spinal Cord Remover</v>
      </c>
      <c r="G280" s="98" t="str">
        <v>Burn</v>
      </c>
      <c r="H280" s="115" t="str">
        <v>RT - Forearm</v>
      </c>
      <c r="I280" s="100" t="str">
        <v>FA</v>
      </c>
      <c r="J280" s="100" t="str">
        <v>No</v>
      </c>
      <c r="K280" s="101">
        <v>2026</v>
      </c>
      <c r="L280" s="100" t="str">
        <v>January</v>
      </c>
      <c r="M280" s="87"/>
      <c r="N280" s="87"/>
      <c r="O280" s="87"/>
      <c r="P280" s="87"/>
      <c r="Q280" s="87"/>
      <c r="R280" s="87"/>
      <c r="S280" s="87"/>
      <c r="T280" s="87"/>
    </row>
    <row r="281" spans="1:20" ht="16.5" x14ac:dyDescent="0.3">
      <c r="A281" s="98" t="str">
        <v>Antonio Soto</v>
      </c>
      <c r="B281" s="99">
        <v>46038</v>
      </c>
      <c r="C281" s="98" t="str">
        <v>Fabrication</v>
      </c>
      <c r="D281" s="100" t="str">
        <v>445</v>
      </c>
      <c r="E281" s="98" t="str">
        <v>Maria Garcia</v>
      </c>
      <c r="F281" s="98" t="str">
        <v>Pallertizer</v>
      </c>
      <c r="G281" s="98" t="str">
        <v>Puncture</v>
      </c>
      <c r="H281" s="115" t="str">
        <v>LT - Index Finger</v>
      </c>
      <c r="I281" s="100" t="str">
        <v>FA</v>
      </c>
      <c r="J281" s="100" t="str">
        <v>No</v>
      </c>
      <c r="K281" s="101">
        <v>2026</v>
      </c>
      <c r="L281" s="100" t="str">
        <v>January</v>
      </c>
      <c r="M281" s="87"/>
      <c r="N281" s="87"/>
      <c r="O281" s="87"/>
      <c r="P281" s="87"/>
      <c r="Q281" s="87"/>
      <c r="R281" s="87"/>
      <c r="S281" s="87"/>
      <c r="T281" s="87"/>
    </row>
    <row r="282" spans="1:20" ht="16.5" x14ac:dyDescent="0.3">
      <c r="A282" s="98" t="str">
        <v>Moises Flores</v>
      </c>
      <c r="B282" s="99">
        <v>46036</v>
      </c>
      <c r="C282" s="98" t="str">
        <v>Fabrication</v>
      </c>
      <c r="D282" s="100" t="str">
        <v>410</v>
      </c>
      <c r="E282" s="98" t="str">
        <v>Juan Ramirez</v>
      </c>
      <c r="F282" s="98" t="str">
        <v>Tender Puller</v>
      </c>
      <c r="G282" s="98" t="str">
        <v>Strain</v>
      </c>
      <c r="H282" s="115" t="str">
        <v>LT - Forearm</v>
      </c>
      <c r="I282" s="100" t="str">
        <v>FA</v>
      </c>
      <c r="J282" s="100" t="str">
        <v>No</v>
      </c>
      <c r="K282" s="101">
        <v>2026</v>
      </c>
      <c r="L282" s="100" t="str">
        <v>January</v>
      </c>
      <c r="M282" s="87"/>
      <c r="N282" s="87"/>
      <c r="O282" s="87"/>
      <c r="P282" s="87"/>
      <c r="Q282" s="87"/>
      <c r="R282" s="87"/>
      <c r="S282" s="87"/>
      <c r="T282" s="87"/>
    </row>
    <row r="283" spans="1:20" ht="16.5" x14ac:dyDescent="0.3">
      <c r="A283" s="98" t="str">
        <v>Jose Aguilar</v>
      </c>
      <c r="B283" s="99">
        <v>46034</v>
      </c>
      <c r="C283" s="98" t="str">
        <v>Maintenance</v>
      </c>
      <c r="D283" s="100" t="str">
        <v>Maintenance</v>
      </c>
      <c r="E283" s="98" t="str">
        <v>Rayomond Corrales</v>
      </c>
      <c r="F283" s="98" t="str">
        <v xml:space="preserve">Maintenance </v>
      </c>
      <c r="G283" s="98" t="str">
        <v>Pinch-Point</v>
      </c>
      <c r="H283" s="115" t="str">
        <v>LT - Middle Finger</v>
      </c>
      <c r="I283" s="100" t="str">
        <v>FA</v>
      </c>
      <c r="J283" s="100" t="str">
        <v>No</v>
      </c>
      <c r="K283" s="101">
        <v>2026</v>
      </c>
      <c r="L283" s="100" t="str">
        <v>January</v>
      </c>
      <c r="M283" s="87"/>
      <c r="N283" s="87"/>
      <c r="O283" s="87"/>
      <c r="P283" s="87"/>
      <c r="Q283" s="87"/>
      <c r="R283" s="87"/>
      <c r="S283" s="87"/>
      <c r="T283" s="87"/>
    </row>
    <row r="284" spans="1:20" ht="16.5" x14ac:dyDescent="0.3">
      <c r="A284" s="98" t="str">
        <v>Selfia Revuelta</v>
      </c>
      <c r="B284" s="99">
        <v>46034</v>
      </c>
      <c r="C284" s="98" t="str">
        <v>Fabrication</v>
      </c>
      <c r="D284" s="100" t="str">
        <v>415</v>
      </c>
      <c r="E284" s="98" t="str">
        <v>Juan Rodriguez</v>
      </c>
      <c r="F284" s="98" t="str">
        <v>Whizzard Knife Op.</v>
      </c>
      <c r="G284" s="98" t="str">
        <v>Puncture</v>
      </c>
      <c r="H284" s="115" t="str">
        <v>LT - Forearm</v>
      </c>
      <c r="I284" s="100" t="str">
        <v>FA</v>
      </c>
      <c r="J284" s="100" t="str">
        <v>No</v>
      </c>
      <c r="K284" s="101">
        <v>2026</v>
      </c>
      <c r="L284" s="100" t="str">
        <v>January</v>
      </c>
      <c r="M284" s="87"/>
      <c r="N284" s="87"/>
      <c r="O284" s="87"/>
      <c r="P284" s="87"/>
      <c r="Q284" s="87"/>
      <c r="R284" s="87"/>
      <c r="S284" s="87"/>
      <c r="T284" s="87"/>
    </row>
    <row r="285" spans="1:20" ht="16.5" x14ac:dyDescent="0.3">
      <c r="A285" s="98" t="str">
        <v>Touthao Yang</v>
      </c>
      <c r="B285" s="99">
        <v>46034</v>
      </c>
      <c r="C285" s="98" t="str">
        <v>Fabrication</v>
      </c>
      <c r="D285" s="100" t="str">
        <v>Loading Dock</v>
      </c>
      <c r="E285" s="98" t="str">
        <v>Francisco Tapia</v>
      </c>
      <c r="F285" s="98" t="str">
        <v>Loading Dock Lead</v>
      </c>
      <c r="G285" s="98" t="str">
        <v>Laceration</v>
      </c>
      <c r="H285" s="115" t="str">
        <v>LT - Thumb</v>
      </c>
      <c r="I285" s="100" t="str">
        <v>FA</v>
      </c>
      <c r="J285" s="100" t="str">
        <v>No</v>
      </c>
      <c r="K285" s="101">
        <v>2026</v>
      </c>
      <c r="L285" s="100" t="str">
        <v>January</v>
      </c>
      <c r="M285" s="87"/>
      <c r="N285" s="87"/>
      <c r="O285" s="87"/>
      <c r="P285" s="87"/>
      <c r="Q285" s="87"/>
      <c r="R285" s="87"/>
      <c r="S285" s="87"/>
      <c r="T285" s="87"/>
    </row>
    <row r="286" spans="1:20" ht="16.5" x14ac:dyDescent="0.3">
      <c r="A286" s="98" t="str">
        <v>Kao Vang</v>
      </c>
      <c r="B286" s="99">
        <v>46031</v>
      </c>
      <c r="C286" s="98" t="str">
        <v>Fabrication</v>
      </c>
      <c r="D286" s="100" t="str">
        <v>445</v>
      </c>
      <c r="E286" s="98" t="str">
        <v>Maria Garcia</v>
      </c>
      <c r="F286" s="98" t="str">
        <v>Bagger</v>
      </c>
      <c r="G286" s="98" t="str">
        <v>Strain</v>
      </c>
      <c r="H286" s="115" t="str">
        <v>RT - Leg</v>
      </c>
      <c r="I286" s="100" t="str">
        <v>FA</v>
      </c>
      <c r="J286" s="100" t="str">
        <v>No</v>
      </c>
      <c r="K286" s="101">
        <v>2026</v>
      </c>
      <c r="L286" s="100" t="str">
        <v>January</v>
      </c>
      <c r="M286" s="87"/>
      <c r="N286" s="87"/>
      <c r="O286" s="87"/>
      <c r="P286" s="87"/>
      <c r="Q286" s="87"/>
      <c r="R286" s="87"/>
      <c r="S286" s="87"/>
      <c r="T286" s="87"/>
    </row>
    <row r="287" spans="1:20" ht="16.5" x14ac:dyDescent="0.3">
      <c r="A287" s="98" t="str">
        <v>Douglas Cline</v>
      </c>
      <c r="B287" s="99">
        <v>46030</v>
      </c>
      <c r="C287" s="98" t="str">
        <v>Fabrication</v>
      </c>
      <c r="D287" s="100" t="str">
        <v>405</v>
      </c>
      <c r="E287" s="98" t="str">
        <v>Diego Soria</v>
      </c>
      <c r="F287" s="98" t="str">
        <v>Aitch Boner</v>
      </c>
      <c r="G287" s="98" t="str">
        <v>Strain</v>
      </c>
      <c r="H287" s="115" t="str">
        <v>RT - Forearm</v>
      </c>
      <c r="I287" s="100" t="str">
        <v>FA</v>
      </c>
      <c r="J287" s="100" t="str">
        <v>No</v>
      </c>
      <c r="K287" s="101">
        <v>2026</v>
      </c>
      <c r="L287" s="100" t="str">
        <v>January</v>
      </c>
      <c r="M287" s="87"/>
      <c r="N287" s="87"/>
      <c r="O287" s="87"/>
      <c r="P287" s="87"/>
      <c r="Q287" s="87"/>
      <c r="R287" s="87"/>
      <c r="S287" s="87"/>
      <c r="T287" s="87"/>
    </row>
    <row r="288" spans="1:20" ht="16.5" x14ac:dyDescent="0.3">
      <c r="A288" s="98" t="str">
        <v>Patricia Castillo</v>
      </c>
      <c r="B288" s="99">
        <v>46030</v>
      </c>
      <c r="C288" s="98" t="str">
        <v>Fabrication</v>
      </c>
      <c r="D288" s="100" t="str">
        <v>445</v>
      </c>
      <c r="E288" s="98" t="str">
        <v>Maria Garcia</v>
      </c>
      <c r="F288" s="98" t="str">
        <v>Bagger</v>
      </c>
      <c r="G288" s="98" t="str">
        <v>Strain</v>
      </c>
      <c r="H288" s="115" t="str">
        <v>LT - Shoulder</v>
      </c>
      <c r="I288" s="100" t="str">
        <v>FA</v>
      </c>
      <c r="J288" s="100" t="str">
        <v>No</v>
      </c>
      <c r="K288" s="101">
        <v>2026</v>
      </c>
      <c r="L288" s="100" t="str">
        <v>January</v>
      </c>
      <c r="M288" s="87"/>
      <c r="N288" s="87"/>
      <c r="O288" s="87"/>
      <c r="P288" s="87"/>
      <c r="Q288" s="87"/>
      <c r="R288" s="87"/>
      <c r="S288" s="87"/>
      <c r="T288" s="87"/>
    </row>
    <row r="289" spans="1:20" ht="16.5" x14ac:dyDescent="0.3">
      <c r="A289" s="98" t="str">
        <v>Luis Perez Baldez</v>
      </c>
      <c r="B289" s="99">
        <v>46030</v>
      </c>
      <c r="C289" s="98" t="str">
        <v>Fabrication</v>
      </c>
      <c r="D289" s="100" t="str">
        <v>405</v>
      </c>
      <c r="E289" s="98" t="str">
        <v>Diego Soria</v>
      </c>
      <c r="F289" s="98" t="str">
        <v>Blade Meat</v>
      </c>
      <c r="G289" s="98" t="str">
        <v>Laceration</v>
      </c>
      <c r="H289" s="98" t="str">
        <v>RT - Ring Finger</v>
      </c>
      <c r="I289" s="100" t="str">
        <v>RECORDABLE</v>
      </c>
      <c r="J289" s="100" t="str">
        <v>Yes</v>
      </c>
      <c r="K289" s="101">
        <v>2026</v>
      </c>
      <c r="L289" s="100" t="str">
        <v>January</v>
      </c>
      <c r="M289" s="87"/>
      <c r="N289" s="87"/>
      <c r="O289" s="87"/>
      <c r="P289" s="87"/>
      <c r="Q289" s="87"/>
      <c r="R289" s="87"/>
      <c r="S289" s="87"/>
      <c r="T289" s="87"/>
    </row>
    <row r="290" spans="1:20" ht="16.5" x14ac:dyDescent="0.3">
      <c r="A290" s="98" t="str">
        <v>Sarah Gonzalez</v>
      </c>
      <c r="B290" s="99">
        <v>46029</v>
      </c>
      <c r="C290" s="98" t="str">
        <v>Harvest</v>
      </c>
      <c r="D290" s="100" t="str">
        <v>101</v>
      </c>
      <c r="E290" s="98" t="str">
        <v>Richard Xiong</v>
      </c>
      <c r="F290" s="98" t="str">
        <v>Whizzard Knife Op.</v>
      </c>
      <c r="G290" s="98" t="str">
        <v>Strain</v>
      </c>
      <c r="H290" s="98" t="str">
        <v>LT - Forearm</v>
      </c>
      <c r="I290" s="100" t="str">
        <v>FA</v>
      </c>
      <c r="J290" s="100" t="str">
        <v>No</v>
      </c>
      <c r="K290" s="101">
        <v>2026</v>
      </c>
      <c r="L290" s="100" t="str">
        <v>January</v>
      </c>
      <c r="M290" s="87"/>
      <c r="N290" s="87"/>
      <c r="O290" s="87"/>
      <c r="P290" s="87"/>
      <c r="Q290" s="87"/>
      <c r="R290" s="87"/>
      <c r="S290" s="87"/>
      <c r="T290" s="87"/>
    </row>
    <row r="291" spans="1:20" ht="16.5" x14ac:dyDescent="0.3">
      <c r="A291" s="98"/>
      <c r="B291" s="99"/>
      <c r="C291" s="98"/>
      <c r="D291" s="100"/>
      <c r="E291" s="98"/>
      <c r="F291" s="98"/>
      <c r="G291" s="98"/>
      <c r="H291" s="98"/>
      <c r="I291" s="100"/>
      <c r="J291" s="100"/>
      <c r="K291" s="101"/>
      <c r="L291" s="100"/>
      <c r="M291" s="87"/>
      <c r="N291" s="87"/>
      <c r="O291" s="87"/>
      <c r="P291" s="87"/>
      <c r="Q291" s="87"/>
      <c r="R291" s="87"/>
      <c r="S291" s="87"/>
      <c r="T291" s="87"/>
    </row>
    <row r="292" spans="1:20" ht="16.5" x14ac:dyDescent="0.3">
      <c r="A292" s="98"/>
      <c r="B292" s="99"/>
      <c r="C292" s="98"/>
      <c r="D292" s="100"/>
      <c r="E292" s="98"/>
      <c r="F292" s="98"/>
      <c r="G292" s="98"/>
      <c r="H292" s="98"/>
      <c r="I292" s="100"/>
      <c r="J292" s="100"/>
      <c r="K292" s="101"/>
      <c r="L292" s="100"/>
      <c r="M292" s="87"/>
      <c r="N292" s="87"/>
      <c r="O292" s="87"/>
      <c r="P292" s="87"/>
      <c r="Q292" s="87"/>
      <c r="R292" s="87"/>
      <c r="S292" s="87"/>
      <c r="T292" s="87"/>
    </row>
    <row r="293" spans="1:20" ht="16.5" x14ac:dyDescent="0.3">
      <c r="A293" s="98"/>
      <c r="B293" s="99"/>
      <c r="C293" s="98"/>
      <c r="D293" s="100"/>
      <c r="E293" s="98"/>
      <c r="F293" s="98"/>
      <c r="G293" s="98"/>
      <c r="H293" s="98"/>
      <c r="I293" s="100"/>
      <c r="J293" s="100"/>
      <c r="K293" s="101"/>
      <c r="L293" s="100"/>
      <c r="M293" s="87"/>
      <c r="N293" s="87"/>
      <c r="O293" s="87"/>
      <c r="P293" s="87"/>
      <c r="Q293" s="87"/>
      <c r="R293" s="87"/>
      <c r="S293" s="87"/>
      <c r="T293" s="87"/>
    </row>
    <row r="294" spans="1:20" ht="16.5" x14ac:dyDescent="0.3">
      <c r="A294" s="98"/>
      <c r="B294" s="99"/>
      <c r="C294" s="98"/>
      <c r="D294" s="100"/>
      <c r="E294" s="98"/>
      <c r="F294" s="98"/>
      <c r="G294" s="98"/>
      <c r="H294" s="98"/>
      <c r="I294" s="100"/>
      <c r="J294" s="100"/>
      <c r="K294" s="101"/>
      <c r="L294" s="100"/>
      <c r="M294" s="87"/>
      <c r="N294" s="87"/>
      <c r="O294" s="87"/>
      <c r="P294" s="87"/>
      <c r="Q294" s="87"/>
      <c r="R294" s="87"/>
      <c r="S294" s="87"/>
      <c r="T294" s="87"/>
    </row>
    <row r="295" spans="1:20" ht="16.5" x14ac:dyDescent="0.3">
      <c r="A295" s="98"/>
      <c r="B295" s="99"/>
      <c r="C295" s="98"/>
      <c r="D295" s="100"/>
      <c r="E295" s="98"/>
      <c r="F295" s="98"/>
      <c r="G295" s="98"/>
      <c r="H295" s="98"/>
      <c r="I295" s="100"/>
      <c r="J295" s="100"/>
      <c r="K295" s="101"/>
      <c r="L295" s="100"/>
      <c r="M295" s="87"/>
      <c r="N295" s="87"/>
      <c r="O295" s="87"/>
      <c r="P295" s="87"/>
      <c r="Q295" s="87"/>
      <c r="R295" s="87"/>
      <c r="S295" s="87"/>
      <c r="T295" s="87"/>
    </row>
    <row r="296" spans="1:20" ht="16.5" x14ac:dyDescent="0.3">
      <c r="A296" s="98"/>
      <c r="B296" s="99"/>
      <c r="C296" s="98"/>
      <c r="D296" s="100"/>
      <c r="E296" s="98"/>
      <c r="F296" s="98"/>
      <c r="G296" s="98"/>
      <c r="H296" s="98"/>
      <c r="I296" s="100"/>
      <c r="J296" s="100"/>
      <c r="K296" s="101"/>
      <c r="L296" s="100"/>
      <c r="M296" s="87"/>
      <c r="N296" s="87"/>
      <c r="O296" s="87"/>
      <c r="P296" s="87"/>
      <c r="Q296" s="87"/>
      <c r="R296" s="87"/>
      <c r="S296" s="87"/>
      <c r="T296" s="87"/>
    </row>
    <row r="297" spans="1:20" ht="16.5" x14ac:dyDescent="0.3">
      <c r="A297" s="98"/>
      <c r="B297" s="99"/>
      <c r="C297" s="98"/>
      <c r="D297" s="100"/>
      <c r="E297" s="98"/>
      <c r="F297" s="98"/>
      <c r="G297" s="98"/>
      <c r="H297" s="98"/>
      <c r="I297" s="100"/>
      <c r="J297" s="100"/>
      <c r="K297" s="101"/>
      <c r="L297" s="100"/>
      <c r="M297" s="87"/>
      <c r="N297" s="87"/>
      <c r="O297" s="87"/>
      <c r="P297" s="87"/>
      <c r="Q297" s="87"/>
      <c r="R297" s="87"/>
      <c r="S297" s="87"/>
      <c r="T297" s="87"/>
    </row>
    <row r="298" spans="1:20" ht="16.5" x14ac:dyDescent="0.3">
      <c r="A298" s="98"/>
      <c r="B298" s="99"/>
      <c r="C298" s="98"/>
      <c r="D298" s="100"/>
      <c r="E298" s="98"/>
      <c r="F298" s="98"/>
      <c r="G298" s="98"/>
      <c r="H298" s="98"/>
      <c r="I298" s="100"/>
      <c r="J298" s="100"/>
      <c r="K298" s="101"/>
      <c r="L298" s="100"/>
      <c r="M298" s="87"/>
      <c r="N298" s="87"/>
      <c r="O298" s="87"/>
      <c r="P298" s="87"/>
      <c r="Q298" s="87"/>
      <c r="R298" s="87"/>
      <c r="S298" s="87"/>
      <c r="T298" s="87"/>
    </row>
    <row r="299" spans="1:20" ht="16.5" x14ac:dyDescent="0.3">
      <c r="A299" s="98"/>
      <c r="B299" s="99"/>
      <c r="C299" s="98"/>
      <c r="D299" s="100"/>
      <c r="E299" s="98"/>
      <c r="F299" s="98"/>
      <c r="G299" s="98"/>
      <c r="H299" s="98"/>
      <c r="I299" s="100"/>
      <c r="J299" s="100"/>
      <c r="K299" s="101"/>
      <c r="L299" s="100"/>
      <c r="M299" s="87"/>
      <c r="N299" s="87"/>
      <c r="O299" s="87"/>
      <c r="P299" s="87"/>
      <c r="Q299" s="87"/>
      <c r="R299" s="87"/>
      <c r="S299" s="87"/>
      <c r="T299" s="87"/>
    </row>
    <row r="300" spans="1:20" ht="16.5" x14ac:dyDescent="0.3">
      <c r="A300" s="98"/>
      <c r="B300" s="99"/>
      <c r="C300" s="98"/>
      <c r="D300" s="100"/>
      <c r="E300" s="98"/>
      <c r="F300" s="98"/>
      <c r="G300" s="98"/>
      <c r="H300" s="98"/>
      <c r="I300" s="100"/>
      <c r="J300" s="100"/>
      <c r="K300" s="101"/>
      <c r="L300" s="100"/>
      <c r="M300" s="87"/>
      <c r="N300" s="87"/>
      <c r="O300" s="87"/>
      <c r="P300" s="87"/>
      <c r="Q300" s="87"/>
      <c r="R300" s="87"/>
      <c r="S300" s="87"/>
      <c r="T300" s="87"/>
    </row>
    <row r="301" spans="1:20" ht="16.5" x14ac:dyDescent="0.3">
      <c r="A301" s="98"/>
      <c r="B301" s="99"/>
      <c r="C301" s="98"/>
      <c r="D301" s="100"/>
      <c r="E301" s="98"/>
      <c r="F301" s="98"/>
      <c r="G301" s="98"/>
      <c r="H301" s="98"/>
      <c r="I301" s="100"/>
      <c r="J301" s="100"/>
      <c r="K301" s="101"/>
      <c r="L301" s="100"/>
      <c r="M301" s="87"/>
      <c r="N301" s="87"/>
      <c r="O301" s="87"/>
      <c r="P301" s="87"/>
      <c r="Q301" s="87"/>
      <c r="R301" s="87"/>
      <c r="S301" s="87"/>
      <c r="T301" s="87"/>
    </row>
    <row r="302" spans="1:20" ht="16.5" x14ac:dyDescent="0.3">
      <c r="A302" s="98"/>
      <c r="B302" s="99"/>
      <c r="C302" s="98"/>
      <c r="D302" s="100"/>
      <c r="E302" s="98"/>
      <c r="F302" s="98"/>
      <c r="G302" s="98"/>
      <c r="H302" s="98"/>
      <c r="I302" s="100"/>
      <c r="J302" s="100"/>
      <c r="K302" s="101"/>
      <c r="L302" s="100"/>
      <c r="M302" s="87"/>
      <c r="N302" s="87"/>
      <c r="O302" s="87"/>
      <c r="P302" s="87"/>
      <c r="Q302" s="87"/>
      <c r="R302" s="87"/>
      <c r="S302" s="87"/>
      <c r="T302" s="87"/>
    </row>
    <row r="303" spans="1:20" ht="16.5" x14ac:dyDescent="0.3">
      <c r="A303" s="98"/>
      <c r="B303" s="99"/>
      <c r="C303" s="98"/>
      <c r="D303" s="100"/>
      <c r="E303" s="98"/>
      <c r="F303" s="98"/>
      <c r="G303" s="98"/>
      <c r="H303" s="98"/>
      <c r="I303" s="100"/>
      <c r="J303" s="100"/>
      <c r="K303" s="101"/>
      <c r="L303" s="100"/>
      <c r="M303" s="87"/>
      <c r="N303" s="87"/>
      <c r="O303" s="87"/>
      <c r="P303" s="87"/>
      <c r="Q303" s="87"/>
      <c r="R303" s="87"/>
      <c r="S303" s="87"/>
      <c r="T303" s="87"/>
    </row>
    <row r="304" spans="1:20" ht="16.5" x14ac:dyDescent="0.3">
      <c r="A304" s="98"/>
      <c r="B304" s="99"/>
      <c r="C304" s="98"/>
      <c r="D304" s="100"/>
      <c r="E304" s="98"/>
      <c r="F304" s="98"/>
      <c r="G304" s="98"/>
      <c r="H304" s="98"/>
      <c r="I304" s="100"/>
      <c r="J304" s="100"/>
      <c r="K304" s="101"/>
      <c r="L304" s="100"/>
      <c r="M304" s="87"/>
      <c r="N304" s="87"/>
      <c r="O304" s="87"/>
      <c r="P304" s="87"/>
      <c r="Q304" s="87"/>
      <c r="R304" s="87"/>
      <c r="S304" s="87"/>
      <c r="T304" s="87"/>
    </row>
    <row r="305" spans="1:20" ht="16.5" x14ac:dyDescent="0.3">
      <c r="A305" s="98"/>
      <c r="B305" s="99"/>
      <c r="C305" s="98"/>
      <c r="D305" s="100"/>
      <c r="E305" s="98"/>
      <c r="F305" s="98"/>
      <c r="G305" s="98"/>
      <c r="H305" s="98"/>
      <c r="I305" s="100"/>
      <c r="J305" s="100"/>
      <c r="K305" s="101"/>
      <c r="L305" s="100"/>
      <c r="M305" s="87"/>
      <c r="N305" s="87"/>
      <c r="O305" s="87"/>
      <c r="P305" s="87"/>
      <c r="Q305" s="87"/>
      <c r="R305" s="87"/>
      <c r="S305" s="87"/>
      <c r="T305" s="87"/>
    </row>
    <row r="306" spans="1:20" ht="16.5" x14ac:dyDescent="0.3">
      <c r="A306" s="98"/>
      <c r="B306" s="99"/>
      <c r="C306" s="98"/>
      <c r="D306" s="100"/>
      <c r="E306" s="98"/>
      <c r="F306" s="98"/>
      <c r="G306" s="98"/>
      <c r="H306" s="98"/>
      <c r="I306" s="100"/>
      <c r="J306" s="100"/>
      <c r="K306" s="101"/>
      <c r="L306" s="100"/>
      <c r="M306" s="87"/>
      <c r="N306" s="87"/>
      <c r="O306" s="87"/>
      <c r="P306" s="87"/>
      <c r="Q306" s="87"/>
      <c r="R306" s="87"/>
      <c r="S306" s="87"/>
      <c r="T306" s="87"/>
    </row>
    <row r="307" spans="1:20" ht="16.5" x14ac:dyDescent="0.3">
      <c r="A307" s="98"/>
      <c r="B307" s="99"/>
      <c r="C307" s="98"/>
      <c r="D307" s="100"/>
      <c r="E307" s="98"/>
      <c r="F307" s="98"/>
      <c r="G307" s="98"/>
      <c r="H307" s="98"/>
      <c r="I307" s="100"/>
      <c r="J307" s="100"/>
      <c r="K307" s="101"/>
      <c r="L307" s="100"/>
      <c r="M307" s="87"/>
      <c r="N307" s="87"/>
      <c r="O307" s="87"/>
      <c r="P307" s="87"/>
      <c r="Q307" s="87"/>
      <c r="R307" s="87"/>
      <c r="S307" s="87"/>
      <c r="T307" s="87"/>
    </row>
    <row r="308" spans="1:20" ht="16.5" x14ac:dyDescent="0.3">
      <c r="A308" s="98"/>
      <c r="B308" s="99"/>
      <c r="C308" s="98"/>
      <c r="D308" s="100"/>
      <c r="E308" s="98"/>
      <c r="F308" s="98"/>
      <c r="G308" s="98"/>
      <c r="H308" s="98"/>
      <c r="I308" s="100"/>
      <c r="J308" s="100"/>
      <c r="K308" s="101"/>
      <c r="L308" s="100"/>
      <c r="M308" s="87"/>
      <c r="N308" s="87"/>
      <c r="O308" s="87"/>
      <c r="P308" s="87"/>
      <c r="Q308" s="87"/>
      <c r="R308" s="87"/>
      <c r="S308" s="87"/>
      <c r="T308" s="87"/>
    </row>
    <row r="309" spans="1:20" ht="16.5" x14ac:dyDescent="0.3">
      <c r="A309" s="98"/>
      <c r="B309" s="99"/>
      <c r="C309" s="98"/>
      <c r="D309" s="100"/>
      <c r="E309" s="98"/>
      <c r="F309" s="98"/>
      <c r="G309" s="98"/>
      <c r="H309" s="98"/>
      <c r="I309" s="100"/>
      <c r="J309" s="100"/>
      <c r="K309" s="101"/>
      <c r="L309" s="100"/>
      <c r="M309" s="87"/>
      <c r="N309" s="87"/>
      <c r="O309" s="87"/>
      <c r="P309" s="87"/>
      <c r="Q309" s="87"/>
      <c r="R309" s="87"/>
      <c r="S309" s="87"/>
      <c r="T309" s="87"/>
    </row>
    <row r="310" spans="1:20" ht="16.5" x14ac:dyDescent="0.3">
      <c r="A310" s="98"/>
      <c r="B310" s="99"/>
      <c r="C310" s="98"/>
      <c r="D310" s="100"/>
      <c r="E310" s="98"/>
      <c r="F310" s="98"/>
      <c r="G310" s="98"/>
      <c r="H310" s="98"/>
      <c r="I310" s="100"/>
      <c r="J310" s="100"/>
      <c r="K310" s="101"/>
      <c r="L310" s="100"/>
      <c r="M310" s="87"/>
      <c r="N310" s="87"/>
      <c r="O310" s="87"/>
      <c r="P310" s="87"/>
      <c r="Q310" s="87"/>
      <c r="R310" s="87"/>
      <c r="S310" s="87"/>
      <c r="T310" s="87"/>
    </row>
    <row r="311" spans="1:20" ht="16.5" x14ac:dyDescent="0.3">
      <c r="A311" s="98"/>
      <c r="B311" s="99"/>
      <c r="C311" s="98"/>
      <c r="D311" s="100"/>
      <c r="E311" s="98"/>
      <c r="F311" s="98"/>
      <c r="G311" s="98"/>
      <c r="H311" s="98"/>
      <c r="I311" s="100"/>
      <c r="J311" s="100"/>
      <c r="K311" s="101"/>
      <c r="L311" s="100"/>
      <c r="M311" s="87"/>
      <c r="N311" s="87"/>
      <c r="O311" s="87"/>
      <c r="P311" s="87"/>
      <c r="Q311" s="87"/>
      <c r="R311" s="87"/>
      <c r="S311" s="87"/>
      <c r="T311" s="87"/>
    </row>
    <row r="312" spans="1:20" ht="16.5" x14ac:dyDescent="0.3">
      <c r="A312" s="98"/>
      <c r="B312" s="99"/>
      <c r="C312" s="98"/>
      <c r="D312" s="100"/>
      <c r="E312" s="98"/>
      <c r="F312" s="98"/>
      <c r="G312" s="98"/>
      <c r="H312" s="98"/>
      <c r="I312" s="100"/>
      <c r="J312" s="100"/>
      <c r="K312" s="101"/>
      <c r="L312" s="100"/>
      <c r="M312" s="87"/>
      <c r="N312" s="87"/>
      <c r="O312" s="87"/>
      <c r="P312" s="87"/>
      <c r="Q312" s="87"/>
      <c r="R312" s="87"/>
      <c r="S312" s="87"/>
      <c r="T312" s="87"/>
    </row>
    <row r="313" spans="1:20" ht="16.5" x14ac:dyDescent="0.3">
      <c r="A313" s="98"/>
      <c r="B313" s="99"/>
      <c r="C313" s="98"/>
      <c r="D313" s="100"/>
      <c r="E313" s="98"/>
      <c r="F313" s="98"/>
      <c r="G313" s="98"/>
      <c r="H313" s="98"/>
      <c r="I313" s="100"/>
      <c r="J313" s="100"/>
      <c r="K313" s="101"/>
      <c r="L313" s="100"/>
      <c r="M313" s="87"/>
      <c r="N313" s="87"/>
      <c r="O313" s="87"/>
      <c r="P313" s="87"/>
      <c r="Q313" s="87"/>
      <c r="R313" s="87"/>
      <c r="S313" s="87"/>
      <c r="T313" s="87"/>
    </row>
    <row r="314" spans="1:20" ht="16.5" x14ac:dyDescent="0.3">
      <c r="A314" s="98"/>
      <c r="B314" s="99"/>
      <c r="C314" s="98"/>
      <c r="D314" s="100"/>
      <c r="E314" s="98"/>
      <c r="F314" s="98"/>
      <c r="G314" s="98"/>
      <c r="H314" s="98"/>
      <c r="I314" s="100"/>
      <c r="J314" s="100"/>
      <c r="K314" s="101"/>
      <c r="L314" s="100"/>
      <c r="M314" s="87"/>
      <c r="N314" s="87"/>
      <c r="O314" s="87"/>
      <c r="P314" s="87"/>
      <c r="Q314" s="87"/>
      <c r="R314" s="87"/>
      <c r="S314" s="87"/>
      <c r="T314" s="87"/>
    </row>
    <row r="315" spans="1:20" ht="16.5" x14ac:dyDescent="0.3">
      <c r="A315" s="98"/>
      <c r="B315" s="99"/>
      <c r="C315" s="98"/>
      <c r="D315" s="100"/>
      <c r="E315" s="98"/>
      <c r="F315" s="98"/>
      <c r="G315" s="98"/>
      <c r="H315" s="98"/>
      <c r="I315" s="100"/>
      <c r="J315" s="100"/>
      <c r="K315" s="101"/>
      <c r="L315" s="100"/>
      <c r="M315" s="87"/>
      <c r="N315" s="87"/>
      <c r="O315" s="87"/>
      <c r="P315" s="87"/>
      <c r="Q315" s="87"/>
      <c r="R315" s="87"/>
      <c r="S315" s="87"/>
      <c r="T315" s="87"/>
    </row>
    <row r="316" spans="1:20" ht="16.5" x14ac:dyDescent="0.3">
      <c r="A316" s="98"/>
      <c r="B316" s="99"/>
      <c r="C316" s="98"/>
      <c r="D316" s="100"/>
      <c r="E316" s="98"/>
      <c r="F316" s="98"/>
      <c r="G316" s="98"/>
      <c r="H316" s="98"/>
      <c r="I316" s="100"/>
      <c r="J316" s="100"/>
      <c r="K316" s="101"/>
      <c r="L316" s="100"/>
      <c r="M316" s="87"/>
      <c r="N316" s="87"/>
      <c r="O316" s="87"/>
      <c r="P316" s="87"/>
      <c r="Q316" s="87"/>
      <c r="R316" s="87"/>
      <c r="S316" s="87"/>
      <c r="T316" s="87"/>
    </row>
    <row r="317" spans="1:20" ht="16.5" x14ac:dyDescent="0.3">
      <c r="A317" s="98"/>
      <c r="B317" s="99"/>
      <c r="C317" s="98"/>
      <c r="D317" s="100"/>
      <c r="E317" s="98"/>
      <c r="F317" s="98"/>
      <c r="G317" s="98"/>
      <c r="H317" s="98"/>
      <c r="I317" s="100"/>
      <c r="J317" s="100"/>
      <c r="K317" s="101"/>
      <c r="L317" s="100"/>
      <c r="M317" s="87"/>
      <c r="N317" s="87"/>
      <c r="O317" s="87"/>
      <c r="P317" s="87"/>
      <c r="Q317" s="87"/>
      <c r="R317" s="87"/>
      <c r="S317" s="87"/>
      <c r="T317" s="87"/>
    </row>
    <row r="318" spans="1:20" ht="16.5" x14ac:dyDescent="0.3">
      <c r="A318" s="98"/>
      <c r="B318" s="99"/>
      <c r="C318" s="98"/>
      <c r="D318" s="100"/>
      <c r="E318" s="98"/>
      <c r="F318" s="98"/>
      <c r="G318" s="98"/>
      <c r="H318" s="98"/>
      <c r="I318" s="100"/>
      <c r="J318" s="100"/>
      <c r="K318" s="101"/>
      <c r="L318" s="100"/>
      <c r="M318" s="87"/>
      <c r="N318" s="87"/>
      <c r="O318" s="87"/>
      <c r="P318" s="87"/>
      <c r="Q318" s="87"/>
      <c r="R318" s="87"/>
      <c r="S318" s="87"/>
      <c r="T318" s="87"/>
    </row>
    <row r="319" spans="1:20" ht="16.5" x14ac:dyDescent="0.3">
      <c r="A319" s="98"/>
      <c r="B319" s="99"/>
      <c r="C319" s="98"/>
      <c r="D319" s="100"/>
      <c r="E319" s="98"/>
      <c r="F319" s="98"/>
      <c r="G319" s="98"/>
      <c r="H319" s="98"/>
      <c r="I319" s="100"/>
      <c r="J319" s="100"/>
      <c r="K319" s="101"/>
      <c r="L319" s="100"/>
      <c r="M319" s="87"/>
      <c r="N319" s="87"/>
      <c r="O319" s="87"/>
      <c r="P319" s="87"/>
      <c r="Q319" s="87"/>
      <c r="R319" s="87"/>
      <c r="S319" s="87"/>
      <c r="T319" s="87"/>
    </row>
    <row r="320" spans="1:20" ht="16.5" x14ac:dyDescent="0.3">
      <c r="A320" s="98"/>
      <c r="B320" s="99"/>
      <c r="C320" s="98"/>
      <c r="D320" s="100"/>
      <c r="E320" s="98"/>
      <c r="F320" s="98"/>
      <c r="G320" s="98"/>
      <c r="H320" s="98"/>
      <c r="I320" s="100"/>
      <c r="J320" s="100"/>
      <c r="K320" s="101"/>
      <c r="L320" s="100"/>
      <c r="M320" s="87"/>
      <c r="N320" s="87"/>
      <c r="O320" s="87"/>
      <c r="P320" s="87"/>
      <c r="Q320" s="87"/>
      <c r="R320" s="87"/>
      <c r="S320" s="87"/>
      <c r="T320" s="87"/>
    </row>
    <row r="321" spans="1:20" ht="16.5" x14ac:dyDescent="0.3">
      <c r="A321" s="98"/>
      <c r="B321" s="99"/>
      <c r="C321" s="98"/>
      <c r="D321" s="100"/>
      <c r="E321" s="98"/>
      <c r="F321" s="98"/>
      <c r="G321" s="98"/>
      <c r="H321" s="98"/>
      <c r="I321" s="100"/>
      <c r="J321" s="100"/>
      <c r="K321" s="101"/>
      <c r="L321" s="100"/>
      <c r="M321" s="87"/>
      <c r="N321" s="87"/>
      <c r="O321" s="87"/>
      <c r="P321" s="87"/>
      <c r="Q321" s="87"/>
      <c r="R321" s="87"/>
      <c r="S321" s="87"/>
      <c r="T321" s="87"/>
    </row>
    <row r="322" spans="1:20" ht="16.5" x14ac:dyDescent="0.3">
      <c r="A322" s="98"/>
      <c r="B322" s="99"/>
      <c r="C322" s="98"/>
      <c r="D322" s="100"/>
      <c r="E322" s="98"/>
      <c r="F322" s="98"/>
      <c r="G322" s="98"/>
      <c r="H322" s="98"/>
      <c r="I322" s="100"/>
      <c r="J322" s="100"/>
      <c r="K322" s="101"/>
      <c r="L322" s="100"/>
      <c r="M322" s="87"/>
      <c r="N322" s="87"/>
      <c r="O322" s="87"/>
      <c r="P322" s="87"/>
      <c r="Q322" s="87"/>
      <c r="R322" s="87"/>
      <c r="S322" s="87"/>
      <c r="T322" s="87"/>
    </row>
    <row r="323" spans="1:20" ht="16.5" x14ac:dyDescent="0.3">
      <c r="A323" s="98"/>
      <c r="B323" s="99"/>
      <c r="C323" s="98"/>
      <c r="D323" s="100"/>
      <c r="E323" s="98"/>
      <c r="F323" s="98"/>
      <c r="G323" s="98"/>
      <c r="H323" s="98"/>
      <c r="I323" s="100"/>
      <c r="J323" s="100"/>
      <c r="K323" s="101"/>
      <c r="L323" s="100"/>
      <c r="M323" s="87"/>
      <c r="N323" s="87"/>
      <c r="O323" s="87"/>
      <c r="P323" s="87"/>
      <c r="Q323" s="87"/>
      <c r="R323" s="87"/>
      <c r="S323" s="87"/>
      <c r="T323" s="87"/>
    </row>
    <row r="324" spans="1:20" ht="16.5" x14ac:dyDescent="0.3">
      <c r="A324" s="98"/>
      <c r="B324" s="99"/>
      <c r="C324" s="98"/>
      <c r="D324" s="100"/>
      <c r="E324" s="98"/>
      <c r="F324" s="98"/>
      <c r="G324" s="98"/>
      <c r="H324" s="98"/>
      <c r="I324" s="100"/>
      <c r="J324" s="100"/>
      <c r="K324" s="101"/>
      <c r="L324" s="100"/>
      <c r="M324" s="87"/>
      <c r="N324" s="87"/>
      <c r="O324" s="87"/>
      <c r="P324" s="87"/>
      <c r="Q324" s="87"/>
      <c r="R324" s="87"/>
      <c r="S324" s="87"/>
      <c r="T324" s="87"/>
    </row>
    <row r="325" spans="1:20" ht="16.5" x14ac:dyDescent="0.3">
      <c r="A325" s="98"/>
      <c r="B325" s="99"/>
      <c r="C325" s="98"/>
      <c r="D325" s="100"/>
      <c r="E325" s="98"/>
      <c r="F325" s="98"/>
      <c r="G325" s="98"/>
      <c r="H325" s="98"/>
      <c r="I325" s="100"/>
      <c r="J325" s="100"/>
      <c r="K325" s="101"/>
      <c r="L325" s="100"/>
      <c r="M325" s="87"/>
      <c r="N325" s="87"/>
      <c r="O325" s="87"/>
      <c r="P325" s="87"/>
      <c r="Q325" s="87"/>
      <c r="R325" s="87"/>
      <c r="S325" s="87"/>
      <c r="T325" s="87"/>
    </row>
    <row r="326" spans="1:20" ht="16.5" x14ac:dyDescent="0.3">
      <c r="A326" s="98"/>
      <c r="B326" s="99"/>
      <c r="C326" s="98"/>
      <c r="D326" s="100"/>
      <c r="E326" s="98"/>
      <c r="F326" s="98"/>
      <c r="G326" s="98"/>
      <c r="H326" s="98"/>
      <c r="I326" s="100"/>
      <c r="J326" s="100"/>
      <c r="K326" s="101"/>
      <c r="L326" s="100"/>
      <c r="M326" s="87"/>
      <c r="N326" s="87"/>
      <c r="O326" s="87"/>
      <c r="P326" s="87"/>
      <c r="Q326" s="87"/>
      <c r="R326" s="87"/>
      <c r="S326" s="87"/>
      <c r="T326" s="87"/>
    </row>
    <row r="327" spans="1:20" ht="16.5" x14ac:dyDescent="0.3">
      <c r="A327" s="98"/>
      <c r="B327" s="99"/>
      <c r="C327" s="98"/>
      <c r="D327" s="100"/>
      <c r="E327" s="98"/>
      <c r="F327" s="98"/>
      <c r="G327" s="98"/>
      <c r="H327" s="98"/>
      <c r="I327" s="100"/>
      <c r="J327" s="100"/>
      <c r="K327" s="101"/>
      <c r="L327" s="100"/>
      <c r="M327" s="87"/>
      <c r="N327" s="87"/>
      <c r="O327" s="87"/>
      <c r="P327" s="87"/>
      <c r="Q327" s="87"/>
      <c r="R327" s="87"/>
      <c r="S327" s="87"/>
      <c r="T327" s="87"/>
    </row>
    <row r="328" spans="1:20" ht="16.5" x14ac:dyDescent="0.3">
      <c r="A328" s="98"/>
      <c r="B328" s="99"/>
      <c r="C328" s="98"/>
      <c r="D328" s="100"/>
      <c r="E328" s="98"/>
      <c r="F328" s="98"/>
      <c r="G328" s="98"/>
      <c r="H328" s="98"/>
      <c r="I328" s="100"/>
      <c r="J328" s="100"/>
      <c r="K328" s="101"/>
      <c r="L328" s="100"/>
      <c r="M328" s="87"/>
      <c r="N328" s="87"/>
      <c r="O328" s="87"/>
      <c r="P328" s="87"/>
      <c r="Q328" s="87"/>
      <c r="R328" s="87"/>
      <c r="S328" s="87"/>
      <c r="T328" s="87"/>
    </row>
    <row r="329" spans="1:20" ht="16.5" x14ac:dyDescent="0.3">
      <c r="A329" s="98"/>
      <c r="B329" s="99"/>
      <c r="C329" s="98"/>
      <c r="D329" s="100"/>
      <c r="E329" s="98"/>
      <c r="F329" s="98"/>
      <c r="G329" s="98"/>
      <c r="H329" s="98"/>
      <c r="I329" s="100"/>
      <c r="J329" s="100"/>
      <c r="K329" s="101"/>
      <c r="L329" s="100"/>
      <c r="M329" s="87"/>
      <c r="N329" s="87"/>
      <c r="O329" s="87"/>
      <c r="P329" s="87"/>
      <c r="Q329" s="87"/>
      <c r="R329" s="87"/>
      <c r="S329" s="87"/>
      <c r="T329" s="87"/>
    </row>
    <row r="330" spans="1:20" ht="16.5" x14ac:dyDescent="0.3">
      <c r="A330" s="98"/>
      <c r="B330" s="99"/>
      <c r="C330" s="98"/>
      <c r="D330" s="100"/>
      <c r="E330" s="98"/>
      <c r="F330" s="98"/>
      <c r="G330" s="98"/>
      <c r="H330" s="98"/>
      <c r="I330" s="100"/>
      <c r="J330" s="100"/>
      <c r="K330" s="101"/>
      <c r="L330" s="100"/>
      <c r="M330" s="87"/>
      <c r="N330" s="87"/>
      <c r="O330" s="87"/>
      <c r="P330" s="87"/>
      <c r="Q330" s="87"/>
      <c r="R330" s="87"/>
      <c r="S330" s="87"/>
      <c r="T330" s="87"/>
    </row>
    <row r="331" spans="1:20" ht="16.5" x14ac:dyDescent="0.3">
      <c r="A331" s="98"/>
      <c r="B331" s="99"/>
      <c r="C331" s="98"/>
      <c r="D331" s="100"/>
      <c r="E331" s="98"/>
      <c r="F331" s="98"/>
      <c r="G331" s="98"/>
      <c r="H331" s="98"/>
      <c r="I331" s="100"/>
      <c r="J331" s="100"/>
      <c r="K331" s="101"/>
      <c r="L331" s="100"/>
      <c r="M331" s="87"/>
      <c r="N331" s="87"/>
      <c r="O331" s="87"/>
      <c r="P331" s="87"/>
      <c r="Q331" s="87"/>
      <c r="R331" s="87"/>
      <c r="S331" s="87"/>
      <c r="T331" s="87"/>
    </row>
    <row r="332" spans="1:20" ht="16.5" x14ac:dyDescent="0.3">
      <c r="A332" s="98"/>
      <c r="B332" s="99"/>
      <c r="C332" s="98"/>
      <c r="D332" s="100"/>
      <c r="E332" s="98"/>
      <c r="F332" s="98"/>
      <c r="G332" s="98"/>
      <c r="H332" s="98"/>
      <c r="I332" s="100"/>
      <c r="J332" s="100"/>
      <c r="K332" s="101"/>
      <c r="L332" s="100"/>
      <c r="M332" s="87"/>
      <c r="N332" s="87"/>
      <c r="O332" s="87"/>
      <c r="P332" s="87"/>
      <c r="Q332" s="87"/>
      <c r="R332" s="87"/>
      <c r="S332" s="87"/>
      <c r="T332" s="87"/>
    </row>
    <row r="333" spans="1:20" ht="16.5" x14ac:dyDescent="0.3">
      <c r="A333" s="98"/>
      <c r="B333" s="99"/>
      <c r="C333" s="98"/>
      <c r="D333" s="100"/>
      <c r="E333" s="98"/>
      <c r="F333" s="98"/>
      <c r="G333" s="98"/>
      <c r="H333" s="98"/>
      <c r="I333" s="100"/>
      <c r="J333" s="100"/>
      <c r="K333" s="101"/>
      <c r="L333" s="100"/>
      <c r="M333" s="87"/>
      <c r="N333" s="87"/>
      <c r="O333" s="87"/>
      <c r="P333" s="87"/>
      <c r="Q333" s="87"/>
      <c r="R333" s="87"/>
      <c r="S333" s="87"/>
      <c r="T333" s="87"/>
    </row>
    <row r="334" spans="1:20" ht="16.5" x14ac:dyDescent="0.3">
      <c r="A334" s="98"/>
      <c r="B334" s="99"/>
      <c r="C334" s="98"/>
      <c r="D334" s="100"/>
      <c r="E334" s="98"/>
      <c r="F334" s="98"/>
      <c r="G334" s="98"/>
      <c r="H334" s="98"/>
      <c r="I334" s="100"/>
      <c r="J334" s="100"/>
      <c r="K334" s="101"/>
      <c r="L334" s="100"/>
      <c r="M334" s="87"/>
      <c r="N334" s="87"/>
      <c r="O334" s="87"/>
      <c r="P334" s="87"/>
      <c r="Q334" s="87"/>
      <c r="R334" s="87"/>
      <c r="S334" s="87"/>
      <c r="T334" s="87"/>
    </row>
    <row r="335" spans="1:20" ht="16.5" x14ac:dyDescent="0.3">
      <c r="A335" s="98"/>
      <c r="B335" s="99"/>
      <c r="C335" s="98"/>
      <c r="D335" s="100"/>
      <c r="E335" s="98"/>
      <c r="F335" s="98"/>
      <c r="G335" s="98"/>
      <c r="H335" s="98"/>
      <c r="I335" s="100"/>
      <c r="J335" s="100"/>
      <c r="K335" s="101"/>
      <c r="L335" s="100"/>
      <c r="M335" s="87"/>
      <c r="N335" s="87"/>
      <c r="O335" s="87"/>
      <c r="P335" s="87"/>
      <c r="Q335" s="87"/>
      <c r="R335" s="87"/>
      <c r="S335" s="87"/>
      <c r="T335" s="87"/>
    </row>
    <row r="336" spans="1:20" ht="16.5" x14ac:dyDescent="0.3">
      <c r="A336" s="98"/>
      <c r="B336" s="99"/>
      <c r="C336" s="98"/>
      <c r="D336" s="100"/>
      <c r="E336" s="98"/>
      <c r="F336" s="98"/>
      <c r="G336" s="98"/>
      <c r="H336" s="98"/>
      <c r="I336" s="100"/>
      <c r="J336" s="100"/>
      <c r="K336" s="101"/>
      <c r="L336" s="100"/>
      <c r="M336" s="87"/>
      <c r="N336" s="87"/>
      <c r="O336" s="87"/>
      <c r="P336" s="87"/>
      <c r="Q336" s="87"/>
      <c r="R336" s="87"/>
      <c r="S336" s="87"/>
      <c r="T336" s="87"/>
    </row>
    <row r="337" spans="1:20" ht="16.5" x14ac:dyDescent="0.3">
      <c r="A337" s="98"/>
      <c r="B337" s="99"/>
      <c r="C337" s="98"/>
      <c r="D337" s="100"/>
      <c r="E337" s="98"/>
      <c r="F337" s="98"/>
      <c r="G337" s="98"/>
      <c r="H337" s="98"/>
      <c r="I337" s="100"/>
      <c r="J337" s="100"/>
      <c r="K337" s="101"/>
      <c r="L337" s="100"/>
      <c r="M337" s="87"/>
      <c r="N337" s="87"/>
      <c r="O337" s="87"/>
      <c r="P337" s="87"/>
      <c r="Q337" s="87"/>
      <c r="R337" s="87"/>
      <c r="S337" s="87"/>
      <c r="T337" s="87"/>
    </row>
    <row r="338" spans="1:20" ht="16.5" x14ac:dyDescent="0.3">
      <c r="A338" s="98"/>
      <c r="B338" s="99"/>
      <c r="C338" s="98"/>
      <c r="D338" s="100"/>
      <c r="E338" s="98"/>
      <c r="F338" s="98"/>
      <c r="G338" s="98"/>
      <c r="H338" s="98"/>
      <c r="I338" s="100"/>
      <c r="J338" s="100"/>
      <c r="K338" s="101"/>
      <c r="L338" s="100"/>
      <c r="M338" s="87"/>
      <c r="N338" s="87"/>
      <c r="O338" s="87"/>
      <c r="P338" s="87"/>
      <c r="Q338" s="87"/>
      <c r="R338" s="87"/>
      <c r="S338" s="87"/>
      <c r="T338" s="87"/>
    </row>
    <row r="339" spans="1:20" ht="16.5" x14ac:dyDescent="0.3">
      <c r="A339" s="98"/>
      <c r="B339" s="99"/>
      <c r="C339" s="98"/>
      <c r="D339" s="100"/>
      <c r="E339" s="98"/>
      <c r="F339" s="98"/>
      <c r="G339" s="98"/>
      <c r="H339" s="98"/>
      <c r="I339" s="100"/>
      <c r="J339" s="100"/>
      <c r="K339" s="101"/>
      <c r="L339" s="100"/>
      <c r="M339" s="87"/>
      <c r="N339" s="87"/>
      <c r="O339" s="87"/>
      <c r="P339" s="87"/>
      <c r="Q339" s="87"/>
      <c r="R339" s="87"/>
      <c r="S339" s="87"/>
      <c r="T339" s="87"/>
    </row>
    <row r="340" spans="1:20" ht="16.5" x14ac:dyDescent="0.3">
      <c r="A340" s="98"/>
      <c r="B340" s="99"/>
      <c r="C340" s="98"/>
      <c r="D340" s="100"/>
      <c r="E340" s="98"/>
      <c r="F340" s="98"/>
      <c r="G340" s="98"/>
      <c r="H340" s="98"/>
      <c r="I340" s="100"/>
      <c r="J340" s="100"/>
      <c r="K340" s="101"/>
      <c r="L340" s="100"/>
      <c r="M340" s="87"/>
      <c r="N340" s="87"/>
      <c r="O340" s="87"/>
      <c r="P340" s="87"/>
      <c r="Q340" s="87"/>
      <c r="R340" s="87"/>
      <c r="S340" s="87"/>
      <c r="T340" s="87"/>
    </row>
    <row r="341" spans="1:20" ht="16.5" x14ac:dyDescent="0.3">
      <c r="A341" s="98"/>
      <c r="B341" s="99"/>
      <c r="C341" s="98"/>
      <c r="D341" s="100"/>
      <c r="E341" s="98"/>
      <c r="F341" s="98"/>
      <c r="G341" s="98"/>
      <c r="H341" s="98"/>
      <c r="I341" s="100"/>
      <c r="J341" s="100"/>
      <c r="K341" s="101"/>
      <c r="L341" s="100"/>
      <c r="M341" s="87"/>
      <c r="N341" s="87"/>
      <c r="O341" s="87"/>
      <c r="P341" s="87"/>
      <c r="Q341" s="87"/>
      <c r="R341" s="87"/>
      <c r="S341" s="87"/>
      <c r="T341" s="87"/>
    </row>
    <row r="342" spans="1:20" ht="16.5" x14ac:dyDescent="0.3">
      <c r="A342" s="98"/>
      <c r="B342" s="99"/>
      <c r="C342" s="98"/>
      <c r="D342" s="100"/>
      <c r="E342" s="98"/>
      <c r="F342" s="98"/>
      <c r="G342" s="98"/>
      <c r="H342" s="98"/>
      <c r="I342" s="100"/>
      <c r="J342" s="100"/>
      <c r="K342" s="101"/>
      <c r="L342" s="100"/>
      <c r="M342" s="87"/>
      <c r="N342" s="87"/>
      <c r="O342" s="87"/>
      <c r="P342" s="87"/>
      <c r="Q342" s="87"/>
      <c r="R342" s="87"/>
      <c r="S342" s="87"/>
      <c r="T342" s="87"/>
    </row>
    <row r="343" spans="1:20" ht="16.5" x14ac:dyDescent="0.3">
      <c r="A343" s="98"/>
      <c r="B343" s="99"/>
      <c r="C343" s="98"/>
      <c r="D343" s="100"/>
      <c r="E343" s="98"/>
      <c r="F343" s="98"/>
      <c r="G343" s="98"/>
      <c r="H343" s="98"/>
      <c r="I343" s="100"/>
      <c r="J343" s="100"/>
      <c r="K343" s="101"/>
      <c r="L343" s="100"/>
      <c r="M343" s="87"/>
      <c r="N343" s="87"/>
      <c r="O343" s="87"/>
      <c r="P343" s="87"/>
      <c r="Q343" s="87"/>
      <c r="R343" s="87"/>
      <c r="S343" s="87"/>
      <c r="T343" s="87"/>
    </row>
    <row r="344" spans="1:20" ht="16.5" x14ac:dyDescent="0.3">
      <c r="A344" s="98"/>
      <c r="B344" s="99"/>
      <c r="C344" s="98"/>
      <c r="D344" s="100"/>
      <c r="E344" s="98"/>
      <c r="F344" s="98"/>
      <c r="G344" s="98"/>
      <c r="H344" s="98"/>
      <c r="I344" s="100"/>
      <c r="J344" s="100"/>
      <c r="K344" s="101"/>
      <c r="L344" s="100"/>
      <c r="M344" s="87"/>
      <c r="N344" s="87"/>
      <c r="O344" s="87"/>
      <c r="P344" s="87"/>
      <c r="Q344" s="87"/>
      <c r="R344" s="87"/>
      <c r="S344" s="87"/>
      <c r="T344" s="87"/>
    </row>
    <row r="345" spans="1:20" ht="16.5" x14ac:dyDescent="0.3">
      <c r="A345" s="98"/>
      <c r="B345" s="99"/>
      <c r="C345" s="98"/>
      <c r="D345" s="100"/>
      <c r="E345" s="98"/>
      <c r="F345" s="98"/>
      <c r="G345" s="98"/>
      <c r="H345" s="98"/>
      <c r="I345" s="100"/>
      <c r="J345" s="100"/>
      <c r="K345" s="101"/>
      <c r="L345" s="100"/>
      <c r="M345" s="87"/>
      <c r="N345" s="87"/>
      <c r="O345" s="87"/>
      <c r="P345" s="87"/>
      <c r="Q345" s="87"/>
      <c r="R345" s="87"/>
      <c r="S345" s="87"/>
      <c r="T345" s="87"/>
    </row>
    <row r="346" spans="1:20" ht="16.5" x14ac:dyDescent="0.3">
      <c r="A346" s="98"/>
      <c r="B346" s="99"/>
      <c r="C346" s="98"/>
      <c r="D346" s="100"/>
      <c r="E346" s="98"/>
      <c r="F346" s="98"/>
      <c r="G346" s="98"/>
      <c r="H346" s="98"/>
      <c r="I346" s="100"/>
      <c r="J346" s="100"/>
      <c r="K346" s="101"/>
      <c r="L346" s="100"/>
      <c r="M346" s="87"/>
      <c r="N346" s="87"/>
      <c r="O346" s="87"/>
      <c r="P346" s="87"/>
      <c r="Q346" s="87"/>
      <c r="R346" s="87"/>
      <c r="S346" s="87"/>
      <c r="T346" s="87"/>
    </row>
    <row r="347" spans="1:20" ht="16.5" x14ac:dyDescent="0.3">
      <c r="A347" s="98"/>
      <c r="B347" s="99"/>
      <c r="C347" s="98"/>
      <c r="D347" s="100"/>
      <c r="E347" s="98"/>
      <c r="F347" s="98"/>
      <c r="G347" s="98"/>
      <c r="H347" s="98"/>
      <c r="I347" s="100"/>
      <c r="J347" s="100"/>
      <c r="K347" s="101"/>
      <c r="L347" s="100"/>
      <c r="M347" s="87"/>
      <c r="N347" s="87"/>
      <c r="O347" s="87"/>
      <c r="P347" s="87"/>
      <c r="Q347" s="87"/>
      <c r="R347" s="87"/>
      <c r="S347" s="87"/>
      <c r="T347" s="87"/>
    </row>
    <row r="348" spans="1:20" ht="16.5" x14ac:dyDescent="0.3">
      <c r="A348" s="98"/>
      <c r="B348" s="99"/>
      <c r="C348" s="98"/>
      <c r="D348" s="100"/>
      <c r="E348" s="98"/>
      <c r="F348" s="98"/>
      <c r="G348" s="98"/>
      <c r="H348" s="98"/>
      <c r="I348" s="100"/>
      <c r="J348" s="100"/>
      <c r="K348" s="101"/>
      <c r="L348" s="100"/>
      <c r="M348" s="87"/>
      <c r="N348" s="87"/>
      <c r="O348" s="87"/>
      <c r="P348" s="87"/>
      <c r="Q348" s="87"/>
      <c r="R348" s="87"/>
      <c r="S348" s="87"/>
      <c r="T348" s="87"/>
    </row>
    <row r="349" spans="1:20" ht="16.5" x14ac:dyDescent="0.3">
      <c r="A349" s="98"/>
      <c r="B349" s="99"/>
      <c r="C349" s="98"/>
      <c r="D349" s="100"/>
      <c r="E349" s="98"/>
      <c r="F349" s="98"/>
      <c r="G349" s="98"/>
      <c r="H349" s="98"/>
      <c r="I349" s="100"/>
      <c r="J349" s="100"/>
      <c r="K349" s="101"/>
      <c r="L349" s="100"/>
      <c r="M349" s="87"/>
      <c r="N349" s="87"/>
      <c r="O349" s="87"/>
      <c r="P349" s="87"/>
      <c r="Q349" s="87"/>
      <c r="R349" s="87"/>
      <c r="S349" s="87"/>
      <c r="T349" s="87"/>
    </row>
    <row r="350" spans="1:20" ht="16.5" x14ac:dyDescent="0.3">
      <c r="A350" s="98"/>
      <c r="B350" s="99"/>
      <c r="C350" s="98"/>
      <c r="D350" s="100"/>
      <c r="E350" s="98"/>
      <c r="F350" s="98"/>
      <c r="G350" s="98"/>
      <c r="H350" s="98"/>
      <c r="I350" s="100"/>
      <c r="J350" s="100"/>
      <c r="K350" s="101"/>
      <c r="L350" s="100"/>
      <c r="M350" s="87"/>
      <c r="N350" s="87"/>
      <c r="O350" s="87"/>
      <c r="P350" s="87"/>
      <c r="Q350" s="87"/>
      <c r="R350" s="87"/>
      <c r="S350" s="87"/>
      <c r="T350" s="87"/>
    </row>
    <row r="351" spans="1:20" ht="16.5" x14ac:dyDescent="0.3">
      <c r="A351" s="98"/>
      <c r="B351" s="99"/>
      <c r="C351" s="98"/>
      <c r="D351" s="100"/>
      <c r="E351" s="98"/>
      <c r="F351" s="98"/>
      <c r="G351" s="98"/>
      <c r="H351" s="98"/>
      <c r="I351" s="100"/>
      <c r="J351" s="100"/>
      <c r="K351" s="101"/>
      <c r="L351" s="100"/>
      <c r="M351" s="87"/>
      <c r="N351" s="87"/>
      <c r="O351" s="87"/>
      <c r="P351" s="87"/>
      <c r="Q351" s="87"/>
      <c r="R351" s="87"/>
      <c r="S351" s="87"/>
      <c r="T351" s="87"/>
    </row>
    <row r="352" spans="1:20" ht="16.5" x14ac:dyDescent="0.3">
      <c r="A352" s="98"/>
      <c r="B352" s="99"/>
      <c r="C352" s="98"/>
      <c r="D352" s="100"/>
      <c r="E352" s="98"/>
      <c r="F352" s="98"/>
      <c r="G352" s="98"/>
      <c r="H352" s="98"/>
      <c r="I352" s="100"/>
      <c r="J352" s="100"/>
      <c r="K352" s="101"/>
      <c r="L352" s="100"/>
      <c r="M352" s="87"/>
      <c r="N352" s="87"/>
      <c r="O352" s="87"/>
      <c r="P352" s="87"/>
      <c r="Q352" s="87"/>
      <c r="R352" s="87"/>
      <c r="S352" s="87"/>
      <c r="T352" s="87"/>
    </row>
    <row r="353" spans="1:20" ht="16.5" x14ac:dyDescent="0.3">
      <c r="A353" s="98"/>
      <c r="B353" s="99"/>
      <c r="C353" s="98"/>
      <c r="D353" s="100"/>
      <c r="E353" s="98"/>
      <c r="F353" s="98"/>
      <c r="G353" s="98"/>
      <c r="H353" s="98"/>
      <c r="I353" s="100"/>
      <c r="J353" s="100"/>
      <c r="K353" s="101"/>
      <c r="L353" s="100"/>
      <c r="M353" s="87"/>
      <c r="N353" s="87"/>
      <c r="O353" s="87"/>
      <c r="P353" s="87"/>
      <c r="Q353" s="87"/>
      <c r="R353" s="87"/>
      <c r="S353" s="87"/>
      <c r="T353" s="87"/>
    </row>
    <row r="354" spans="1:20" ht="16.5" x14ac:dyDescent="0.3">
      <c r="A354" s="98"/>
      <c r="B354" s="99"/>
      <c r="C354" s="98"/>
      <c r="D354" s="100"/>
      <c r="E354" s="98"/>
      <c r="F354" s="98"/>
      <c r="G354" s="98"/>
      <c r="H354" s="98"/>
      <c r="I354" s="100"/>
      <c r="J354" s="100"/>
      <c r="K354" s="101"/>
      <c r="L354" s="100"/>
      <c r="M354" s="87"/>
      <c r="N354" s="87"/>
      <c r="O354" s="87"/>
      <c r="P354" s="87"/>
      <c r="Q354" s="87"/>
      <c r="R354" s="87"/>
      <c r="S354" s="87"/>
      <c r="T354" s="87"/>
    </row>
    <row r="355" spans="1:20" ht="16.5" x14ac:dyDescent="0.3">
      <c r="A355" s="98"/>
      <c r="B355" s="99"/>
      <c r="C355" s="98"/>
      <c r="D355" s="100"/>
      <c r="E355" s="98"/>
      <c r="F355" s="98"/>
      <c r="G355" s="98"/>
      <c r="H355" s="98"/>
      <c r="I355" s="100"/>
      <c r="J355" s="100"/>
      <c r="K355" s="101"/>
      <c r="L355" s="100"/>
      <c r="M355" s="87"/>
      <c r="N355" s="87"/>
      <c r="O355" s="87"/>
      <c r="P355" s="87"/>
      <c r="Q355" s="87"/>
      <c r="R355" s="87"/>
      <c r="S355" s="87"/>
      <c r="T355" s="87"/>
    </row>
    <row r="356" spans="1:20" ht="16.5" x14ac:dyDescent="0.3">
      <c r="A356" s="98"/>
      <c r="B356" s="99"/>
      <c r="C356" s="98"/>
      <c r="D356" s="100"/>
      <c r="E356" s="98"/>
      <c r="F356" s="98"/>
      <c r="G356" s="98"/>
      <c r="H356" s="98"/>
      <c r="I356" s="100"/>
      <c r="J356" s="100"/>
      <c r="K356" s="101"/>
      <c r="L356" s="100"/>
      <c r="M356" s="87"/>
      <c r="N356" s="87"/>
      <c r="O356" s="87"/>
      <c r="P356" s="87"/>
      <c r="Q356" s="87"/>
      <c r="R356" s="87"/>
      <c r="S356" s="87"/>
      <c r="T356" s="87"/>
    </row>
    <row r="357" spans="1:20" ht="16.5" x14ac:dyDescent="0.3">
      <c r="A357" s="98"/>
      <c r="B357" s="99"/>
      <c r="C357" s="98"/>
      <c r="D357" s="100"/>
      <c r="E357" s="98"/>
      <c r="F357" s="98"/>
      <c r="G357" s="98"/>
      <c r="H357" s="98"/>
      <c r="I357" s="100"/>
      <c r="J357" s="100"/>
      <c r="K357" s="101"/>
      <c r="L357" s="100"/>
      <c r="M357" s="87"/>
      <c r="N357" s="87"/>
      <c r="O357" s="87"/>
      <c r="P357" s="87"/>
      <c r="Q357" s="87"/>
      <c r="R357" s="87"/>
      <c r="S357" s="87"/>
      <c r="T357" s="87"/>
    </row>
    <row r="358" spans="1:20" ht="16.5" x14ac:dyDescent="0.3">
      <c r="A358" s="98"/>
      <c r="B358" s="99"/>
      <c r="C358" s="98"/>
      <c r="D358" s="100"/>
      <c r="E358" s="98"/>
      <c r="F358" s="98"/>
      <c r="G358" s="98"/>
      <c r="H358" s="98"/>
      <c r="I358" s="100"/>
      <c r="J358" s="100"/>
      <c r="K358" s="101"/>
      <c r="L358" s="100"/>
      <c r="M358" s="87"/>
      <c r="N358" s="87"/>
      <c r="O358" s="87"/>
      <c r="P358" s="87"/>
      <c r="Q358" s="87"/>
      <c r="R358" s="87"/>
      <c r="S358" s="87"/>
      <c r="T358" s="87"/>
    </row>
    <row r="359" spans="1:20" ht="16.5" x14ac:dyDescent="0.3">
      <c r="A359" s="98"/>
      <c r="B359" s="99"/>
      <c r="C359" s="98"/>
      <c r="D359" s="100"/>
      <c r="E359" s="98"/>
      <c r="F359" s="98"/>
      <c r="G359" s="98"/>
      <c r="H359" s="98"/>
      <c r="I359" s="100"/>
      <c r="J359" s="100"/>
      <c r="K359" s="101"/>
      <c r="L359" s="100"/>
      <c r="M359" s="87"/>
      <c r="N359" s="87"/>
      <c r="O359" s="87"/>
      <c r="P359" s="87"/>
      <c r="Q359" s="87"/>
      <c r="R359" s="87"/>
      <c r="S359" s="87"/>
      <c r="T359" s="87"/>
    </row>
    <row r="360" spans="1:20" ht="16.5" x14ac:dyDescent="0.3">
      <c r="A360" s="98"/>
      <c r="B360" s="99"/>
      <c r="C360" s="98"/>
      <c r="D360" s="100"/>
      <c r="E360" s="98"/>
      <c r="F360" s="98"/>
      <c r="G360" s="98"/>
      <c r="H360" s="98"/>
      <c r="I360" s="100"/>
      <c r="J360" s="100"/>
      <c r="K360" s="101"/>
      <c r="L360" s="100"/>
      <c r="M360" s="87"/>
      <c r="N360" s="87"/>
      <c r="O360" s="87"/>
      <c r="P360" s="87"/>
      <c r="Q360" s="87"/>
      <c r="R360" s="87"/>
      <c r="S360" s="87"/>
      <c r="T360" s="87"/>
    </row>
    <row r="361" spans="1:20" ht="16.5" x14ac:dyDescent="0.3">
      <c r="A361" s="98"/>
      <c r="B361" s="99"/>
      <c r="C361" s="98"/>
      <c r="D361" s="100"/>
      <c r="E361" s="98"/>
      <c r="F361" s="98"/>
      <c r="G361" s="98"/>
      <c r="H361" s="98"/>
      <c r="I361" s="100"/>
      <c r="J361" s="100"/>
      <c r="K361" s="101"/>
      <c r="L361" s="100"/>
      <c r="M361" s="87"/>
      <c r="N361" s="87"/>
      <c r="O361" s="87"/>
      <c r="P361" s="87"/>
      <c r="Q361" s="87"/>
      <c r="R361" s="87"/>
      <c r="S361" s="87"/>
      <c r="T361" s="87"/>
    </row>
    <row r="362" spans="1:20" ht="16.5" x14ac:dyDescent="0.3">
      <c r="A362" s="98"/>
      <c r="B362" s="99"/>
      <c r="C362" s="98"/>
      <c r="D362" s="100"/>
      <c r="E362" s="98"/>
      <c r="F362" s="98"/>
      <c r="G362" s="98"/>
      <c r="H362" s="98"/>
      <c r="I362" s="100"/>
      <c r="J362" s="100"/>
      <c r="K362" s="101"/>
      <c r="L362" s="100"/>
      <c r="M362" s="87"/>
      <c r="N362" s="87"/>
      <c r="O362" s="87"/>
      <c r="P362" s="87"/>
      <c r="Q362" s="87"/>
      <c r="R362" s="87"/>
      <c r="S362" s="87"/>
      <c r="T362" s="87"/>
    </row>
    <row r="363" spans="1:20" ht="16.5" x14ac:dyDescent="0.3">
      <c r="A363" s="98"/>
      <c r="B363" s="99"/>
      <c r="C363" s="98"/>
      <c r="D363" s="100"/>
      <c r="E363" s="98"/>
      <c r="F363" s="98"/>
      <c r="G363" s="98"/>
      <c r="H363" s="98"/>
      <c r="I363" s="100"/>
      <c r="J363" s="100"/>
      <c r="K363" s="101"/>
      <c r="L363" s="100"/>
      <c r="M363" s="87"/>
      <c r="N363" s="87"/>
      <c r="O363" s="87"/>
      <c r="P363" s="87"/>
      <c r="Q363" s="87"/>
      <c r="R363" s="87"/>
      <c r="S363" s="87"/>
      <c r="T363" s="87"/>
    </row>
    <row r="364" spans="1:20" ht="16.5" x14ac:dyDescent="0.3">
      <c r="A364" s="98"/>
      <c r="B364" s="99"/>
      <c r="C364" s="98"/>
      <c r="D364" s="100"/>
      <c r="E364" s="98"/>
      <c r="F364" s="98"/>
      <c r="G364" s="98"/>
      <c r="H364" s="98"/>
      <c r="I364" s="100"/>
      <c r="J364" s="100"/>
      <c r="K364" s="101"/>
      <c r="L364" s="100"/>
      <c r="M364" s="87"/>
      <c r="N364" s="87"/>
      <c r="O364" s="87"/>
      <c r="P364" s="87"/>
      <c r="Q364" s="87"/>
      <c r="R364" s="87"/>
      <c r="S364" s="87"/>
      <c r="T364" s="87"/>
    </row>
    <row r="365" spans="1:20" ht="16.5" x14ac:dyDescent="0.3">
      <c r="A365" s="98"/>
      <c r="B365" s="99"/>
      <c r="C365" s="98"/>
      <c r="D365" s="100"/>
      <c r="E365" s="98"/>
      <c r="F365" s="98"/>
      <c r="G365" s="98"/>
      <c r="H365" s="98"/>
      <c r="I365" s="100"/>
      <c r="J365" s="100"/>
      <c r="K365" s="101"/>
      <c r="L365" s="100"/>
      <c r="M365" s="87"/>
      <c r="N365" s="87"/>
      <c r="O365" s="87"/>
      <c r="P365" s="87"/>
      <c r="Q365" s="87"/>
      <c r="R365" s="87"/>
      <c r="S365" s="87"/>
      <c r="T365" s="87"/>
    </row>
    <row r="366" spans="1:20" ht="16.5" x14ac:dyDescent="0.3">
      <c r="A366" s="98"/>
      <c r="B366" s="99"/>
      <c r="C366" s="98"/>
      <c r="D366" s="100"/>
      <c r="E366" s="98"/>
      <c r="F366" s="98"/>
      <c r="G366" s="98"/>
      <c r="H366" s="98"/>
      <c r="I366" s="100"/>
      <c r="J366" s="100"/>
      <c r="K366" s="101"/>
      <c r="L366" s="100"/>
      <c r="M366" s="87"/>
      <c r="N366" s="87"/>
      <c r="O366" s="87"/>
      <c r="P366" s="87"/>
      <c r="Q366" s="87"/>
      <c r="R366" s="87"/>
      <c r="S366" s="87"/>
      <c r="T366" s="87"/>
    </row>
    <row r="367" spans="1:20" ht="16.5" x14ac:dyDescent="0.3">
      <c r="A367" s="98"/>
      <c r="B367" s="99"/>
      <c r="C367" s="98"/>
      <c r="D367" s="100"/>
      <c r="E367" s="98"/>
      <c r="F367" s="98"/>
      <c r="G367" s="98"/>
      <c r="H367" s="98"/>
      <c r="I367" s="100"/>
      <c r="J367" s="100"/>
      <c r="K367" s="101"/>
      <c r="L367" s="100"/>
      <c r="M367" s="87"/>
      <c r="N367" s="87"/>
      <c r="O367" s="87"/>
      <c r="P367" s="87"/>
      <c r="Q367" s="87"/>
      <c r="R367" s="87"/>
      <c r="S367" s="87"/>
      <c r="T367" s="87"/>
    </row>
    <row r="368" spans="1:20" ht="16.5" x14ac:dyDescent="0.3">
      <c r="A368" s="98"/>
      <c r="B368" s="99"/>
      <c r="C368" s="98"/>
      <c r="D368" s="100"/>
      <c r="E368" s="98"/>
      <c r="F368" s="98"/>
      <c r="G368" s="98"/>
      <c r="H368" s="98"/>
      <c r="I368" s="100"/>
      <c r="J368" s="100"/>
      <c r="K368" s="101"/>
      <c r="L368" s="100"/>
      <c r="M368" s="87"/>
      <c r="N368" s="87"/>
      <c r="O368" s="87"/>
      <c r="P368" s="87"/>
      <c r="Q368" s="87"/>
      <c r="R368" s="87"/>
      <c r="S368" s="87"/>
      <c r="T368" s="87"/>
    </row>
    <row r="369" spans="1:20" ht="16.5" x14ac:dyDescent="0.3">
      <c r="A369" s="98"/>
      <c r="B369" s="99"/>
      <c r="C369" s="98"/>
      <c r="D369" s="100"/>
      <c r="E369" s="98"/>
      <c r="F369" s="98"/>
      <c r="G369" s="98"/>
      <c r="H369" s="98"/>
      <c r="I369" s="100"/>
      <c r="J369" s="100"/>
      <c r="K369" s="101"/>
      <c r="L369" s="100"/>
      <c r="M369" s="87"/>
      <c r="N369" s="87"/>
      <c r="O369" s="87"/>
      <c r="P369" s="87"/>
      <c r="Q369" s="87"/>
      <c r="R369" s="87"/>
      <c r="S369" s="87"/>
      <c r="T369" s="87"/>
    </row>
    <row r="370" spans="1:20" ht="16.5" x14ac:dyDescent="0.3">
      <c r="A370" s="98"/>
      <c r="B370" s="99"/>
      <c r="C370" s="98"/>
      <c r="D370" s="100"/>
      <c r="E370" s="98"/>
      <c r="F370" s="98"/>
      <c r="G370" s="98"/>
      <c r="H370" s="98"/>
      <c r="I370" s="100"/>
      <c r="J370" s="100"/>
      <c r="K370" s="101"/>
      <c r="L370" s="100"/>
      <c r="M370" s="87"/>
      <c r="N370" s="87"/>
      <c r="O370" s="87"/>
      <c r="P370" s="87"/>
      <c r="Q370" s="87"/>
      <c r="R370" s="87"/>
      <c r="S370" s="87"/>
      <c r="T370" s="87"/>
    </row>
    <row r="371" spans="1:20" ht="16.5" x14ac:dyDescent="0.3">
      <c r="A371" s="98"/>
      <c r="B371" s="99"/>
      <c r="C371" s="98"/>
      <c r="D371" s="100"/>
      <c r="E371" s="98"/>
      <c r="F371" s="98"/>
      <c r="G371" s="98"/>
      <c r="H371" s="98"/>
      <c r="I371" s="100"/>
      <c r="J371" s="100"/>
      <c r="K371" s="101"/>
      <c r="L371" s="100"/>
      <c r="M371" s="87"/>
      <c r="N371" s="87"/>
      <c r="O371" s="87"/>
      <c r="P371" s="87"/>
      <c r="Q371" s="87"/>
      <c r="R371" s="87"/>
      <c r="S371" s="87"/>
      <c r="T371" s="87"/>
    </row>
    <row r="372" spans="1:20" ht="16.5" x14ac:dyDescent="0.3">
      <c r="A372" s="98"/>
      <c r="B372" s="99"/>
      <c r="C372" s="98"/>
      <c r="D372" s="100"/>
      <c r="E372" s="98"/>
      <c r="F372" s="98"/>
      <c r="G372" s="98"/>
      <c r="H372" s="98"/>
      <c r="I372" s="100"/>
      <c r="J372" s="100"/>
      <c r="K372" s="101"/>
      <c r="L372" s="100"/>
      <c r="M372" s="87"/>
      <c r="N372" s="87"/>
      <c r="O372" s="87"/>
      <c r="P372" s="87"/>
      <c r="Q372" s="87"/>
      <c r="R372" s="87"/>
      <c r="S372" s="87"/>
      <c r="T372" s="87"/>
    </row>
    <row r="373" spans="1:20" ht="16.5" x14ac:dyDescent="0.3">
      <c r="A373" s="98"/>
      <c r="B373" s="99"/>
      <c r="C373" s="98"/>
      <c r="D373" s="100"/>
      <c r="E373" s="98"/>
      <c r="F373" s="98"/>
      <c r="G373" s="98"/>
      <c r="H373" s="98"/>
      <c r="I373" s="100"/>
      <c r="J373" s="100"/>
      <c r="K373" s="101"/>
      <c r="L373" s="100"/>
      <c r="M373" s="87"/>
      <c r="N373" s="87"/>
      <c r="O373" s="87"/>
      <c r="P373" s="87"/>
      <c r="Q373" s="87"/>
      <c r="R373" s="87"/>
      <c r="S373" s="87"/>
      <c r="T373" s="87"/>
    </row>
    <row r="374" spans="1:20" ht="16.5" x14ac:dyDescent="0.3">
      <c r="A374" s="98"/>
      <c r="B374" s="99"/>
      <c r="C374" s="98"/>
      <c r="D374" s="100"/>
      <c r="E374" s="98"/>
      <c r="F374" s="98"/>
      <c r="G374" s="98"/>
      <c r="H374" s="98"/>
      <c r="I374" s="100"/>
      <c r="J374" s="100"/>
      <c r="K374" s="101"/>
      <c r="L374" s="100"/>
      <c r="M374" s="87"/>
      <c r="N374" s="87"/>
      <c r="O374" s="87"/>
      <c r="P374" s="87"/>
      <c r="Q374" s="87"/>
      <c r="R374" s="87"/>
      <c r="S374" s="87"/>
      <c r="T374" s="87"/>
    </row>
    <row r="375" spans="1:20" ht="16.5" x14ac:dyDescent="0.3">
      <c r="A375" s="98"/>
      <c r="B375" s="99"/>
      <c r="C375" s="98"/>
      <c r="D375" s="100"/>
      <c r="E375" s="98"/>
      <c r="F375" s="98"/>
      <c r="G375" s="98"/>
      <c r="H375" s="98"/>
      <c r="I375" s="100"/>
      <c r="J375" s="100"/>
      <c r="K375" s="101"/>
      <c r="L375" s="100"/>
      <c r="M375" s="87"/>
      <c r="N375" s="87"/>
      <c r="O375" s="87"/>
      <c r="P375" s="87"/>
      <c r="Q375" s="87"/>
      <c r="R375" s="87"/>
      <c r="S375" s="87"/>
      <c r="T375" s="87"/>
    </row>
    <row r="376" spans="1:20" ht="16.5" x14ac:dyDescent="0.3">
      <c r="A376" s="98"/>
      <c r="B376" s="99"/>
      <c r="C376" s="98"/>
      <c r="D376" s="100"/>
      <c r="E376" s="98"/>
      <c r="F376" s="98"/>
      <c r="G376" s="98"/>
      <c r="H376" s="98"/>
      <c r="I376" s="100"/>
      <c r="J376" s="100"/>
      <c r="K376" s="101"/>
      <c r="L376" s="100"/>
      <c r="M376" s="87"/>
      <c r="N376" s="87"/>
      <c r="O376" s="87"/>
      <c r="P376" s="87"/>
      <c r="Q376" s="87"/>
      <c r="R376" s="87"/>
      <c r="S376" s="87"/>
      <c r="T376" s="87"/>
    </row>
    <row r="377" spans="1:20" ht="16.5" x14ac:dyDescent="0.3">
      <c r="A377" s="98"/>
      <c r="B377" s="99"/>
      <c r="C377" s="98"/>
      <c r="D377" s="100"/>
      <c r="E377" s="98"/>
      <c r="F377" s="98"/>
      <c r="G377" s="98"/>
      <c r="H377" s="98"/>
      <c r="I377" s="100"/>
      <c r="J377" s="100"/>
      <c r="K377" s="101"/>
      <c r="L377" s="100"/>
      <c r="M377" s="87"/>
      <c r="N377" s="87"/>
      <c r="O377" s="87"/>
      <c r="P377" s="87"/>
      <c r="Q377" s="87"/>
      <c r="R377" s="87"/>
      <c r="S377" s="87"/>
      <c r="T377" s="87"/>
    </row>
    <row r="378" spans="1:20" ht="16.5" x14ac:dyDescent="0.3">
      <c r="A378" s="98"/>
      <c r="B378" s="99"/>
      <c r="C378" s="98"/>
      <c r="D378" s="100"/>
      <c r="E378" s="98"/>
      <c r="F378" s="98"/>
      <c r="G378" s="98"/>
      <c r="H378" s="98"/>
      <c r="I378" s="100"/>
      <c r="J378" s="100"/>
      <c r="K378" s="101"/>
      <c r="L378" s="100"/>
      <c r="M378" s="87"/>
      <c r="N378" s="87"/>
      <c r="O378" s="87"/>
      <c r="P378" s="87"/>
      <c r="Q378" s="87"/>
      <c r="R378" s="87"/>
      <c r="S378" s="87"/>
      <c r="T378" s="87"/>
    </row>
    <row r="379" spans="1:20" ht="16.5" x14ac:dyDescent="0.3">
      <c r="A379" s="98"/>
      <c r="B379" s="99"/>
      <c r="C379" s="98"/>
      <c r="D379" s="100"/>
      <c r="E379" s="98"/>
      <c r="F379" s="98"/>
      <c r="G379" s="98"/>
      <c r="H379" s="98"/>
      <c r="I379" s="100"/>
      <c r="J379" s="100"/>
      <c r="K379" s="101"/>
      <c r="L379" s="100"/>
      <c r="M379" s="87"/>
      <c r="N379" s="87"/>
      <c r="O379" s="87"/>
      <c r="P379" s="87"/>
      <c r="Q379" s="87"/>
      <c r="R379" s="87"/>
      <c r="S379" s="87"/>
      <c r="T379" s="87"/>
    </row>
    <row r="380" spans="1:20" ht="16.5" x14ac:dyDescent="0.3">
      <c r="A380" s="98"/>
      <c r="B380" s="99"/>
      <c r="C380" s="98"/>
      <c r="D380" s="100"/>
      <c r="E380" s="98"/>
      <c r="F380" s="98"/>
      <c r="G380" s="98"/>
      <c r="H380" s="98"/>
      <c r="I380" s="100"/>
      <c r="J380" s="100"/>
      <c r="K380" s="101"/>
      <c r="L380" s="100"/>
      <c r="M380" s="87"/>
      <c r="N380" s="87"/>
      <c r="O380" s="87"/>
      <c r="P380" s="87"/>
      <c r="Q380" s="87"/>
      <c r="R380" s="87"/>
      <c r="S380" s="87"/>
      <c r="T380" s="87"/>
    </row>
    <row r="381" spans="1:20" ht="16.5" x14ac:dyDescent="0.3">
      <c r="A381" s="98"/>
      <c r="B381" s="99"/>
      <c r="C381" s="98"/>
      <c r="D381" s="100"/>
      <c r="E381" s="98"/>
      <c r="F381" s="98"/>
      <c r="G381" s="98"/>
      <c r="H381" s="98"/>
      <c r="I381" s="100"/>
      <c r="J381" s="100"/>
      <c r="K381" s="101"/>
      <c r="L381" s="100"/>
      <c r="M381" s="87"/>
      <c r="N381" s="87"/>
      <c r="O381" s="87"/>
      <c r="P381" s="87"/>
      <c r="Q381" s="87"/>
      <c r="R381" s="87"/>
      <c r="S381" s="87"/>
      <c r="T381" s="87"/>
    </row>
    <row r="382" spans="1:20" ht="16.5" x14ac:dyDescent="0.3">
      <c r="A382" s="98"/>
      <c r="B382" s="99"/>
      <c r="C382" s="98"/>
      <c r="D382" s="100"/>
      <c r="E382" s="98"/>
      <c r="F382" s="98"/>
      <c r="G382" s="98"/>
      <c r="H382" s="98"/>
      <c r="I382" s="100"/>
      <c r="J382" s="100"/>
      <c r="K382" s="101"/>
      <c r="L382" s="100"/>
      <c r="M382" s="87"/>
      <c r="N382" s="87"/>
      <c r="O382" s="87"/>
      <c r="P382" s="87"/>
      <c r="Q382" s="87"/>
      <c r="R382" s="87"/>
      <c r="S382" s="87"/>
      <c r="T382" s="87"/>
    </row>
    <row r="383" spans="1:20" ht="16.5" x14ac:dyDescent="0.3">
      <c r="A383" s="98"/>
      <c r="B383" s="99"/>
      <c r="C383" s="98"/>
      <c r="D383" s="100"/>
      <c r="E383" s="98"/>
      <c r="F383" s="98"/>
      <c r="G383" s="98"/>
      <c r="H383" s="98"/>
      <c r="I383" s="100"/>
      <c r="J383" s="100"/>
      <c r="K383" s="101"/>
      <c r="L383" s="100"/>
      <c r="M383" s="87"/>
      <c r="N383" s="87"/>
      <c r="O383" s="87"/>
      <c r="P383" s="87"/>
      <c r="Q383" s="87"/>
      <c r="R383" s="87"/>
      <c r="S383" s="87"/>
      <c r="T383" s="87"/>
    </row>
    <row r="384" spans="1:20" ht="16.5" x14ac:dyDescent="0.3">
      <c r="A384" s="98"/>
      <c r="B384" s="99"/>
      <c r="C384" s="98"/>
      <c r="D384" s="100"/>
      <c r="E384" s="98"/>
      <c r="F384" s="98"/>
      <c r="G384" s="98"/>
      <c r="H384" s="98"/>
      <c r="I384" s="100"/>
      <c r="J384" s="100"/>
      <c r="K384" s="101"/>
      <c r="L384" s="100"/>
      <c r="M384" s="87"/>
      <c r="N384" s="87"/>
      <c r="O384" s="87"/>
      <c r="P384" s="87"/>
      <c r="Q384" s="87"/>
      <c r="R384" s="87"/>
      <c r="S384" s="87"/>
      <c r="T384" s="87"/>
    </row>
    <row r="385" spans="1:20" ht="16.5" x14ac:dyDescent="0.3">
      <c r="A385" s="98"/>
      <c r="B385" s="99"/>
      <c r="C385" s="98"/>
      <c r="D385" s="100"/>
      <c r="E385" s="98"/>
      <c r="F385" s="98"/>
      <c r="G385" s="98"/>
      <c r="H385" s="98"/>
      <c r="I385" s="100"/>
      <c r="J385" s="100"/>
      <c r="K385" s="101"/>
      <c r="L385" s="100"/>
      <c r="M385" s="87"/>
      <c r="N385" s="87"/>
      <c r="O385" s="87"/>
      <c r="P385" s="87"/>
      <c r="Q385" s="87"/>
      <c r="R385" s="87"/>
      <c r="S385" s="87"/>
      <c r="T385" s="87"/>
    </row>
    <row r="386" spans="1:20" ht="16.5" x14ac:dyDescent="0.3">
      <c r="A386" s="98"/>
      <c r="B386" s="99"/>
      <c r="C386" s="98"/>
      <c r="D386" s="100"/>
      <c r="E386" s="98"/>
      <c r="F386" s="98"/>
      <c r="G386" s="98"/>
      <c r="H386" s="98"/>
      <c r="I386" s="100"/>
      <c r="J386" s="100"/>
      <c r="K386" s="101"/>
      <c r="L386" s="100"/>
      <c r="M386" s="87"/>
      <c r="N386" s="87"/>
      <c r="O386" s="87"/>
      <c r="P386" s="87"/>
      <c r="Q386" s="87"/>
      <c r="R386" s="87"/>
      <c r="S386" s="87"/>
      <c r="T386" s="87"/>
    </row>
    <row r="387" spans="1:20" ht="16.5" x14ac:dyDescent="0.3">
      <c r="A387" s="98"/>
      <c r="B387" s="99"/>
      <c r="C387" s="98"/>
      <c r="D387" s="100"/>
      <c r="E387" s="98"/>
      <c r="F387" s="98"/>
      <c r="G387" s="98"/>
      <c r="H387" s="98"/>
      <c r="I387" s="100"/>
      <c r="J387" s="100"/>
      <c r="K387" s="101"/>
      <c r="L387" s="100"/>
      <c r="M387" s="87"/>
      <c r="N387" s="87"/>
      <c r="O387" s="87"/>
      <c r="P387" s="87"/>
      <c r="Q387" s="87"/>
      <c r="R387" s="87"/>
      <c r="S387" s="87"/>
      <c r="T387" s="87"/>
    </row>
    <row r="388" spans="1:20" ht="16.5" x14ac:dyDescent="0.3">
      <c r="A388" s="98"/>
      <c r="B388" s="99"/>
      <c r="C388" s="98"/>
      <c r="D388" s="100"/>
      <c r="E388" s="98"/>
      <c r="F388" s="98"/>
      <c r="G388" s="98"/>
      <c r="H388" s="98"/>
      <c r="I388" s="100"/>
      <c r="J388" s="100"/>
      <c r="K388" s="101"/>
      <c r="L388" s="100"/>
      <c r="M388" s="87"/>
      <c r="N388" s="87"/>
      <c r="O388" s="87"/>
      <c r="P388" s="87"/>
      <c r="Q388" s="87"/>
      <c r="R388" s="87"/>
      <c r="S388" s="87"/>
      <c r="T388" s="87"/>
    </row>
    <row r="389" spans="1:20" ht="16.5" x14ac:dyDescent="0.3">
      <c r="A389" s="98"/>
      <c r="B389" s="99"/>
      <c r="C389" s="98"/>
      <c r="D389" s="100"/>
      <c r="E389" s="98"/>
      <c r="F389" s="98"/>
      <c r="G389" s="98"/>
      <c r="H389" s="98"/>
      <c r="I389" s="100"/>
      <c r="J389" s="100"/>
      <c r="K389" s="101"/>
      <c r="L389" s="100"/>
      <c r="M389" s="87"/>
      <c r="N389" s="87"/>
      <c r="O389" s="87"/>
      <c r="P389" s="87"/>
      <c r="Q389" s="87"/>
      <c r="R389" s="87"/>
      <c r="S389" s="87"/>
      <c r="T389" s="87"/>
    </row>
    <row r="390" spans="1:20" ht="16.5" x14ac:dyDescent="0.3">
      <c r="A390" s="98"/>
      <c r="B390" s="99"/>
      <c r="C390" s="98"/>
      <c r="D390" s="100"/>
      <c r="E390" s="98"/>
      <c r="F390" s="98"/>
      <c r="G390" s="98"/>
      <c r="H390" s="98"/>
      <c r="I390" s="100"/>
      <c r="J390" s="100"/>
      <c r="K390" s="101"/>
      <c r="L390" s="100"/>
      <c r="M390" s="87"/>
      <c r="N390" s="87"/>
      <c r="O390" s="87"/>
      <c r="P390" s="87"/>
      <c r="Q390" s="87"/>
      <c r="R390" s="87"/>
      <c r="S390" s="87"/>
      <c r="T390" s="87"/>
    </row>
    <row r="391" spans="1:20" ht="16.5" x14ac:dyDescent="0.3">
      <c r="A391" s="98"/>
      <c r="B391" s="99"/>
      <c r="C391" s="98"/>
      <c r="D391" s="100"/>
      <c r="E391" s="98"/>
      <c r="F391" s="98"/>
      <c r="G391" s="98"/>
      <c r="H391" s="98"/>
      <c r="I391" s="100"/>
      <c r="J391" s="100"/>
      <c r="K391" s="101"/>
      <c r="L391" s="100"/>
      <c r="M391" s="87"/>
      <c r="N391" s="87"/>
      <c r="O391" s="87"/>
      <c r="P391" s="87"/>
      <c r="Q391" s="87"/>
      <c r="R391" s="87"/>
      <c r="S391" s="87"/>
      <c r="T391" s="87"/>
    </row>
    <row r="392" spans="1:20" ht="16.5" x14ac:dyDescent="0.3">
      <c r="A392" s="98"/>
      <c r="B392" s="99"/>
      <c r="C392" s="98"/>
      <c r="D392" s="100"/>
      <c r="E392" s="98"/>
      <c r="F392" s="98"/>
      <c r="G392" s="98"/>
      <c r="H392" s="98"/>
      <c r="I392" s="100"/>
      <c r="J392" s="100"/>
      <c r="K392" s="101"/>
      <c r="L392" s="100"/>
      <c r="M392" s="87"/>
      <c r="N392" s="87"/>
      <c r="O392" s="87"/>
      <c r="P392" s="87"/>
      <c r="Q392" s="87"/>
      <c r="R392" s="87"/>
      <c r="S392" s="87"/>
      <c r="T392" s="87"/>
    </row>
    <row r="393" spans="1:20" ht="16.5" x14ac:dyDescent="0.3">
      <c r="A393" s="98"/>
      <c r="B393" s="99"/>
      <c r="C393" s="98"/>
      <c r="D393" s="100"/>
      <c r="E393" s="98"/>
      <c r="F393" s="98"/>
      <c r="G393" s="98"/>
      <c r="H393" s="98"/>
      <c r="I393" s="100"/>
      <c r="J393" s="100"/>
      <c r="K393" s="101"/>
      <c r="L393" s="100"/>
      <c r="M393" s="87"/>
      <c r="N393" s="87"/>
      <c r="O393" s="87"/>
      <c r="P393" s="87"/>
      <c r="Q393" s="87"/>
      <c r="R393" s="87"/>
      <c r="S393" s="87"/>
      <c r="T393" s="87"/>
    </row>
    <row r="394" spans="1:20" ht="16.5" x14ac:dyDescent="0.3">
      <c r="A394" s="98"/>
      <c r="B394" s="99"/>
      <c r="C394" s="98"/>
      <c r="D394" s="100"/>
      <c r="E394" s="98"/>
      <c r="F394" s="98"/>
      <c r="G394" s="98"/>
      <c r="H394" s="98"/>
      <c r="I394" s="100"/>
      <c r="J394" s="100"/>
      <c r="K394" s="101"/>
      <c r="L394" s="100"/>
      <c r="M394" s="87"/>
      <c r="N394" s="87"/>
      <c r="O394" s="87"/>
      <c r="P394" s="87"/>
      <c r="Q394" s="87"/>
      <c r="R394" s="87"/>
      <c r="S394" s="87"/>
      <c r="T394" s="87"/>
    </row>
    <row r="395" spans="1:20" ht="16.5" x14ac:dyDescent="0.3">
      <c r="A395" s="98"/>
      <c r="B395" s="99"/>
      <c r="C395" s="98"/>
      <c r="D395" s="100"/>
      <c r="E395" s="98"/>
      <c r="F395" s="98"/>
      <c r="G395" s="98"/>
      <c r="H395" s="98"/>
      <c r="I395" s="100"/>
      <c r="J395" s="100"/>
      <c r="K395" s="101"/>
      <c r="L395" s="100"/>
      <c r="M395" s="87"/>
      <c r="N395" s="87"/>
      <c r="O395" s="87"/>
      <c r="P395" s="87"/>
      <c r="Q395" s="87"/>
      <c r="R395" s="87"/>
      <c r="S395" s="87"/>
      <c r="T395" s="87"/>
    </row>
    <row r="396" spans="1:20" ht="16.5" x14ac:dyDescent="0.3">
      <c r="A396" s="98"/>
      <c r="B396" s="99"/>
      <c r="C396" s="98"/>
      <c r="D396" s="100"/>
      <c r="E396" s="98"/>
      <c r="F396" s="98"/>
      <c r="G396" s="98"/>
      <c r="H396" s="98"/>
      <c r="I396" s="100"/>
      <c r="J396" s="100"/>
      <c r="K396" s="101"/>
      <c r="L396" s="100"/>
      <c r="M396" s="87"/>
      <c r="N396" s="87"/>
      <c r="O396" s="87"/>
      <c r="P396" s="87"/>
      <c r="Q396" s="87"/>
      <c r="R396" s="87"/>
      <c r="S396" s="87"/>
      <c r="T396" s="87"/>
    </row>
    <row r="397" spans="1:20" ht="16.5" x14ac:dyDescent="0.3">
      <c r="A397" s="98"/>
      <c r="B397" s="99"/>
      <c r="C397" s="98"/>
      <c r="D397" s="100"/>
      <c r="E397" s="98"/>
      <c r="F397" s="98"/>
      <c r="G397" s="98"/>
      <c r="H397" s="98"/>
      <c r="I397" s="100"/>
      <c r="J397" s="100"/>
      <c r="K397" s="101"/>
      <c r="L397" s="100"/>
      <c r="M397" s="87"/>
      <c r="N397" s="87"/>
      <c r="O397" s="87"/>
      <c r="P397" s="87"/>
      <c r="Q397" s="87"/>
      <c r="R397" s="87"/>
      <c r="S397" s="87"/>
      <c r="T397" s="87"/>
    </row>
    <row r="398" spans="1:20" ht="16.5" x14ac:dyDescent="0.3">
      <c r="A398" s="98"/>
      <c r="B398" s="99"/>
      <c r="C398" s="98"/>
      <c r="D398" s="100"/>
      <c r="E398" s="98"/>
      <c r="F398" s="98"/>
      <c r="G398" s="98"/>
      <c r="H398" s="98"/>
      <c r="I398" s="100"/>
      <c r="J398" s="100"/>
      <c r="K398" s="101"/>
      <c r="L398" s="100"/>
      <c r="M398" s="87"/>
      <c r="N398" s="87"/>
      <c r="O398" s="87"/>
      <c r="P398" s="87"/>
      <c r="Q398" s="87"/>
      <c r="R398" s="87"/>
      <c r="S398" s="87"/>
      <c r="T398" s="87"/>
    </row>
    <row r="399" spans="1:20" ht="16.5" x14ac:dyDescent="0.3">
      <c r="A399" s="98"/>
      <c r="B399" s="99"/>
      <c r="C399" s="98"/>
      <c r="D399" s="100"/>
      <c r="E399" s="98"/>
      <c r="F399" s="98"/>
      <c r="G399" s="98"/>
      <c r="H399" s="98"/>
      <c r="I399" s="100"/>
      <c r="J399" s="100"/>
      <c r="K399" s="101"/>
      <c r="L399" s="100"/>
      <c r="M399" s="87"/>
      <c r="N399" s="87"/>
      <c r="O399" s="87"/>
      <c r="P399" s="87"/>
      <c r="Q399" s="87"/>
      <c r="R399" s="87"/>
      <c r="S399" s="87"/>
      <c r="T399" s="87"/>
    </row>
    <row r="400" spans="1:20" ht="16.5" x14ac:dyDescent="0.3">
      <c r="A400" s="98"/>
      <c r="B400" s="99"/>
      <c r="C400" s="98"/>
      <c r="D400" s="100"/>
      <c r="E400" s="98"/>
      <c r="F400" s="98"/>
      <c r="G400" s="98"/>
      <c r="H400" s="98"/>
      <c r="I400" s="100"/>
      <c r="J400" s="100"/>
      <c r="K400" s="101"/>
      <c r="L400" s="100"/>
      <c r="M400" s="87"/>
      <c r="N400" s="87"/>
      <c r="O400" s="87"/>
      <c r="P400" s="87"/>
      <c r="Q400" s="87"/>
      <c r="R400" s="87"/>
      <c r="S400" s="87"/>
      <c r="T400" s="87"/>
    </row>
    <row r="401" spans="1:20" ht="16.5" x14ac:dyDescent="0.3">
      <c r="A401" s="98"/>
      <c r="B401" s="99"/>
      <c r="C401" s="98"/>
      <c r="D401" s="100"/>
      <c r="E401" s="98"/>
      <c r="F401" s="98"/>
      <c r="G401" s="98"/>
      <c r="H401" s="98"/>
      <c r="I401" s="100"/>
      <c r="J401" s="100"/>
      <c r="K401" s="101"/>
      <c r="L401" s="100"/>
      <c r="M401" s="87"/>
      <c r="N401" s="87"/>
      <c r="O401" s="87"/>
      <c r="P401" s="87"/>
      <c r="Q401" s="87"/>
      <c r="R401" s="87"/>
      <c r="S401" s="87"/>
      <c r="T401" s="87"/>
    </row>
    <row r="402" spans="1:20" ht="16.5" x14ac:dyDescent="0.3">
      <c r="A402" s="98"/>
      <c r="B402" s="99"/>
      <c r="C402" s="98"/>
      <c r="D402" s="100"/>
      <c r="E402" s="98"/>
      <c r="F402" s="98"/>
      <c r="G402" s="98"/>
      <c r="H402" s="98"/>
      <c r="I402" s="100"/>
      <c r="J402" s="100"/>
      <c r="K402" s="101"/>
      <c r="L402" s="100"/>
      <c r="M402" s="87"/>
      <c r="N402" s="87"/>
      <c r="O402" s="87"/>
      <c r="P402" s="87"/>
      <c r="Q402" s="87"/>
      <c r="R402" s="87"/>
      <c r="S402" s="87"/>
      <c r="T402" s="87"/>
    </row>
    <row r="403" spans="1:20" ht="16.5" x14ac:dyDescent="0.3">
      <c r="A403" s="98"/>
      <c r="B403" s="99"/>
      <c r="C403" s="98"/>
      <c r="D403" s="100"/>
      <c r="E403" s="98"/>
      <c r="F403" s="98"/>
      <c r="G403" s="98"/>
      <c r="H403" s="98"/>
      <c r="I403" s="100"/>
      <c r="J403" s="100"/>
      <c r="K403" s="101"/>
      <c r="L403" s="100"/>
      <c r="M403" s="87"/>
      <c r="N403" s="87"/>
      <c r="O403" s="87"/>
      <c r="P403" s="87"/>
      <c r="Q403" s="87"/>
      <c r="R403" s="87"/>
      <c r="S403" s="87"/>
      <c r="T403" s="87"/>
    </row>
    <row r="404" spans="1:20" ht="16.5" x14ac:dyDescent="0.3">
      <c r="A404" s="98"/>
      <c r="B404" s="99"/>
      <c r="C404" s="98"/>
      <c r="D404" s="100"/>
      <c r="E404" s="98"/>
      <c r="F404" s="98"/>
      <c r="G404" s="98"/>
      <c r="H404" s="98"/>
      <c r="I404" s="100"/>
      <c r="J404" s="100"/>
      <c r="K404" s="101"/>
      <c r="L404" s="100"/>
      <c r="M404" s="87"/>
      <c r="N404" s="87"/>
      <c r="O404" s="87"/>
      <c r="P404" s="87"/>
      <c r="Q404" s="87"/>
      <c r="R404" s="87"/>
      <c r="S404" s="87"/>
      <c r="T404" s="87"/>
    </row>
    <row r="405" spans="1:20" ht="16.5" x14ac:dyDescent="0.3">
      <c r="A405" s="98"/>
      <c r="B405" s="99"/>
      <c r="C405" s="98"/>
      <c r="D405" s="100"/>
      <c r="E405" s="98"/>
      <c r="F405" s="98"/>
      <c r="G405" s="98"/>
      <c r="H405" s="98"/>
      <c r="I405" s="100"/>
      <c r="J405" s="100"/>
      <c r="K405" s="101"/>
      <c r="L405" s="100"/>
      <c r="M405" s="87"/>
      <c r="N405" s="87"/>
      <c r="O405" s="87"/>
      <c r="P405" s="87"/>
      <c r="Q405" s="87"/>
      <c r="R405" s="87"/>
      <c r="S405" s="87"/>
      <c r="T405" s="87"/>
    </row>
    <row r="406" spans="1:20" ht="16.5" x14ac:dyDescent="0.3">
      <c r="A406" s="98"/>
      <c r="B406" s="99"/>
      <c r="C406" s="98"/>
      <c r="D406" s="100"/>
      <c r="E406" s="98"/>
      <c r="F406" s="98"/>
      <c r="G406" s="98"/>
      <c r="H406" s="98"/>
      <c r="I406" s="100"/>
      <c r="J406" s="100"/>
      <c r="K406" s="101"/>
      <c r="L406" s="100"/>
      <c r="M406" s="87"/>
      <c r="N406" s="87"/>
      <c r="O406" s="87"/>
      <c r="P406" s="87"/>
      <c r="Q406" s="87"/>
      <c r="R406" s="87"/>
      <c r="S406" s="87"/>
      <c r="T406" s="87"/>
    </row>
    <row r="407" spans="1:20" ht="16.5" x14ac:dyDescent="0.3">
      <c r="A407" s="98"/>
      <c r="B407" s="99"/>
      <c r="C407" s="98"/>
      <c r="D407" s="100"/>
      <c r="E407" s="98"/>
      <c r="F407" s="98"/>
      <c r="G407" s="98"/>
      <c r="H407" s="98"/>
      <c r="I407" s="100"/>
      <c r="J407" s="100"/>
      <c r="K407" s="101"/>
      <c r="L407" s="100"/>
      <c r="M407" s="87"/>
      <c r="N407" s="87"/>
      <c r="O407" s="87"/>
      <c r="P407" s="87"/>
      <c r="Q407" s="87"/>
      <c r="R407" s="87"/>
      <c r="S407" s="87"/>
      <c r="T407" s="87"/>
    </row>
    <row r="408" spans="1:20" ht="16.5" x14ac:dyDescent="0.3">
      <c r="A408" s="98"/>
      <c r="B408" s="99"/>
      <c r="C408" s="98"/>
      <c r="D408" s="100"/>
      <c r="E408" s="98"/>
      <c r="F408" s="98"/>
      <c r="G408" s="98"/>
      <c r="H408" s="98"/>
      <c r="I408" s="100"/>
      <c r="J408" s="100"/>
      <c r="K408" s="101"/>
      <c r="L408" s="100"/>
      <c r="M408" s="87"/>
      <c r="N408" s="87"/>
      <c r="O408" s="87"/>
      <c r="P408" s="87"/>
      <c r="Q408" s="87"/>
      <c r="R408" s="87"/>
      <c r="S408" s="87"/>
      <c r="T408" s="87"/>
    </row>
    <row r="409" spans="1:20" ht="16.5" x14ac:dyDescent="0.3">
      <c r="A409" s="98"/>
      <c r="B409" s="99"/>
      <c r="C409" s="98"/>
      <c r="D409" s="100"/>
      <c r="E409" s="98"/>
      <c r="F409" s="98"/>
      <c r="G409" s="98"/>
      <c r="H409" s="98"/>
      <c r="I409" s="100"/>
      <c r="J409" s="100"/>
      <c r="K409" s="101"/>
      <c r="L409" s="100"/>
      <c r="M409" s="87"/>
      <c r="N409" s="87"/>
      <c r="O409" s="87"/>
      <c r="P409" s="87"/>
      <c r="Q409" s="87"/>
      <c r="R409" s="87"/>
      <c r="S409" s="87"/>
      <c r="T409" s="87"/>
    </row>
    <row r="410" spans="1:20" ht="16.5" x14ac:dyDescent="0.3">
      <c r="A410" s="98"/>
      <c r="B410" s="99"/>
      <c r="C410" s="98"/>
      <c r="D410" s="100"/>
      <c r="E410" s="98"/>
      <c r="F410" s="98"/>
      <c r="G410" s="98"/>
      <c r="H410" s="98"/>
      <c r="I410" s="100"/>
      <c r="J410" s="100"/>
      <c r="K410" s="101"/>
      <c r="L410" s="100"/>
      <c r="M410" s="87"/>
      <c r="N410" s="87"/>
      <c r="O410" s="87"/>
      <c r="P410" s="87"/>
      <c r="Q410" s="87"/>
      <c r="R410" s="87"/>
      <c r="S410" s="87"/>
      <c r="T410" s="87"/>
    </row>
    <row r="411" spans="1:20" ht="16.5" x14ac:dyDescent="0.3">
      <c r="A411" s="98"/>
      <c r="B411" s="99"/>
      <c r="C411" s="98"/>
      <c r="D411" s="100"/>
      <c r="E411" s="98"/>
      <c r="F411" s="98"/>
      <c r="G411" s="98"/>
      <c r="H411" s="98"/>
      <c r="I411" s="100"/>
      <c r="J411" s="100"/>
      <c r="K411" s="101"/>
      <c r="L411" s="100"/>
      <c r="M411" s="87"/>
      <c r="N411" s="87"/>
      <c r="O411" s="87"/>
      <c r="P411" s="87"/>
      <c r="Q411" s="87"/>
      <c r="R411" s="87"/>
      <c r="S411" s="87"/>
      <c r="T411" s="87"/>
    </row>
    <row r="412" spans="1:20" ht="16.5" x14ac:dyDescent="0.3">
      <c r="A412" s="98"/>
      <c r="B412" s="99"/>
      <c r="C412" s="98"/>
      <c r="D412" s="100"/>
      <c r="E412" s="98"/>
      <c r="F412" s="98"/>
      <c r="G412" s="98"/>
      <c r="H412" s="98"/>
      <c r="I412" s="100"/>
      <c r="J412" s="100"/>
      <c r="K412" s="101"/>
      <c r="L412" s="100"/>
      <c r="M412" s="87"/>
      <c r="N412" s="87"/>
      <c r="O412" s="87"/>
      <c r="P412" s="87"/>
      <c r="Q412" s="87"/>
      <c r="R412" s="87"/>
      <c r="S412" s="87"/>
      <c r="T412" s="87"/>
    </row>
    <row r="413" spans="1:20" ht="16.5" x14ac:dyDescent="0.3">
      <c r="A413" s="98"/>
      <c r="B413" s="99"/>
      <c r="C413" s="98"/>
      <c r="D413" s="100"/>
      <c r="E413" s="98"/>
      <c r="F413" s="98"/>
      <c r="G413" s="98"/>
      <c r="H413" s="98"/>
      <c r="I413" s="100"/>
      <c r="J413" s="100"/>
      <c r="K413" s="101"/>
      <c r="L413" s="100"/>
      <c r="M413" s="87"/>
      <c r="N413" s="87"/>
      <c r="O413" s="87"/>
      <c r="P413" s="87"/>
      <c r="Q413" s="87"/>
      <c r="R413" s="87"/>
      <c r="S413" s="87"/>
      <c r="T413" s="87"/>
    </row>
    <row r="414" spans="1:20" ht="16.5" x14ac:dyDescent="0.3">
      <c r="A414" s="98"/>
      <c r="B414" s="99"/>
      <c r="C414" s="98"/>
      <c r="D414" s="100"/>
      <c r="E414" s="98"/>
      <c r="F414" s="98"/>
      <c r="G414" s="98"/>
      <c r="H414" s="98"/>
      <c r="I414" s="100"/>
      <c r="J414" s="100"/>
      <c r="K414" s="101"/>
      <c r="L414" s="100"/>
      <c r="M414" s="87"/>
      <c r="N414" s="87"/>
      <c r="O414" s="87"/>
      <c r="P414" s="87"/>
      <c r="Q414" s="87"/>
      <c r="R414" s="87"/>
      <c r="S414" s="87"/>
      <c r="T414" s="87"/>
    </row>
    <row r="415" spans="1:20" ht="16.5" x14ac:dyDescent="0.3">
      <c r="A415" s="98"/>
      <c r="B415" s="99"/>
      <c r="C415" s="98"/>
      <c r="D415" s="100"/>
      <c r="E415" s="98"/>
      <c r="F415" s="98"/>
      <c r="G415" s="98"/>
      <c r="H415" s="98"/>
      <c r="I415" s="100"/>
      <c r="J415" s="100"/>
      <c r="K415" s="101"/>
      <c r="L415" s="100"/>
      <c r="M415" s="87"/>
      <c r="N415" s="87"/>
      <c r="O415" s="87"/>
      <c r="P415" s="87"/>
      <c r="Q415" s="87"/>
      <c r="R415" s="87"/>
      <c r="S415" s="87"/>
      <c r="T415" s="87"/>
    </row>
    <row r="416" spans="1:20" ht="16.5" x14ac:dyDescent="0.3">
      <c r="A416" s="98"/>
      <c r="B416" s="99"/>
      <c r="C416" s="98"/>
      <c r="D416" s="100"/>
      <c r="E416" s="98"/>
      <c r="F416" s="98"/>
      <c r="G416" s="98"/>
      <c r="H416" s="98"/>
      <c r="I416" s="100"/>
      <c r="J416" s="100"/>
      <c r="K416" s="101"/>
      <c r="L416" s="100"/>
      <c r="M416" s="87"/>
      <c r="N416" s="87"/>
      <c r="O416" s="87"/>
      <c r="P416" s="87"/>
      <c r="Q416" s="87"/>
      <c r="R416" s="87"/>
      <c r="S416" s="87"/>
      <c r="T416" s="87"/>
    </row>
    <row r="417" spans="1:20" ht="16.5" x14ac:dyDescent="0.3">
      <c r="A417" s="98"/>
      <c r="B417" s="99"/>
      <c r="C417" s="98"/>
      <c r="D417" s="100"/>
      <c r="E417" s="98"/>
      <c r="F417" s="98"/>
      <c r="G417" s="98"/>
      <c r="H417" s="98"/>
      <c r="I417" s="100"/>
      <c r="J417" s="100"/>
      <c r="K417" s="101"/>
      <c r="L417" s="100"/>
      <c r="M417" s="87"/>
      <c r="N417" s="87"/>
      <c r="O417" s="87"/>
      <c r="P417" s="87"/>
      <c r="Q417" s="87"/>
      <c r="R417" s="87"/>
      <c r="S417" s="87"/>
      <c r="T417" s="87"/>
    </row>
    <row r="418" spans="1:20" ht="16.5" x14ac:dyDescent="0.3">
      <c r="A418" s="98"/>
      <c r="B418" s="99"/>
      <c r="C418" s="98"/>
      <c r="D418" s="100"/>
      <c r="E418" s="98"/>
      <c r="F418" s="98"/>
      <c r="G418" s="98"/>
      <c r="H418" s="98"/>
      <c r="I418" s="100"/>
      <c r="J418" s="100"/>
      <c r="K418" s="101"/>
      <c r="L418" s="100"/>
      <c r="M418" s="87"/>
      <c r="N418" s="87"/>
      <c r="O418" s="87"/>
      <c r="P418" s="87"/>
      <c r="Q418" s="87"/>
      <c r="R418" s="87"/>
      <c r="S418" s="87"/>
      <c r="T418" s="87"/>
    </row>
    <row r="419" spans="1:20" ht="16.5" x14ac:dyDescent="0.3">
      <c r="A419" s="98"/>
      <c r="B419" s="99"/>
      <c r="C419" s="98"/>
      <c r="D419" s="100"/>
      <c r="E419" s="98"/>
      <c r="F419" s="98"/>
      <c r="G419" s="98"/>
      <c r="H419" s="98"/>
      <c r="I419" s="100"/>
      <c r="J419" s="100"/>
      <c r="K419" s="101"/>
      <c r="L419" s="100"/>
      <c r="M419" s="87"/>
      <c r="N419" s="87"/>
      <c r="O419" s="87"/>
      <c r="P419" s="87"/>
      <c r="Q419" s="87"/>
      <c r="R419" s="87"/>
      <c r="S419" s="87"/>
      <c r="T419" s="87"/>
    </row>
    <row r="420" spans="1:20" ht="16.5" x14ac:dyDescent="0.3">
      <c r="A420" s="98"/>
      <c r="B420" s="99"/>
      <c r="C420" s="98"/>
      <c r="D420" s="100"/>
      <c r="E420" s="98"/>
      <c r="F420" s="98"/>
      <c r="G420" s="98"/>
      <c r="H420" s="98"/>
      <c r="I420" s="100"/>
      <c r="J420" s="100"/>
      <c r="K420" s="101"/>
      <c r="L420" s="100"/>
      <c r="M420" s="87"/>
      <c r="N420" s="87"/>
      <c r="O420" s="87"/>
      <c r="P420" s="87"/>
      <c r="Q420" s="87"/>
      <c r="R420" s="87"/>
      <c r="S420" s="87"/>
      <c r="T420" s="87"/>
    </row>
    <row r="421" spans="1:20" ht="16.5" x14ac:dyDescent="0.3">
      <c r="A421" s="98"/>
      <c r="B421" s="99"/>
      <c r="C421" s="98"/>
      <c r="D421" s="100"/>
      <c r="E421" s="98"/>
      <c r="F421" s="98"/>
      <c r="G421" s="98"/>
      <c r="H421" s="98"/>
      <c r="I421" s="100"/>
      <c r="J421" s="100"/>
      <c r="K421" s="101"/>
      <c r="L421" s="100"/>
      <c r="M421" s="87"/>
      <c r="N421" s="87"/>
      <c r="O421" s="87"/>
      <c r="P421" s="87"/>
      <c r="Q421" s="87"/>
      <c r="R421" s="87"/>
      <c r="S421" s="87"/>
      <c r="T421" s="87"/>
    </row>
    <row r="422" spans="1:20" ht="16.5" x14ac:dyDescent="0.3">
      <c r="A422" s="98"/>
      <c r="B422" s="99"/>
      <c r="C422" s="98"/>
      <c r="D422" s="100"/>
      <c r="E422" s="98"/>
      <c r="F422" s="98"/>
      <c r="G422" s="98"/>
      <c r="H422" s="98"/>
      <c r="I422" s="100"/>
      <c r="J422" s="100"/>
      <c r="K422" s="101"/>
      <c r="L422" s="100"/>
      <c r="M422" s="87"/>
      <c r="N422" s="87"/>
      <c r="O422" s="87"/>
      <c r="P422" s="87"/>
      <c r="Q422" s="87"/>
      <c r="R422" s="87"/>
      <c r="S422" s="87"/>
      <c r="T422" s="87"/>
    </row>
    <row r="423" spans="1:20" ht="16.5" x14ac:dyDescent="0.3">
      <c r="A423" s="98"/>
      <c r="B423" s="99"/>
      <c r="C423" s="98"/>
      <c r="D423" s="100"/>
      <c r="E423" s="98"/>
      <c r="F423" s="98"/>
      <c r="G423" s="98"/>
      <c r="H423" s="98"/>
      <c r="I423" s="100"/>
      <c r="J423" s="100"/>
      <c r="K423" s="101"/>
      <c r="L423" s="100"/>
      <c r="M423" s="87"/>
      <c r="N423" s="87"/>
      <c r="O423" s="87"/>
      <c r="P423" s="87"/>
      <c r="Q423" s="87"/>
      <c r="R423" s="87"/>
      <c r="S423" s="87"/>
      <c r="T423" s="87"/>
    </row>
    <row r="424" spans="1:20" ht="16.5" x14ac:dyDescent="0.3">
      <c r="A424" s="98"/>
      <c r="B424" s="99"/>
      <c r="C424" s="98"/>
      <c r="D424" s="100"/>
      <c r="E424" s="98"/>
      <c r="F424" s="98"/>
      <c r="G424" s="98"/>
      <c r="H424" s="98"/>
      <c r="I424" s="100"/>
      <c r="J424" s="100"/>
      <c r="K424" s="101"/>
      <c r="L424" s="100"/>
      <c r="M424" s="87"/>
      <c r="N424" s="87"/>
      <c r="O424" s="87"/>
      <c r="P424" s="87"/>
      <c r="Q424" s="87"/>
      <c r="R424" s="87"/>
      <c r="S424" s="87"/>
      <c r="T424" s="87"/>
    </row>
    <row r="425" spans="1:20" ht="16.5" x14ac:dyDescent="0.3">
      <c r="A425" s="98"/>
      <c r="B425" s="99"/>
      <c r="C425" s="98"/>
      <c r="D425" s="100"/>
      <c r="E425" s="98"/>
      <c r="F425" s="98"/>
      <c r="G425" s="98"/>
      <c r="H425" s="98"/>
      <c r="I425" s="100"/>
      <c r="J425" s="100"/>
      <c r="K425" s="101"/>
      <c r="L425" s="100"/>
      <c r="M425" s="87"/>
      <c r="N425" s="87"/>
      <c r="O425" s="87"/>
      <c r="P425" s="87"/>
      <c r="Q425" s="87"/>
      <c r="R425" s="87"/>
      <c r="S425" s="87"/>
      <c r="T425" s="87"/>
    </row>
    <row r="426" spans="1:20" ht="16.5" x14ac:dyDescent="0.3">
      <c r="A426" s="98"/>
      <c r="B426" s="99"/>
      <c r="C426" s="98"/>
      <c r="D426" s="100"/>
      <c r="E426" s="98"/>
      <c r="F426" s="98"/>
      <c r="G426" s="98"/>
      <c r="H426" s="98"/>
      <c r="I426" s="100"/>
      <c r="J426" s="100"/>
      <c r="K426" s="101"/>
      <c r="L426" s="100"/>
      <c r="M426" s="87"/>
      <c r="N426" s="87"/>
      <c r="O426" s="87"/>
      <c r="P426" s="87"/>
      <c r="Q426" s="87"/>
      <c r="R426" s="87"/>
      <c r="S426" s="87"/>
      <c r="T426" s="87"/>
    </row>
    <row r="427" spans="1:20" ht="16.5" x14ac:dyDescent="0.3">
      <c r="A427" s="98"/>
      <c r="B427" s="99"/>
      <c r="C427" s="98"/>
      <c r="D427" s="100"/>
      <c r="E427" s="98"/>
      <c r="F427" s="98"/>
      <c r="G427" s="98"/>
      <c r="H427" s="98"/>
      <c r="I427" s="100"/>
      <c r="J427" s="100"/>
      <c r="K427" s="101"/>
      <c r="L427" s="100"/>
      <c r="M427" s="87"/>
      <c r="N427" s="87"/>
      <c r="O427" s="87"/>
      <c r="P427" s="87"/>
      <c r="Q427" s="87"/>
      <c r="R427" s="87"/>
      <c r="S427" s="87"/>
      <c r="T427" s="87"/>
    </row>
    <row r="428" spans="1:20" ht="16.5" x14ac:dyDescent="0.3">
      <c r="A428" s="98"/>
      <c r="B428" s="99"/>
      <c r="C428" s="98"/>
      <c r="D428" s="100"/>
      <c r="E428" s="98"/>
      <c r="F428" s="98"/>
      <c r="G428" s="98"/>
      <c r="H428" s="98"/>
      <c r="I428" s="100"/>
      <c r="J428" s="100"/>
      <c r="K428" s="101"/>
      <c r="L428" s="100"/>
      <c r="M428" s="87"/>
      <c r="N428" s="87"/>
      <c r="O428" s="87"/>
      <c r="P428" s="87"/>
      <c r="Q428" s="87"/>
      <c r="R428" s="87"/>
      <c r="S428" s="87"/>
      <c r="T428" s="87"/>
    </row>
    <row r="429" spans="1:20" ht="16.5" x14ac:dyDescent="0.3">
      <c r="A429" s="98"/>
      <c r="B429" s="99"/>
      <c r="C429" s="98"/>
      <c r="D429" s="100"/>
      <c r="E429" s="98"/>
      <c r="F429" s="98"/>
      <c r="G429" s="98"/>
      <c r="H429" s="98"/>
      <c r="I429" s="100"/>
      <c r="J429" s="100"/>
      <c r="K429" s="101"/>
      <c r="L429" s="100"/>
      <c r="M429" s="87"/>
      <c r="N429" s="87"/>
      <c r="O429" s="87"/>
      <c r="P429" s="87"/>
      <c r="Q429" s="87"/>
      <c r="R429" s="87"/>
      <c r="S429" s="87"/>
      <c r="T429" s="87"/>
    </row>
    <row r="430" spans="1:20" ht="16.5" x14ac:dyDescent="0.3">
      <c r="A430" s="98"/>
      <c r="B430" s="99"/>
      <c r="C430" s="98"/>
      <c r="D430" s="100"/>
      <c r="E430" s="98"/>
      <c r="F430" s="98"/>
      <c r="G430" s="98"/>
      <c r="H430" s="98"/>
      <c r="I430" s="100"/>
      <c r="J430" s="100"/>
      <c r="K430" s="101"/>
      <c r="L430" s="100"/>
      <c r="M430" s="87"/>
      <c r="N430" s="87"/>
      <c r="O430" s="87"/>
      <c r="P430" s="87"/>
      <c r="Q430" s="87"/>
      <c r="R430" s="87"/>
      <c r="S430" s="87"/>
      <c r="T430" s="87"/>
    </row>
    <row r="431" spans="1:20" ht="16.5" x14ac:dyDescent="0.3">
      <c r="A431" s="98"/>
      <c r="B431" s="99"/>
      <c r="C431" s="98"/>
      <c r="D431" s="100"/>
      <c r="E431" s="98"/>
      <c r="F431" s="98"/>
      <c r="G431" s="98"/>
      <c r="H431" s="98"/>
      <c r="I431" s="100"/>
      <c r="J431" s="100"/>
      <c r="K431" s="101"/>
      <c r="L431" s="100"/>
      <c r="M431" s="87"/>
      <c r="N431" s="87"/>
      <c r="O431" s="87"/>
      <c r="P431" s="87"/>
      <c r="Q431" s="87"/>
      <c r="R431" s="87"/>
      <c r="S431" s="87"/>
      <c r="T431" s="87"/>
    </row>
    <row r="432" spans="1:20" ht="16.5" x14ac:dyDescent="0.3">
      <c r="A432" s="98"/>
      <c r="B432" s="99"/>
      <c r="C432" s="98"/>
      <c r="D432" s="100"/>
      <c r="E432" s="98"/>
      <c r="F432" s="98"/>
      <c r="G432" s="98"/>
      <c r="H432" s="98"/>
      <c r="I432" s="100"/>
      <c r="J432" s="100"/>
      <c r="K432" s="101"/>
      <c r="L432" s="100"/>
      <c r="M432" s="87"/>
      <c r="N432" s="87"/>
      <c r="O432" s="87"/>
      <c r="P432" s="87"/>
      <c r="Q432" s="87"/>
      <c r="R432" s="87"/>
      <c r="S432" s="87"/>
      <c r="T432" s="87"/>
    </row>
    <row r="433" spans="1:20" ht="16.5" x14ac:dyDescent="0.3">
      <c r="A433" s="98"/>
      <c r="B433" s="99"/>
      <c r="C433" s="98"/>
      <c r="D433" s="100"/>
      <c r="E433" s="98"/>
      <c r="F433" s="98"/>
      <c r="G433" s="98"/>
      <c r="H433" s="98"/>
      <c r="I433" s="100"/>
      <c r="J433" s="100"/>
      <c r="K433" s="101"/>
      <c r="L433" s="100"/>
      <c r="M433" s="87"/>
      <c r="N433" s="87"/>
      <c r="O433" s="87"/>
      <c r="P433" s="87"/>
      <c r="Q433" s="87"/>
      <c r="R433" s="87"/>
      <c r="S433" s="87"/>
      <c r="T433" s="87"/>
    </row>
    <row r="434" spans="1:20" ht="16.5" x14ac:dyDescent="0.3">
      <c r="A434" s="98"/>
      <c r="B434" s="99"/>
      <c r="C434" s="98"/>
      <c r="D434" s="100"/>
      <c r="E434" s="98"/>
      <c r="F434" s="98"/>
      <c r="G434" s="98"/>
      <c r="H434" s="98"/>
      <c r="I434" s="100"/>
      <c r="J434" s="100"/>
      <c r="K434" s="101"/>
      <c r="L434" s="100"/>
      <c r="M434" s="87"/>
      <c r="N434" s="87"/>
      <c r="O434" s="87"/>
      <c r="P434" s="87"/>
      <c r="Q434" s="87"/>
      <c r="R434" s="87"/>
      <c r="S434" s="87"/>
      <c r="T434" s="87"/>
    </row>
    <row r="435" spans="1:20" ht="16.5" x14ac:dyDescent="0.3">
      <c r="A435" s="98"/>
      <c r="B435" s="99"/>
      <c r="C435" s="98"/>
      <c r="D435" s="100"/>
      <c r="E435" s="98"/>
      <c r="F435" s="98"/>
      <c r="G435" s="98"/>
      <c r="H435" s="98"/>
      <c r="I435" s="100"/>
      <c r="J435" s="100"/>
      <c r="K435" s="101"/>
      <c r="L435" s="100"/>
      <c r="M435" s="87"/>
      <c r="N435" s="87"/>
      <c r="O435" s="87"/>
      <c r="P435" s="87"/>
      <c r="Q435" s="87"/>
      <c r="R435" s="87"/>
      <c r="S435" s="87"/>
      <c r="T435" s="87"/>
    </row>
    <row r="436" spans="1:20" ht="16.5" x14ac:dyDescent="0.3">
      <c r="A436" s="98"/>
      <c r="B436" s="99"/>
      <c r="C436" s="98"/>
      <c r="D436" s="100"/>
      <c r="E436" s="98"/>
      <c r="F436" s="98"/>
      <c r="G436" s="98"/>
      <c r="H436" s="98"/>
      <c r="I436" s="100"/>
      <c r="J436" s="100"/>
      <c r="K436" s="101"/>
      <c r="L436" s="100"/>
      <c r="M436" s="87"/>
      <c r="N436" s="87"/>
      <c r="O436" s="87"/>
      <c r="P436" s="87"/>
      <c r="Q436" s="87"/>
      <c r="R436" s="87"/>
      <c r="S436" s="87"/>
      <c r="T436" s="87"/>
    </row>
    <row r="437" spans="1:20" ht="16.5" x14ac:dyDescent="0.3">
      <c r="A437" s="98"/>
      <c r="B437" s="99"/>
      <c r="C437" s="98"/>
      <c r="D437" s="100"/>
      <c r="E437" s="98"/>
      <c r="F437" s="98"/>
      <c r="G437" s="98"/>
      <c r="H437" s="98"/>
      <c r="I437" s="100"/>
      <c r="J437" s="100"/>
      <c r="K437" s="101"/>
      <c r="L437" s="100"/>
      <c r="M437" s="87"/>
      <c r="N437" s="87"/>
      <c r="O437" s="87"/>
      <c r="P437" s="87"/>
      <c r="Q437" s="87"/>
      <c r="R437" s="87"/>
      <c r="S437" s="87"/>
      <c r="T437" s="87"/>
    </row>
    <row r="438" spans="1:20" ht="16.5" x14ac:dyDescent="0.3">
      <c r="A438" s="98"/>
      <c r="B438" s="99"/>
      <c r="C438" s="98"/>
      <c r="D438" s="100"/>
      <c r="E438" s="98"/>
      <c r="F438" s="98"/>
      <c r="G438" s="98"/>
      <c r="H438" s="98"/>
      <c r="I438" s="100"/>
      <c r="J438" s="100"/>
      <c r="K438" s="101"/>
      <c r="L438" s="100"/>
      <c r="M438" s="87"/>
      <c r="N438" s="87"/>
      <c r="O438" s="87"/>
      <c r="P438" s="87"/>
      <c r="Q438" s="87"/>
      <c r="R438" s="87"/>
      <c r="S438" s="87"/>
      <c r="T438" s="87"/>
    </row>
    <row r="439" spans="1:20" ht="16.5" x14ac:dyDescent="0.3">
      <c r="A439" s="98"/>
      <c r="B439" s="99"/>
      <c r="C439" s="98"/>
      <c r="D439" s="100"/>
      <c r="E439" s="98"/>
      <c r="F439" s="98"/>
      <c r="G439" s="98"/>
      <c r="H439" s="98"/>
      <c r="I439" s="100"/>
      <c r="J439" s="100"/>
      <c r="K439" s="101"/>
      <c r="L439" s="100"/>
      <c r="M439" s="87"/>
      <c r="N439" s="87"/>
      <c r="O439" s="87"/>
      <c r="P439" s="87"/>
      <c r="Q439" s="87"/>
      <c r="R439" s="87"/>
      <c r="S439" s="87"/>
      <c r="T439" s="87"/>
    </row>
    <row r="440" spans="1:20" ht="16.5" x14ac:dyDescent="0.3">
      <c r="A440" s="98"/>
      <c r="B440" s="99"/>
      <c r="C440" s="98"/>
      <c r="D440" s="100"/>
      <c r="E440" s="98"/>
      <c r="F440" s="98"/>
      <c r="G440" s="98"/>
      <c r="H440" s="98"/>
      <c r="I440" s="100"/>
      <c r="J440" s="100"/>
      <c r="K440" s="101"/>
      <c r="L440" s="100"/>
      <c r="M440" s="87"/>
      <c r="N440" s="87"/>
      <c r="O440" s="87"/>
      <c r="P440" s="87"/>
      <c r="Q440" s="87"/>
      <c r="R440" s="87"/>
      <c r="S440" s="87"/>
      <c r="T440" s="87"/>
    </row>
    <row r="441" spans="1:20" ht="16.5" x14ac:dyDescent="0.3">
      <c r="A441" s="98"/>
      <c r="B441" s="99"/>
      <c r="C441" s="98"/>
      <c r="D441" s="100"/>
      <c r="E441" s="98"/>
      <c r="F441" s="98"/>
      <c r="G441" s="98"/>
      <c r="H441" s="98"/>
      <c r="I441" s="100"/>
      <c r="J441" s="100"/>
      <c r="K441" s="101"/>
      <c r="L441" s="100"/>
      <c r="M441" s="87"/>
      <c r="N441" s="87"/>
      <c r="O441" s="87"/>
      <c r="P441" s="87"/>
      <c r="Q441" s="87"/>
      <c r="R441" s="87"/>
      <c r="S441" s="87"/>
      <c r="T441" s="87"/>
    </row>
    <row r="442" spans="1:20" ht="16.5" x14ac:dyDescent="0.3">
      <c r="A442" s="98"/>
      <c r="B442" s="99"/>
      <c r="C442" s="98"/>
      <c r="D442" s="100"/>
      <c r="E442" s="98"/>
      <c r="F442" s="98"/>
      <c r="G442" s="98"/>
      <c r="H442" s="98"/>
      <c r="I442" s="100"/>
      <c r="J442" s="100"/>
      <c r="K442" s="101"/>
      <c r="L442" s="100"/>
      <c r="M442" s="87"/>
      <c r="N442" s="87"/>
      <c r="O442" s="87"/>
      <c r="P442" s="87"/>
      <c r="Q442" s="87"/>
      <c r="R442" s="87"/>
      <c r="S442" s="87"/>
      <c r="T442" s="87"/>
    </row>
    <row r="443" spans="1:20" ht="16.5" x14ac:dyDescent="0.3">
      <c r="A443" s="98"/>
      <c r="B443" s="99"/>
      <c r="C443" s="98"/>
      <c r="D443" s="100"/>
      <c r="E443" s="98"/>
      <c r="F443" s="98"/>
      <c r="G443" s="98"/>
      <c r="H443" s="98"/>
      <c r="I443" s="100"/>
      <c r="J443" s="100"/>
      <c r="K443" s="101"/>
      <c r="L443" s="100"/>
      <c r="M443" s="87"/>
      <c r="N443" s="87"/>
      <c r="O443" s="87"/>
      <c r="P443" s="87"/>
      <c r="Q443" s="87"/>
      <c r="R443" s="87"/>
      <c r="S443" s="87"/>
      <c r="T443" s="87"/>
    </row>
    <row r="444" spans="1:20" ht="16.5" x14ac:dyDescent="0.3">
      <c r="A444" s="98"/>
      <c r="B444" s="99"/>
      <c r="C444" s="98"/>
      <c r="D444" s="100"/>
      <c r="E444" s="98"/>
      <c r="F444" s="98"/>
      <c r="G444" s="98"/>
      <c r="H444" s="98"/>
      <c r="I444" s="100"/>
      <c r="J444" s="100"/>
      <c r="K444" s="101"/>
      <c r="L444" s="100"/>
      <c r="M444" s="87"/>
      <c r="N444" s="87"/>
      <c r="O444" s="87"/>
      <c r="P444" s="87"/>
      <c r="Q444" s="87"/>
      <c r="R444" s="87"/>
      <c r="S444" s="87"/>
      <c r="T444" s="87"/>
    </row>
    <row r="445" spans="1:20" ht="16.5" x14ac:dyDescent="0.3">
      <c r="A445" s="98"/>
      <c r="B445" s="99"/>
      <c r="C445" s="98"/>
      <c r="D445" s="100"/>
      <c r="E445" s="98"/>
      <c r="F445" s="98"/>
      <c r="G445" s="98"/>
      <c r="H445" s="98"/>
      <c r="I445" s="100"/>
      <c r="J445" s="100"/>
      <c r="K445" s="101"/>
      <c r="L445" s="100"/>
      <c r="M445" s="87"/>
      <c r="N445" s="87"/>
      <c r="O445" s="87"/>
      <c r="P445" s="87"/>
      <c r="Q445" s="87"/>
      <c r="R445" s="87"/>
      <c r="S445" s="87"/>
      <c r="T445" s="87"/>
    </row>
    <row r="446" spans="1:20" ht="16.5" x14ac:dyDescent="0.3">
      <c r="A446" s="98"/>
      <c r="B446" s="99"/>
      <c r="C446" s="98"/>
      <c r="D446" s="100"/>
      <c r="E446" s="98"/>
      <c r="F446" s="98"/>
      <c r="G446" s="98"/>
      <c r="H446" s="98"/>
      <c r="I446" s="100"/>
      <c r="J446" s="100"/>
      <c r="K446" s="101"/>
      <c r="L446" s="100"/>
      <c r="M446" s="87"/>
      <c r="N446" s="87"/>
      <c r="O446" s="87"/>
      <c r="P446" s="87"/>
      <c r="Q446" s="87"/>
      <c r="R446" s="87"/>
      <c r="S446" s="87"/>
      <c r="T446" s="87"/>
    </row>
    <row r="447" spans="1:20" ht="16.5" x14ac:dyDescent="0.3">
      <c r="A447" s="98"/>
      <c r="B447" s="99"/>
      <c r="C447" s="98"/>
      <c r="D447" s="100"/>
      <c r="E447" s="98"/>
      <c r="F447" s="98"/>
      <c r="G447" s="98"/>
      <c r="H447" s="98"/>
      <c r="I447" s="100"/>
      <c r="J447" s="100"/>
      <c r="K447" s="101"/>
      <c r="L447" s="100"/>
      <c r="M447" s="87"/>
      <c r="N447" s="87"/>
      <c r="O447" s="87"/>
      <c r="P447" s="87"/>
      <c r="Q447" s="87"/>
      <c r="R447" s="87"/>
      <c r="S447" s="87"/>
      <c r="T447" s="87"/>
    </row>
    <row r="448" spans="1:20" ht="16.5" x14ac:dyDescent="0.3">
      <c r="A448" s="98"/>
      <c r="B448" s="99"/>
      <c r="C448" s="98"/>
      <c r="D448" s="100"/>
      <c r="E448" s="98"/>
      <c r="F448" s="98"/>
      <c r="G448" s="98"/>
      <c r="H448" s="98"/>
      <c r="I448" s="100"/>
      <c r="J448" s="100"/>
      <c r="K448" s="101"/>
      <c r="L448" s="100"/>
      <c r="M448" s="87"/>
      <c r="N448" s="87"/>
      <c r="O448" s="87"/>
      <c r="P448" s="87"/>
      <c r="Q448" s="87"/>
      <c r="R448" s="87"/>
      <c r="S448" s="87"/>
      <c r="T448" s="87"/>
    </row>
    <row r="449" spans="1:20" ht="16.5" x14ac:dyDescent="0.3">
      <c r="A449" s="98"/>
      <c r="B449" s="99"/>
      <c r="C449" s="98"/>
      <c r="D449" s="100"/>
      <c r="E449" s="98"/>
      <c r="F449" s="98"/>
      <c r="G449" s="98"/>
      <c r="H449" s="98"/>
      <c r="I449" s="100"/>
      <c r="J449" s="100"/>
      <c r="K449" s="101"/>
      <c r="L449" s="100"/>
      <c r="M449" s="87"/>
      <c r="N449" s="87"/>
      <c r="O449" s="87"/>
      <c r="P449" s="87"/>
      <c r="Q449" s="87"/>
      <c r="R449" s="87"/>
      <c r="S449" s="87"/>
      <c r="T449" s="87"/>
    </row>
    <row r="450" spans="1:20" ht="16.5" x14ac:dyDescent="0.3">
      <c r="A450" s="98"/>
      <c r="B450" s="99"/>
      <c r="C450" s="98"/>
      <c r="D450" s="100"/>
      <c r="E450" s="98"/>
      <c r="F450" s="98"/>
      <c r="G450" s="98"/>
      <c r="H450" s="98"/>
      <c r="I450" s="100"/>
      <c r="J450" s="100"/>
      <c r="K450" s="101"/>
      <c r="L450" s="100"/>
      <c r="M450" s="87"/>
      <c r="N450" s="87"/>
      <c r="O450" s="87"/>
      <c r="P450" s="87"/>
      <c r="Q450" s="87"/>
      <c r="R450" s="87"/>
      <c r="S450" s="87"/>
      <c r="T450" s="87"/>
    </row>
    <row r="451" spans="1:20" ht="16.5" x14ac:dyDescent="0.3">
      <c r="A451" s="98"/>
      <c r="B451" s="99"/>
      <c r="C451" s="98"/>
      <c r="D451" s="100"/>
      <c r="E451" s="98"/>
      <c r="F451" s="98"/>
      <c r="G451" s="98"/>
      <c r="H451" s="98"/>
      <c r="I451" s="100"/>
      <c r="J451" s="100"/>
      <c r="K451" s="101"/>
      <c r="L451" s="100"/>
      <c r="M451" s="87"/>
      <c r="N451" s="87"/>
      <c r="O451" s="87"/>
      <c r="P451" s="87"/>
      <c r="Q451" s="87"/>
      <c r="R451" s="87"/>
      <c r="S451" s="87"/>
      <c r="T451" s="87"/>
    </row>
    <row r="452" spans="1:20" ht="16.5" x14ac:dyDescent="0.3">
      <c r="A452" s="98"/>
      <c r="B452" s="99"/>
      <c r="C452" s="98"/>
      <c r="D452" s="100"/>
      <c r="E452" s="98"/>
      <c r="F452" s="98"/>
      <c r="G452" s="98"/>
      <c r="H452" s="98"/>
      <c r="I452" s="100"/>
      <c r="J452" s="100"/>
      <c r="K452" s="101"/>
      <c r="L452" s="100"/>
      <c r="M452" s="87"/>
      <c r="N452" s="87"/>
      <c r="O452" s="87"/>
      <c r="P452" s="87"/>
      <c r="Q452" s="87"/>
      <c r="R452" s="87"/>
      <c r="S452" s="87"/>
      <c r="T452" s="87"/>
    </row>
    <row r="453" spans="1:20" ht="16.5" x14ac:dyDescent="0.3">
      <c r="A453" s="98"/>
      <c r="B453" s="99"/>
      <c r="C453" s="98"/>
      <c r="D453" s="100"/>
      <c r="E453" s="98"/>
      <c r="F453" s="98"/>
      <c r="G453" s="98"/>
      <c r="H453" s="98"/>
      <c r="I453" s="100"/>
      <c r="J453" s="100"/>
      <c r="K453" s="101"/>
      <c r="L453" s="100"/>
      <c r="M453" s="87"/>
      <c r="N453" s="87"/>
      <c r="O453" s="87"/>
      <c r="P453" s="87"/>
      <c r="Q453" s="87"/>
      <c r="R453" s="87"/>
      <c r="S453" s="87"/>
      <c r="T453" s="87"/>
    </row>
    <row r="454" spans="1:20" ht="16.5" x14ac:dyDescent="0.3">
      <c r="A454" s="98"/>
      <c r="B454" s="99"/>
      <c r="C454" s="98"/>
      <c r="D454" s="100"/>
      <c r="E454" s="98"/>
      <c r="F454" s="98"/>
      <c r="G454" s="98"/>
      <c r="H454" s="98"/>
      <c r="I454" s="100"/>
      <c r="J454" s="100"/>
      <c r="K454" s="101"/>
      <c r="L454" s="100"/>
      <c r="M454" s="87"/>
      <c r="N454" s="87"/>
      <c r="O454" s="87"/>
      <c r="P454" s="87"/>
      <c r="Q454" s="87"/>
      <c r="R454" s="87"/>
      <c r="S454" s="87"/>
      <c r="T454" s="87"/>
    </row>
    <row r="455" spans="1:20" ht="16.5" x14ac:dyDescent="0.3">
      <c r="A455" s="98"/>
      <c r="B455" s="99"/>
      <c r="C455" s="98"/>
      <c r="D455" s="100"/>
      <c r="E455" s="98"/>
      <c r="F455" s="98"/>
      <c r="G455" s="98"/>
      <c r="H455" s="98"/>
      <c r="I455" s="100"/>
      <c r="J455" s="100"/>
      <c r="K455" s="101"/>
      <c r="L455" s="100"/>
      <c r="M455" s="87"/>
      <c r="N455" s="87"/>
      <c r="O455" s="87"/>
      <c r="P455" s="87"/>
      <c r="Q455" s="87"/>
      <c r="R455" s="87"/>
      <c r="S455" s="87"/>
      <c r="T455" s="87"/>
    </row>
    <row r="456" spans="1:20" ht="16.5" x14ac:dyDescent="0.3">
      <c r="A456" s="98"/>
      <c r="B456" s="99"/>
      <c r="C456" s="98"/>
      <c r="D456" s="100"/>
      <c r="E456" s="98"/>
      <c r="F456" s="98"/>
      <c r="G456" s="98"/>
      <c r="H456" s="98"/>
      <c r="I456" s="100"/>
      <c r="J456" s="100"/>
      <c r="K456" s="101"/>
      <c r="L456" s="100"/>
      <c r="M456" s="87"/>
      <c r="N456" s="87"/>
      <c r="O456" s="87"/>
      <c r="P456" s="87"/>
      <c r="Q456" s="87"/>
      <c r="R456" s="87"/>
      <c r="S456" s="87"/>
      <c r="T456" s="87"/>
    </row>
    <row r="457" spans="1:20" ht="16.5" x14ac:dyDescent="0.3">
      <c r="A457" s="98"/>
      <c r="B457" s="99"/>
      <c r="C457" s="98"/>
      <c r="D457" s="100"/>
      <c r="E457" s="98"/>
      <c r="F457" s="98"/>
      <c r="G457" s="98"/>
      <c r="H457" s="98"/>
      <c r="I457" s="100"/>
      <c r="J457" s="100"/>
      <c r="K457" s="101"/>
      <c r="L457" s="100"/>
      <c r="M457" s="87"/>
      <c r="N457" s="87"/>
      <c r="O457" s="87"/>
      <c r="P457" s="87"/>
      <c r="Q457" s="87"/>
      <c r="R457" s="87"/>
      <c r="S457" s="87"/>
      <c r="T457" s="87"/>
    </row>
    <row r="458" spans="1:20" ht="16.5" x14ac:dyDescent="0.3">
      <c r="A458" s="98"/>
      <c r="B458" s="99"/>
      <c r="C458" s="98"/>
      <c r="D458" s="100"/>
      <c r="E458" s="98"/>
      <c r="F458" s="98"/>
      <c r="G458" s="98"/>
      <c r="H458" s="98"/>
      <c r="I458" s="100"/>
      <c r="J458" s="100"/>
      <c r="K458" s="101"/>
      <c r="L458" s="100"/>
      <c r="M458" s="87"/>
      <c r="N458" s="87"/>
      <c r="O458" s="87"/>
      <c r="P458" s="87"/>
      <c r="Q458" s="87"/>
      <c r="R458" s="87"/>
      <c r="S458" s="87"/>
      <c r="T458" s="87"/>
    </row>
    <row r="459" spans="1:20" ht="16.5" x14ac:dyDescent="0.3">
      <c r="A459" s="98"/>
      <c r="B459" s="99"/>
      <c r="C459" s="98"/>
      <c r="D459" s="100"/>
      <c r="E459" s="98"/>
      <c r="F459" s="98"/>
      <c r="G459" s="98"/>
      <c r="H459" s="98"/>
      <c r="I459" s="100"/>
      <c r="J459" s="100"/>
      <c r="K459" s="101"/>
      <c r="L459" s="100"/>
      <c r="M459" s="87"/>
      <c r="N459" s="87"/>
      <c r="O459" s="87"/>
      <c r="P459" s="87"/>
      <c r="Q459" s="87"/>
      <c r="R459" s="87"/>
      <c r="S459" s="87"/>
      <c r="T459" s="87"/>
    </row>
    <row r="460" spans="1:20" ht="16.5" x14ac:dyDescent="0.3">
      <c r="A460" s="98"/>
      <c r="B460" s="99"/>
      <c r="C460" s="98"/>
      <c r="D460" s="100"/>
      <c r="E460" s="98"/>
      <c r="F460" s="98"/>
      <c r="G460" s="98"/>
      <c r="H460" s="98"/>
      <c r="I460" s="100"/>
      <c r="J460" s="100"/>
      <c r="K460" s="101"/>
      <c r="L460" s="100"/>
      <c r="M460" s="87"/>
      <c r="N460" s="87"/>
      <c r="O460" s="87"/>
      <c r="P460" s="87"/>
      <c r="Q460" s="87"/>
      <c r="R460" s="87"/>
      <c r="S460" s="87"/>
      <c r="T460" s="87"/>
    </row>
    <row r="461" spans="1:20" ht="16.5" x14ac:dyDescent="0.3">
      <c r="A461" s="98"/>
      <c r="B461" s="99"/>
      <c r="C461" s="98"/>
      <c r="D461" s="100"/>
      <c r="E461" s="98"/>
      <c r="F461" s="98"/>
      <c r="G461" s="98"/>
      <c r="H461" s="98"/>
      <c r="I461" s="100"/>
      <c r="J461" s="100"/>
      <c r="K461" s="101"/>
      <c r="L461" s="100"/>
      <c r="M461" s="87"/>
      <c r="N461" s="87"/>
      <c r="O461" s="87"/>
      <c r="P461" s="87"/>
      <c r="Q461" s="87"/>
      <c r="R461" s="87"/>
      <c r="S461" s="87"/>
      <c r="T461" s="87"/>
    </row>
    <row r="462" spans="1:20" ht="16.5" x14ac:dyDescent="0.3">
      <c r="A462" s="98"/>
      <c r="B462" s="99"/>
      <c r="C462" s="98"/>
      <c r="D462" s="100"/>
      <c r="E462" s="98"/>
      <c r="F462" s="98"/>
      <c r="G462" s="98"/>
      <c r="H462" s="98"/>
      <c r="I462" s="100"/>
      <c r="J462" s="100"/>
      <c r="K462" s="101"/>
      <c r="L462" s="100"/>
      <c r="M462" s="87"/>
      <c r="N462" s="87"/>
      <c r="O462" s="87"/>
      <c r="P462" s="87"/>
      <c r="Q462" s="87"/>
      <c r="R462" s="87"/>
      <c r="S462" s="87"/>
      <c r="T462" s="87"/>
    </row>
    <row r="463" spans="1:20" ht="16.5" x14ac:dyDescent="0.3">
      <c r="A463" s="98"/>
      <c r="B463" s="99"/>
      <c r="C463" s="98"/>
      <c r="D463" s="100"/>
      <c r="E463" s="98"/>
      <c r="F463" s="98"/>
      <c r="G463" s="98"/>
      <c r="H463" s="98"/>
      <c r="I463" s="100"/>
      <c r="J463" s="100"/>
      <c r="K463" s="101"/>
      <c r="L463" s="100"/>
      <c r="M463" s="87"/>
      <c r="N463" s="87"/>
      <c r="O463" s="87"/>
      <c r="P463" s="87"/>
      <c r="Q463" s="87"/>
      <c r="R463" s="87"/>
      <c r="S463" s="87"/>
      <c r="T463" s="87"/>
    </row>
    <row r="464" spans="1:20" ht="16.5" x14ac:dyDescent="0.3">
      <c r="A464" s="98"/>
      <c r="B464" s="99"/>
      <c r="C464" s="98"/>
      <c r="D464" s="100"/>
      <c r="E464" s="98"/>
      <c r="F464" s="98"/>
      <c r="G464" s="98"/>
      <c r="H464" s="98"/>
      <c r="I464" s="100"/>
      <c r="J464" s="100"/>
      <c r="K464" s="101"/>
      <c r="L464" s="100"/>
      <c r="M464" s="87"/>
      <c r="N464" s="87"/>
      <c r="O464" s="87"/>
      <c r="P464" s="87"/>
      <c r="Q464" s="87"/>
      <c r="R464" s="87"/>
      <c r="S464" s="87"/>
      <c r="T464" s="87"/>
    </row>
    <row r="465" spans="1:20" ht="16.5" x14ac:dyDescent="0.3">
      <c r="A465" s="98"/>
      <c r="B465" s="99"/>
      <c r="C465" s="98"/>
      <c r="D465" s="100"/>
      <c r="E465" s="98"/>
      <c r="F465" s="98"/>
      <c r="G465" s="98"/>
      <c r="H465" s="98"/>
      <c r="I465" s="100"/>
      <c r="J465" s="100"/>
      <c r="K465" s="101"/>
      <c r="L465" s="100"/>
      <c r="M465" s="87"/>
      <c r="N465" s="87"/>
      <c r="O465" s="87"/>
      <c r="P465" s="87"/>
      <c r="Q465" s="87"/>
      <c r="R465" s="87"/>
      <c r="S465" s="87"/>
      <c r="T465" s="87"/>
    </row>
    <row r="466" spans="1:20" ht="16.5" x14ac:dyDescent="0.3">
      <c r="A466" s="98"/>
      <c r="B466" s="99"/>
      <c r="C466" s="98"/>
      <c r="D466" s="100"/>
      <c r="E466" s="98"/>
      <c r="F466" s="98"/>
      <c r="G466" s="98"/>
      <c r="H466" s="98"/>
      <c r="I466" s="100"/>
      <c r="J466" s="100"/>
      <c r="K466" s="101"/>
      <c r="L466" s="100"/>
      <c r="M466" s="87"/>
      <c r="N466" s="87"/>
      <c r="O466" s="87"/>
      <c r="P466" s="87"/>
      <c r="Q466" s="87"/>
      <c r="R466" s="87"/>
      <c r="S466" s="87"/>
      <c r="T466" s="87"/>
    </row>
    <row r="467" spans="1:20" ht="16.5" x14ac:dyDescent="0.3">
      <c r="A467" s="98"/>
      <c r="B467" s="99"/>
      <c r="C467" s="98"/>
      <c r="D467" s="100"/>
      <c r="E467" s="98"/>
      <c r="F467" s="98"/>
      <c r="G467" s="98"/>
      <c r="H467" s="98"/>
      <c r="I467" s="100"/>
      <c r="J467" s="100"/>
      <c r="K467" s="101"/>
      <c r="L467" s="100"/>
      <c r="M467" s="87"/>
      <c r="N467" s="87"/>
      <c r="O467" s="87"/>
      <c r="P467" s="87"/>
      <c r="Q467" s="87"/>
      <c r="R467" s="87"/>
      <c r="S467" s="87"/>
      <c r="T467" s="87"/>
    </row>
    <row r="468" spans="1:20" ht="16.5" x14ac:dyDescent="0.3">
      <c r="A468" s="98"/>
      <c r="B468" s="99"/>
      <c r="C468" s="98"/>
      <c r="D468" s="100"/>
      <c r="E468" s="98"/>
      <c r="F468" s="98"/>
      <c r="G468" s="98"/>
      <c r="H468" s="98"/>
      <c r="I468" s="100"/>
      <c r="J468" s="100"/>
      <c r="K468" s="101"/>
      <c r="L468" s="100"/>
      <c r="M468" s="87"/>
      <c r="N468" s="87"/>
      <c r="O468" s="87"/>
      <c r="P468" s="87"/>
      <c r="Q468" s="87"/>
      <c r="R468" s="87"/>
      <c r="S468" s="87"/>
      <c r="T468" s="87"/>
    </row>
    <row r="469" spans="1:20" ht="16.5" x14ac:dyDescent="0.3">
      <c r="A469" s="98"/>
      <c r="B469" s="99"/>
      <c r="C469" s="98"/>
      <c r="D469" s="100"/>
      <c r="E469" s="98"/>
      <c r="F469" s="98"/>
      <c r="G469" s="98"/>
      <c r="H469" s="98"/>
      <c r="I469" s="100"/>
      <c r="J469" s="100"/>
      <c r="K469" s="101"/>
      <c r="L469" s="100"/>
      <c r="M469" s="87"/>
      <c r="N469" s="87"/>
      <c r="O469" s="87"/>
      <c r="P469" s="87"/>
      <c r="Q469" s="87"/>
      <c r="R469" s="87"/>
      <c r="S469" s="87"/>
      <c r="T469" s="87"/>
    </row>
    <row r="470" spans="1:20" ht="16.5" x14ac:dyDescent="0.3">
      <c r="A470" s="98"/>
      <c r="B470" s="99"/>
      <c r="C470" s="98"/>
      <c r="D470" s="100"/>
      <c r="E470" s="98"/>
      <c r="F470" s="98"/>
      <c r="G470" s="98"/>
      <c r="H470" s="98"/>
      <c r="I470" s="100"/>
      <c r="J470" s="100"/>
      <c r="K470" s="101"/>
      <c r="L470" s="100"/>
      <c r="M470" s="87"/>
      <c r="N470" s="87"/>
      <c r="O470" s="87"/>
      <c r="P470" s="87"/>
      <c r="Q470" s="87"/>
      <c r="R470" s="87"/>
      <c r="S470" s="87"/>
      <c r="T470" s="87"/>
    </row>
    <row r="471" spans="1:20" ht="16.5" x14ac:dyDescent="0.3">
      <c r="A471" s="98"/>
      <c r="B471" s="99"/>
      <c r="C471" s="98"/>
      <c r="D471" s="100"/>
      <c r="E471" s="98"/>
      <c r="F471" s="98"/>
      <c r="G471" s="98"/>
      <c r="H471" s="98"/>
      <c r="I471" s="100"/>
      <c r="J471" s="100"/>
      <c r="K471" s="101"/>
      <c r="L471" s="100"/>
      <c r="M471" s="87"/>
      <c r="N471" s="87"/>
      <c r="O471" s="87"/>
      <c r="P471" s="87"/>
      <c r="Q471" s="87"/>
      <c r="R471" s="87"/>
      <c r="S471" s="87"/>
      <c r="T471" s="87"/>
    </row>
    <row r="472" spans="1:20" ht="16.5" x14ac:dyDescent="0.3">
      <c r="A472" s="98"/>
      <c r="B472" s="99"/>
      <c r="C472" s="98"/>
      <c r="D472" s="100"/>
      <c r="E472" s="98"/>
      <c r="F472" s="98"/>
      <c r="G472" s="98"/>
      <c r="H472" s="98"/>
      <c r="I472" s="100"/>
      <c r="J472" s="100"/>
      <c r="K472" s="101"/>
      <c r="L472" s="100"/>
      <c r="M472" s="87"/>
      <c r="N472" s="87"/>
      <c r="O472" s="87"/>
      <c r="P472" s="87"/>
      <c r="Q472" s="87"/>
      <c r="R472" s="87"/>
      <c r="S472" s="87"/>
      <c r="T472" s="87"/>
    </row>
    <row r="473" spans="1:20" ht="16.5" x14ac:dyDescent="0.3">
      <c r="A473" s="98"/>
      <c r="B473" s="99"/>
      <c r="C473" s="98"/>
      <c r="D473" s="100"/>
      <c r="E473" s="98"/>
      <c r="F473" s="98"/>
      <c r="G473" s="98"/>
      <c r="H473" s="98"/>
      <c r="I473" s="100"/>
      <c r="J473" s="100"/>
      <c r="K473" s="101"/>
      <c r="L473" s="100"/>
      <c r="M473" s="87"/>
      <c r="N473" s="87"/>
      <c r="O473" s="87"/>
      <c r="P473" s="87"/>
      <c r="Q473" s="87"/>
      <c r="R473" s="87"/>
      <c r="S473" s="87"/>
      <c r="T473" s="87"/>
    </row>
    <row r="474" spans="1:20" ht="16.5" x14ac:dyDescent="0.3">
      <c r="A474" s="98"/>
      <c r="B474" s="99"/>
      <c r="C474" s="98"/>
      <c r="D474" s="100"/>
      <c r="E474" s="98"/>
      <c r="F474" s="98"/>
      <c r="G474" s="98"/>
      <c r="H474" s="98"/>
      <c r="I474" s="100"/>
      <c r="J474" s="100"/>
      <c r="K474" s="101"/>
      <c r="L474" s="100"/>
      <c r="M474" s="87"/>
      <c r="N474" s="87"/>
      <c r="O474" s="87"/>
      <c r="P474" s="87"/>
      <c r="Q474" s="87"/>
      <c r="R474" s="87"/>
      <c r="S474" s="87"/>
      <c r="T474" s="87"/>
    </row>
    <row r="475" spans="1:20" ht="16.5" x14ac:dyDescent="0.3">
      <c r="A475" s="98"/>
      <c r="B475" s="99"/>
      <c r="C475" s="98"/>
      <c r="D475" s="100"/>
      <c r="E475" s="98"/>
      <c r="F475" s="98"/>
      <c r="G475" s="98"/>
      <c r="H475" s="98"/>
      <c r="I475" s="100"/>
      <c r="J475" s="100"/>
      <c r="K475" s="101"/>
      <c r="L475" s="100"/>
      <c r="M475" s="87"/>
      <c r="N475" s="87"/>
      <c r="O475" s="87"/>
      <c r="P475" s="87"/>
      <c r="Q475" s="87"/>
      <c r="R475" s="87"/>
      <c r="S475" s="87"/>
      <c r="T475" s="87"/>
    </row>
    <row r="476" spans="1:20" ht="16.5" x14ac:dyDescent="0.3">
      <c r="A476" s="98"/>
      <c r="B476" s="99"/>
      <c r="C476" s="98"/>
      <c r="D476" s="100"/>
      <c r="E476" s="98"/>
      <c r="F476" s="98"/>
      <c r="G476" s="98"/>
      <c r="H476" s="98"/>
      <c r="I476" s="100"/>
      <c r="J476" s="100"/>
      <c r="K476" s="101"/>
      <c r="L476" s="100"/>
      <c r="M476" s="87"/>
      <c r="N476" s="87"/>
      <c r="O476" s="87"/>
      <c r="P476" s="87"/>
      <c r="Q476" s="87"/>
      <c r="R476" s="87"/>
      <c r="S476" s="87"/>
      <c r="T476" s="87"/>
    </row>
    <row r="477" spans="1:20" ht="16.5" x14ac:dyDescent="0.3">
      <c r="A477" s="98"/>
      <c r="B477" s="99"/>
      <c r="C477" s="98"/>
      <c r="D477" s="100"/>
      <c r="E477" s="98"/>
      <c r="F477" s="98"/>
      <c r="G477" s="98"/>
      <c r="H477" s="98"/>
      <c r="I477" s="100"/>
      <c r="J477" s="100"/>
      <c r="K477" s="101"/>
      <c r="L477" s="100"/>
      <c r="M477" s="87"/>
      <c r="N477" s="87"/>
      <c r="O477" s="87"/>
      <c r="P477" s="87"/>
      <c r="Q477" s="87"/>
      <c r="R477" s="87"/>
      <c r="S477" s="87"/>
      <c r="T477" s="87"/>
    </row>
    <row r="478" spans="1:20" ht="16.5" x14ac:dyDescent="0.3">
      <c r="A478" s="98"/>
      <c r="B478" s="99"/>
      <c r="C478" s="98"/>
      <c r="D478" s="100"/>
      <c r="E478" s="98"/>
      <c r="F478" s="98"/>
      <c r="G478" s="98"/>
      <c r="H478" s="98"/>
      <c r="I478" s="100"/>
      <c r="J478" s="100"/>
      <c r="K478" s="101"/>
      <c r="L478" s="100"/>
      <c r="M478" s="87"/>
      <c r="N478" s="87"/>
      <c r="O478" s="87"/>
      <c r="P478" s="87"/>
      <c r="Q478" s="87"/>
      <c r="R478" s="87"/>
      <c r="S478" s="87"/>
      <c r="T478" s="87"/>
    </row>
    <row r="479" spans="1:20" ht="16.5" x14ac:dyDescent="0.3">
      <c r="A479" s="98"/>
      <c r="B479" s="99"/>
      <c r="C479" s="98"/>
      <c r="D479" s="100"/>
      <c r="E479" s="98"/>
      <c r="F479" s="98"/>
      <c r="G479" s="98"/>
      <c r="H479" s="98"/>
      <c r="I479" s="100"/>
      <c r="J479" s="100"/>
      <c r="K479" s="101"/>
      <c r="L479" s="100"/>
      <c r="M479" s="87"/>
      <c r="N479" s="87"/>
      <c r="O479" s="87"/>
      <c r="P479" s="87"/>
      <c r="Q479" s="87"/>
      <c r="R479" s="87"/>
      <c r="S479" s="87"/>
      <c r="T479" s="87"/>
    </row>
    <row r="480" spans="1:20" ht="16.5" x14ac:dyDescent="0.3">
      <c r="A480" s="98"/>
      <c r="B480" s="99"/>
      <c r="C480" s="98"/>
      <c r="D480" s="100"/>
      <c r="E480" s="98"/>
      <c r="F480" s="98"/>
      <c r="G480" s="98"/>
      <c r="H480" s="98"/>
      <c r="I480" s="100"/>
      <c r="J480" s="100"/>
      <c r="K480" s="101"/>
      <c r="L480" s="100"/>
      <c r="M480" s="87"/>
      <c r="N480" s="87"/>
      <c r="O480" s="87"/>
      <c r="P480" s="87"/>
      <c r="Q480" s="87"/>
      <c r="R480" s="87"/>
      <c r="S480" s="87"/>
      <c r="T480" s="87"/>
    </row>
    <row r="481" spans="1:20" ht="16.5" x14ac:dyDescent="0.3">
      <c r="A481" s="98"/>
      <c r="B481" s="99"/>
      <c r="C481" s="98"/>
      <c r="D481" s="100"/>
      <c r="E481" s="98"/>
      <c r="F481" s="98"/>
      <c r="G481" s="98"/>
      <c r="H481" s="98"/>
      <c r="I481" s="100"/>
      <c r="J481" s="100"/>
      <c r="K481" s="101"/>
      <c r="L481" s="100"/>
      <c r="M481" s="87"/>
      <c r="N481" s="87"/>
      <c r="O481" s="87"/>
      <c r="P481" s="87"/>
      <c r="Q481" s="87"/>
      <c r="R481" s="87"/>
      <c r="S481" s="87"/>
      <c r="T481" s="87"/>
    </row>
    <row r="482" spans="1:20" ht="16.5" x14ac:dyDescent="0.3">
      <c r="A482" s="98"/>
      <c r="B482" s="99"/>
      <c r="C482" s="98"/>
      <c r="D482" s="100"/>
      <c r="E482" s="98"/>
      <c r="F482" s="98"/>
      <c r="G482" s="98"/>
      <c r="H482" s="98"/>
      <c r="I482" s="100"/>
      <c r="J482" s="100"/>
      <c r="K482" s="101"/>
      <c r="L482" s="100"/>
      <c r="M482" s="87"/>
      <c r="N482" s="87"/>
      <c r="O482" s="87"/>
      <c r="P482" s="87"/>
      <c r="Q482" s="87"/>
      <c r="R482" s="87"/>
      <c r="S482" s="87"/>
      <c r="T482" s="87"/>
    </row>
    <row r="483" spans="1:20" ht="16.5" x14ac:dyDescent="0.3">
      <c r="A483" s="98"/>
      <c r="B483" s="99"/>
      <c r="C483" s="98"/>
      <c r="D483" s="100"/>
      <c r="E483" s="98"/>
      <c r="F483" s="98"/>
      <c r="G483" s="98"/>
      <c r="H483" s="98"/>
      <c r="I483" s="100"/>
      <c r="J483" s="100"/>
      <c r="K483" s="101"/>
      <c r="L483" s="100"/>
      <c r="M483" s="87"/>
      <c r="N483" s="87"/>
      <c r="O483" s="87"/>
      <c r="P483" s="87"/>
      <c r="Q483" s="87"/>
      <c r="R483" s="87"/>
      <c r="S483" s="87"/>
      <c r="T483" s="87"/>
    </row>
    <row r="484" spans="1:20" ht="16.5" x14ac:dyDescent="0.3">
      <c r="A484" s="98"/>
      <c r="B484" s="99"/>
      <c r="C484" s="98"/>
      <c r="D484" s="100"/>
      <c r="E484" s="98"/>
      <c r="F484" s="98"/>
      <c r="G484" s="98"/>
      <c r="H484" s="98"/>
      <c r="I484" s="100"/>
      <c r="J484" s="100"/>
      <c r="K484" s="101"/>
      <c r="L484" s="100"/>
      <c r="M484" s="87"/>
      <c r="N484" s="87"/>
      <c r="O484" s="87"/>
      <c r="P484" s="87"/>
      <c r="Q484" s="87"/>
      <c r="R484" s="87"/>
      <c r="S484" s="87"/>
      <c r="T484" s="87"/>
    </row>
    <row r="485" spans="1:20" ht="16.5" x14ac:dyDescent="0.3">
      <c r="A485" s="98"/>
      <c r="B485" s="99"/>
      <c r="C485" s="98"/>
      <c r="D485" s="100"/>
      <c r="E485" s="98"/>
      <c r="F485" s="98"/>
      <c r="G485" s="98"/>
      <c r="H485" s="98"/>
      <c r="I485" s="100"/>
      <c r="J485" s="100"/>
      <c r="K485" s="101"/>
      <c r="L485" s="100"/>
      <c r="M485" s="87"/>
      <c r="N485" s="87"/>
      <c r="O485" s="87"/>
      <c r="P485" s="87"/>
      <c r="Q485" s="87"/>
      <c r="R485" s="87"/>
      <c r="S485" s="87"/>
      <c r="T485" s="87"/>
    </row>
    <row r="486" spans="1:20" ht="16.5" x14ac:dyDescent="0.3">
      <c r="A486" s="98"/>
      <c r="B486" s="99"/>
      <c r="C486" s="98"/>
      <c r="D486" s="100"/>
      <c r="E486" s="98"/>
      <c r="F486" s="98"/>
      <c r="G486" s="98"/>
      <c r="H486" s="98"/>
      <c r="I486" s="100"/>
      <c r="J486" s="100"/>
      <c r="K486" s="101"/>
      <c r="L486" s="100"/>
      <c r="M486" s="87"/>
      <c r="N486" s="87"/>
      <c r="O486" s="87"/>
      <c r="P486" s="87"/>
      <c r="Q486" s="87"/>
      <c r="R486" s="87"/>
      <c r="S486" s="87"/>
      <c r="T486" s="87"/>
    </row>
    <row r="487" spans="1:20" ht="16.5" x14ac:dyDescent="0.3">
      <c r="A487" s="98"/>
      <c r="B487" s="99"/>
      <c r="C487" s="98"/>
      <c r="D487" s="100"/>
      <c r="E487" s="98"/>
      <c r="F487" s="98"/>
      <c r="G487" s="98"/>
      <c r="H487" s="98"/>
      <c r="I487" s="100"/>
      <c r="J487" s="100"/>
      <c r="K487" s="101"/>
      <c r="L487" s="100"/>
      <c r="M487" s="87"/>
      <c r="N487" s="87"/>
      <c r="O487" s="87"/>
      <c r="P487" s="87"/>
      <c r="Q487" s="87"/>
      <c r="R487" s="87"/>
      <c r="S487" s="87"/>
      <c r="T487" s="87"/>
    </row>
    <row r="488" spans="1:20" ht="16.5" x14ac:dyDescent="0.3">
      <c r="A488" s="98"/>
      <c r="B488" s="99"/>
      <c r="C488" s="98"/>
      <c r="D488" s="100"/>
      <c r="E488" s="98"/>
      <c r="F488" s="98"/>
      <c r="G488" s="98"/>
      <c r="H488" s="98"/>
      <c r="I488" s="100"/>
      <c r="J488" s="100"/>
      <c r="K488" s="101"/>
      <c r="L488" s="100"/>
      <c r="M488" s="87"/>
      <c r="N488" s="87"/>
      <c r="O488" s="87"/>
      <c r="P488" s="87"/>
      <c r="Q488" s="87"/>
      <c r="R488" s="87"/>
      <c r="S488" s="87"/>
      <c r="T488" s="87"/>
    </row>
    <row r="489" spans="1:20" ht="16.5" x14ac:dyDescent="0.3">
      <c r="A489" s="98"/>
      <c r="B489" s="99"/>
      <c r="C489" s="98"/>
      <c r="D489" s="100"/>
      <c r="E489" s="98"/>
      <c r="F489" s="98"/>
      <c r="G489" s="98"/>
      <c r="H489" s="98"/>
      <c r="I489" s="100"/>
      <c r="J489" s="100"/>
      <c r="K489" s="101"/>
      <c r="L489" s="100"/>
      <c r="M489" s="87"/>
      <c r="N489" s="87"/>
      <c r="O489" s="87"/>
      <c r="P489" s="87"/>
      <c r="Q489" s="87"/>
      <c r="R489" s="87"/>
      <c r="S489" s="87"/>
      <c r="T489" s="87"/>
    </row>
    <row r="490" spans="1:20" ht="16.5" x14ac:dyDescent="0.3">
      <c r="A490" s="98"/>
      <c r="B490" s="99"/>
      <c r="C490" s="98"/>
      <c r="D490" s="100"/>
      <c r="E490" s="98"/>
      <c r="F490" s="98"/>
      <c r="G490" s="98"/>
      <c r="H490" s="98"/>
      <c r="I490" s="100"/>
      <c r="J490" s="100"/>
      <c r="K490" s="101"/>
      <c r="L490" s="100"/>
      <c r="M490" s="87"/>
      <c r="N490" s="87"/>
      <c r="O490" s="87"/>
      <c r="P490" s="87"/>
      <c r="Q490" s="87"/>
      <c r="R490" s="87"/>
      <c r="S490" s="87"/>
      <c r="T490" s="87"/>
    </row>
    <row r="491" spans="1:20" ht="16.5" x14ac:dyDescent="0.3">
      <c r="A491" s="98"/>
      <c r="B491" s="99"/>
      <c r="C491" s="98"/>
      <c r="D491" s="100"/>
      <c r="E491" s="98"/>
      <c r="F491" s="98"/>
      <c r="G491" s="98"/>
      <c r="H491" s="98"/>
      <c r="I491" s="100"/>
      <c r="J491" s="100"/>
      <c r="K491" s="101"/>
      <c r="L491" s="100"/>
      <c r="M491" s="87"/>
      <c r="N491" s="87"/>
      <c r="O491" s="87"/>
      <c r="P491" s="87"/>
      <c r="Q491" s="87"/>
      <c r="R491" s="87"/>
      <c r="S491" s="87"/>
      <c r="T491" s="87"/>
    </row>
    <row r="492" spans="1:20" ht="16.5" x14ac:dyDescent="0.3">
      <c r="A492" s="98"/>
      <c r="B492" s="99"/>
      <c r="C492" s="98"/>
      <c r="D492" s="100"/>
      <c r="E492" s="98"/>
      <c r="F492" s="98"/>
      <c r="G492" s="98"/>
      <c r="H492" s="98"/>
      <c r="I492" s="100"/>
      <c r="J492" s="100"/>
      <c r="K492" s="101"/>
      <c r="L492" s="100"/>
      <c r="M492" s="87"/>
      <c r="N492" s="87"/>
      <c r="O492" s="87"/>
      <c r="P492" s="87"/>
      <c r="Q492" s="87"/>
      <c r="R492" s="87"/>
      <c r="S492" s="87"/>
      <c r="T492" s="87"/>
    </row>
    <row r="493" spans="1:20" ht="16.5" x14ac:dyDescent="0.3">
      <c r="A493" s="98"/>
      <c r="B493" s="99"/>
      <c r="C493" s="98"/>
      <c r="D493" s="100"/>
      <c r="E493" s="98"/>
      <c r="F493" s="98"/>
      <c r="G493" s="98"/>
      <c r="H493" s="98"/>
      <c r="I493" s="100"/>
      <c r="J493" s="100"/>
      <c r="K493" s="101"/>
      <c r="L493" s="100"/>
      <c r="M493" s="87"/>
      <c r="N493" s="87"/>
      <c r="O493" s="87"/>
      <c r="P493" s="87"/>
      <c r="Q493" s="87"/>
      <c r="R493" s="87"/>
      <c r="S493" s="87"/>
      <c r="T493" s="87"/>
    </row>
    <row r="494" spans="1:20" ht="16.5" x14ac:dyDescent="0.3">
      <c r="A494" s="98"/>
      <c r="B494" s="99"/>
      <c r="C494" s="98"/>
      <c r="D494" s="100"/>
      <c r="E494" s="98"/>
      <c r="F494" s="98"/>
      <c r="G494" s="98"/>
      <c r="H494" s="98"/>
      <c r="I494" s="100"/>
      <c r="J494" s="100"/>
      <c r="K494" s="101"/>
      <c r="L494" s="100"/>
      <c r="M494" s="87"/>
      <c r="N494" s="87"/>
      <c r="O494" s="87"/>
      <c r="P494" s="87"/>
      <c r="Q494" s="87"/>
      <c r="R494" s="87"/>
      <c r="S494" s="87"/>
      <c r="T494" s="87"/>
    </row>
    <row r="495" spans="1:20" ht="16.5" x14ac:dyDescent="0.3">
      <c r="A495" s="98"/>
      <c r="B495" s="99"/>
      <c r="C495" s="98"/>
      <c r="D495" s="100"/>
      <c r="E495" s="98"/>
      <c r="F495" s="98"/>
      <c r="G495" s="98"/>
      <c r="H495" s="98"/>
      <c r="I495" s="100"/>
      <c r="J495" s="100"/>
      <c r="K495" s="101"/>
      <c r="L495" s="100"/>
      <c r="M495" s="87"/>
      <c r="N495" s="87"/>
      <c r="O495" s="87"/>
      <c r="P495" s="87"/>
      <c r="Q495" s="87"/>
      <c r="R495" s="87"/>
      <c r="S495" s="87"/>
      <c r="T495" s="87"/>
    </row>
    <row r="496" spans="1:20" ht="16.5" x14ac:dyDescent="0.3">
      <c r="A496" s="98"/>
      <c r="B496" s="99"/>
      <c r="C496" s="98"/>
      <c r="D496" s="100"/>
      <c r="E496" s="98"/>
      <c r="F496" s="98"/>
      <c r="G496" s="98"/>
      <c r="H496" s="98"/>
      <c r="I496" s="100"/>
      <c r="J496" s="100"/>
      <c r="K496" s="101"/>
      <c r="L496" s="100"/>
      <c r="M496" s="87"/>
      <c r="N496" s="87"/>
      <c r="O496" s="87"/>
      <c r="P496" s="87"/>
      <c r="Q496" s="87"/>
      <c r="R496" s="87"/>
      <c r="S496" s="87"/>
      <c r="T496" s="87"/>
    </row>
    <row r="497" spans="1:20" ht="16.5" x14ac:dyDescent="0.3">
      <c r="A497" s="98"/>
      <c r="B497" s="99"/>
      <c r="C497" s="98"/>
      <c r="D497" s="100"/>
      <c r="E497" s="98"/>
      <c r="F497" s="98"/>
      <c r="G497" s="98"/>
      <c r="H497" s="98"/>
      <c r="I497" s="100"/>
      <c r="J497" s="100"/>
      <c r="K497" s="101"/>
      <c r="L497" s="100"/>
      <c r="M497" s="87"/>
      <c r="N497" s="87"/>
      <c r="O497" s="87"/>
      <c r="P497" s="87"/>
      <c r="Q497" s="87"/>
      <c r="R497" s="87"/>
      <c r="S497" s="87"/>
      <c r="T497" s="87"/>
    </row>
    <row r="498" spans="1:20" ht="16.5" x14ac:dyDescent="0.3">
      <c r="A498" s="98"/>
      <c r="B498" s="99"/>
      <c r="C498" s="98"/>
      <c r="D498" s="100"/>
      <c r="E498" s="98"/>
      <c r="F498" s="98"/>
      <c r="G498" s="98"/>
      <c r="H498" s="98"/>
      <c r="I498" s="100"/>
      <c r="J498" s="100"/>
      <c r="K498" s="101"/>
      <c r="L498" s="100"/>
      <c r="M498" s="87"/>
      <c r="N498" s="87"/>
      <c r="O498" s="87"/>
      <c r="P498" s="87"/>
      <c r="Q498" s="87"/>
      <c r="R498" s="87"/>
      <c r="S498" s="87"/>
      <c r="T498" s="87"/>
    </row>
    <row r="499" spans="1:20" ht="16.5" x14ac:dyDescent="0.3">
      <c r="A499" s="98"/>
      <c r="B499" s="99"/>
      <c r="C499" s="98"/>
      <c r="D499" s="100"/>
      <c r="E499" s="98"/>
      <c r="F499" s="98"/>
      <c r="G499" s="98"/>
      <c r="H499" s="98"/>
      <c r="I499" s="100"/>
      <c r="J499" s="100"/>
      <c r="K499" s="101"/>
      <c r="L499" s="100"/>
      <c r="M499" s="87"/>
      <c r="N499" s="87"/>
      <c r="O499" s="87"/>
      <c r="P499" s="87"/>
      <c r="Q499" s="87"/>
      <c r="R499" s="87"/>
      <c r="S499" s="87"/>
      <c r="T499" s="87"/>
    </row>
    <row r="500" spans="1:20" ht="16.5" x14ac:dyDescent="0.3">
      <c r="A500" s="98"/>
      <c r="B500" s="99"/>
      <c r="C500" s="98"/>
      <c r="D500" s="100"/>
      <c r="E500" s="98"/>
      <c r="F500" s="98"/>
      <c r="G500" s="98"/>
      <c r="H500" s="98"/>
      <c r="I500" s="100"/>
      <c r="J500" s="100"/>
      <c r="K500" s="101"/>
      <c r="L500" s="100"/>
      <c r="M500" s="87"/>
      <c r="N500" s="87"/>
      <c r="O500" s="87"/>
      <c r="P500" s="87"/>
      <c r="Q500" s="87"/>
      <c r="R500" s="87"/>
      <c r="S500" s="87"/>
      <c r="T500" s="87"/>
    </row>
    <row r="501" spans="1:20" ht="16.5" x14ac:dyDescent="0.3">
      <c r="A501" s="98"/>
      <c r="B501" s="99"/>
      <c r="C501" s="98"/>
      <c r="D501" s="100"/>
      <c r="E501" s="98"/>
      <c r="F501" s="98"/>
      <c r="G501" s="98"/>
      <c r="H501" s="98"/>
      <c r="I501" s="100"/>
      <c r="J501" s="100"/>
      <c r="K501" s="101"/>
      <c r="L501" s="100"/>
      <c r="M501" s="87"/>
      <c r="N501" s="87"/>
      <c r="O501" s="87"/>
      <c r="P501" s="87"/>
      <c r="Q501" s="87"/>
      <c r="R501" s="87"/>
      <c r="S501" s="87"/>
      <c r="T501" s="87"/>
    </row>
    <row r="502" spans="1:20" ht="16.5" x14ac:dyDescent="0.3">
      <c r="A502" s="98"/>
      <c r="B502" s="99"/>
      <c r="C502" s="98"/>
      <c r="D502" s="100"/>
      <c r="E502" s="98"/>
      <c r="F502" s="98"/>
      <c r="G502" s="98"/>
      <c r="H502" s="98"/>
      <c r="I502" s="100"/>
      <c r="J502" s="100"/>
      <c r="K502" s="101"/>
      <c r="L502" s="100"/>
      <c r="M502" s="87"/>
      <c r="N502" s="87"/>
      <c r="O502" s="87"/>
      <c r="P502" s="87"/>
      <c r="Q502" s="87"/>
      <c r="R502" s="87"/>
      <c r="S502" s="87"/>
      <c r="T502" s="87"/>
    </row>
    <row r="503" spans="1:20" ht="16.5" x14ac:dyDescent="0.3">
      <c r="A503" s="98"/>
      <c r="B503" s="99"/>
      <c r="C503" s="98"/>
      <c r="D503" s="100"/>
      <c r="E503" s="98"/>
      <c r="F503" s="98"/>
      <c r="G503" s="98"/>
      <c r="H503" s="98"/>
      <c r="I503" s="100"/>
      <c r="J503" s="100"/>
      <c r="K503" s="101"/>
      <c r="L503" s="100"/>
      <c r="M503" s="87"/>
      <c r="N503" s="87"/>
      <c r="O503" s="87"/>
      <c r="P503" s="87"/>
      <c r="Q503" s="87"/>
      <c r="R503" s="87"/>
      <c r="S503" s="87"/>
      <c r="T503" s="87"/>
    </row>
    <row r="504" spans="1:20" ht="16.5" x14ac:dyDescent="0.3">
      <c r="A504" s="98"/>
      <c r="B504" s="99"/>
      <c r="C504" s="98"/>
      <c r="D504" s="100"/>
      <c r="E504" s="98"/>
      <c r="F504" s="98"/>
      <c r="G504" s="98"/>
      <c r="H504" s="98"/>
      <c r="I504" s="100"/>
      <c r="J504" s="100"/>
      <c r="K504" s="101"/>
      <c r="L504" s="100"/>
      <c r="M504" s="87"/>
      <c r="N504" s="87"/>
      <c r="O504" s="87"/>
      <c r="P504" s="87"/>
      <c r="Q504" s="87"/>
      <c r="R504" s="87"/>
      <c r="S504" s="87"/>
      <c r="T504" s="87"/>
    </row>
    <row r="505" spans="1:20" ht="16.5" x14ac:dyDescent="0.3">
      <c r="A505" s="98"/>
      <c r="B505" s="99"/>
      <c r="C505" s="98"/>
      <c r="D505" s="100"/>
      <c r="E505" s="98"/>
      <c r="F505" s="98"/>
      <c r="G505" s="98"/>
      <c r="H505" s="98"/>
      <c r="I505" s="100"/>
      <c r="J505" s="100"/>
      <c r="K505" s="101"/>
      <c r="L505" s="100"/>
      <c r="M505" s="87"/>
      <c r="N505" s="87"/>
      <c r="O505" s="87"/>
      <c r="P505" s="87"/>
      <c r="Q505" s="87"/>
      <c r="R505" s="87"/>
      <c r="S505" s="87"/>
      <c r="T505" s="87"/>
    </row>
    <row r="506" spans="1:20" ht="16.5" x14ac:dyDescent="0.3">
      <c r="A506" s="98"/>
      <c r="B506" s="99"/>
      <c r="C506" s="98"/>
      <c r="D506" s="100"/>
      <c r="E506" s="98"/>
      <c r="F506" s="98"/>
      <c r="G506" s="98"/>
      <c r="H506" s="98"/>
      <c r="I506" s="100"/>
      <c r="J506" s="100"/>
      <c r="K506" s="101"/>
      <c r="L506" s="100"/>
      <c r="M506" s="87"/>
      <c r="N506" s="87"/>
      <c r="O506" s="87"/>
      <c r="P506" s="87"/>
      <c r="Q506" s="87"/>
      <c r="R506" s="87"/>
      <c r="S506" s="87"/>
      <c r="T506" s="87"/>
    </row>
    <row r="507" spans="1:20" ht="16.5" x14ac:dyDescent="0.3">
      <c r="A507" s="98"/>
      <c r="B507" s="99"/>
      <c r="C507" s="98"/>
      <c r="D507" s="100"/>
      <c r="E507" s="98"/>
      <c r="F507" s="98"/>
      <c r="G507" s="98"/>
      <c r="H507" s="98"/>
      <c r="I507" s="100"/>
      <c r="J507" s="100"/>
      <c r="K507" s="101"/>
      <c r="L507" s="100"/>
      <c r="M507" s="87"/>
      <c r="N507" s="87"/>
      <c r="O507" s="87"/>
      <c r="P507" s="87"/>
      <c r="Q507" s="87"/>
      <c r="R507" s="87"/>
      <c r="S507" s="87"/>
      <c r="T507" s="87"/>
    </row>
    <row r="508" spans="1:20" ht="16.5" x14ac:dyDescent="0.3">
      <c r="A508" s="98"/>
      <c r="B508" s="99"/>
      <c r="C508" s="98"/>
      <c r="D508" s="100"/>
      <c r="E508" s="98"/>
      <c r="F508" s="98"/>
      <c r="G508" s="98"/>
      <c r="H508" s="98"/>
      <c r="I508" s="100"/>
      <c r="J508" s="100"/>
      <c r="K508" s="101"/>
      <c r="L508" s="100"/>
      <c r="M508" s="87"/>
      <c r="N508" s="87"/>
      <c r="O508" s="87"/>
      <c r="P508" s="87"/>
      <c r="Q508" s="87"/>
      <c r="R508" s="87"/>
      <c r="S508" s="87"/>
      <c r="T508" s="87"/>
    </row>
    <row r="509" spans="1:20" ht="16.5" x14ac:dyDescent="0.3">
      <c r="A509" s="98"/>
      <c r="B509" s="99"/>
      <c r="C509" s="98"/>
      <c r="D509" s="100"/>
      <c r="E509" s="98"/>
      <c r="F509" s="98"/>
      <c r="G509" s="98"/>
      <c r="H509" s="98"/>
      <c r="I509" s="100"/>
      <c r="J509" s="100"/>
      <c r="K509" s="101"/>
      <c r="L509" s="100"/>
      <c r="M509" s="87"/>
      <c r="N509" s="87"/>
      <c r="O509" s="87"/>
      <c r="P509" s="87"/>
      <c r="Q509" s="87"/>
      <c r="R509" s="87"/>
      <c r="S509" s="87"/>
      <c r="T509" s="87"/>
    </row>
    <row r="510" spans="1:20" ht="16.5" x14ac:dyDescent="0.3">
      <c r="A510" s="98"/>
      <c r="B510" s="99"/>
      <c r="C510" s="98"/>
      <c r="D510" s="100"/>
      <c r="E510" s="98"/>
      <c r="F510" s="98"/>
      <c r="G510" s="98"/>
      <c r="H510" s="98"/>
      <c r="I510" s="100"/>
      <c r="J510" s="100"/>
      <c r="K510" s="101"/>
      <c r="L510" s="100"/>
      <c r="M510" s="87"/>
      <c r="N510" s="87"/>
      <c r="O510" s="87"/>
      <c r="P510" s="87"/>
      <c r="Q510" s="87"/>
      <c r="R510" s="87"/>
      <c r="S510" s="87"/>
      <c r="T510" s="87"/>
    </row>
    <row r="511" spans="1:20" ht="16.5" x14ac:dyDescent="0.3">
      <c r="A511" s="98"/>
      <c r="B511" s="99"/>
      <c r="C511" s="98"/>
      <c r="D511" s="100"/>
      <c r="E511" s="98"/>
      <c r="F511" s="98"/>
      <c r="G511" s="98"/>
      <c r="H511" s="98"/>
      <c r="I511" s="100"/>
      <c r="J511" s="100"/>
      <c r="K511" s="101"/>
      <c r="L511" s="100"/>
      <c r="M511" s="87"/>
      <c r="N511" s="87"/>
      <c r="O511" s="87"/>
      <c r="P511" s="87"/>
      <c r="Q511" s="87"/>
      <c r="R511" s="87"/>
      <c r="S511" s="87"/>
      <c r="T511" s="87"/>
    </row>
    <row r="512" spans="1:20" ht="16.5" x14ac:dyDescent="0.3">
      <c r="A512" s="98"/>
      <c r="B512" s="99"/>
      <c r="C512" s="98"/>
      <c r="D512" s="100"/>
      <c r="E512" s="98"/>
      <c r="F512" s="98"/>
      <c r="G512" s="98"/>
      <c r="H512" s="98"/>
      <c r="I512" s="100"/>
      <c r="J512" s="100"/>
      <c r="K512" s="101"/>
      <c r="L512" s="100"/>
      <c r="M512" s="87"/>
      <c r="N512" s="87"/>
      <c r="O512" s="87"/>
      <c r="P512" s="87"/>
      <c r="Q512" s="87"/>
      <c r="R512" s="87"/>
      <c r="S512" s="87"/>
      <c r="T512" s="87"/>
    </row>
    <row r="513" spans="1:20" ht="16.5" x14ac:dyDescent="0.3">
      <c r="A513" s="98"/>
      <c r="B513" s="99"/>
      <c r="C513" s="98"/>
      <c r="D513" s="100"/>
      <c r="E513" s="98"/>
      <c r="F513" s="98"/>
      <c r="G513" s="98"/>
      <c r="H513" s="98"/>
      <c r="I513" s="100"/>
      <c r="J513" s="100"/>
      <c r="K513" s="101"/>
      <c r="L513" s="100"/>
      <c r="M513" s="87"/>
      <c r="N513" s="87"/>
      <c r="O513" s="87"/>
      <c r="P513" s="87"/>
      <c r="Q513" s="87"/>
      <c r="R513" s="87"/>
      <c r="S513" s="87"/>
      <c r="T513" s="87"/>
    </row>
    <row r="514" spans="1:20" ht="16.5" x14ac:dyDescent="0.3">
      <c r="A514" s="98"/>
      <c r="B514" s="99"/>
      <c r="C514" s="98"/>
      <c r="D514" s="100"/>
      <c r="E514" s="98"/>
      <c r="F514" s="98"/>
      <c r="G514" s="98"/>
      <c r="H514" s="98"/>
      <c r="I514" s="100"/>
      <c r="J514" s="100"/>
      <c r="K514" s="101"/>
      <c r="L514" s="100"/>
      <c r="M514" s="87"/>
      <c r="N514" s="87"/>
      <c r="O514" s="87"/>
      <c r="P514" s="87"/>
      <c r="Q514" s="87"/>
      <c r="R514" s="87"/>
      <c r="S514" s="87"/>
      <c r="T514" s="87"/>
    </row>
    <row r="515" spans="1:20" ht="16.5" x14ac:dyDescent="0.3">
      <c r="A515" s="98"/>
      <c r="B515" s="99"/>
      <c r="C515" s="98"/>
      <c r="D515" s="100"/>
      <c r="E515" s="98"/>
      <c r="F515" s="98"/>
      <c r="G515" s="98"/>
      <c r="H515" s="98"/>
      <c r="I515" s="100"/>
      <c r="J515" s="100"/>
      <c r="K515" s="101"/>
      <c r="L515" s="100"/>
      <c r="M515" s="87"/>
      <c r="N515" s="87"/>
      <c r="O515" s="87"/>
      <c r="P515" s="87"/>
      <c r="Q515" s="87"/>
      <c r="R515" s="87"/>
      <c r="S515" s="87"/>
      <c r="T515" s="87"/>
    </row>
    <row r="516" spans="1:20" ht="16.5" x14ac:dyDescent="0.3">
      <c r="A516" s="98"/>
      <c r="B516" s="99"/>
      <c r="C516" s="98"/>
      <c r="D516" s="100"/>
      <c r="E516" s="98"/>
      <c r="F516" s="98"/>
      <c r="G516" s="98"/>
      <c r="H516" s="98"/>
      <c r="I516" s="100"/>
      <c r="J516" s="100"/>
      <c r="K516" s="101"/>
      <c r="L516" s="100"/>
      <c r="M516" s="87"/>
      <c r="N516" s="87"/>
      <c r="O516" s="87"/>
      <c r="P516" s="87"/>
      <c r="Q516" s="87"/>
      <c r="R516" s="87"/>
      <c r="S516" s="87"/>
      <c r="T516" s="87"/>
    </row>
    <row r="517" spans="1:20" ht="16.5" x14ac:dyDescent="0.3">
      <c r="A517" s="98"/>
      <c r="B517" s="99"/>
      <c r="C517" s="98"/>
      <c r="D517" s="100"/>
      <c r="E517" s="98"/>
      <c r="F517" s="98"/>
      <c r="G517" s="98"/>
      <c r="H517" s="98"/>
      <c r="I517" s="100"/>
      <c r="J517" s="100"/>
      <c r="K517" s="101"/>
      <c r="L517" s="100"/>
      <c r="M517" s="87"/>
      <c r="N517" s="87"/>
      <c r="O517" s="87"/>
      <c r="P517" s="87"/>
      <c r="Q517" s="87"/>
      <c r="R517" s="87"/>
      <c r="S517" s="87"/>
      <c r="T517" s="87"/>
    </row>
    <row r="518" spans="1:20" ht="16.5" x14ac:dyDescent="0.3">
      <c r="A518" s="98"/>
      <c r="B518" s="99"/>
      <c r="C518" s="98"/>
      <c r="D518" s="100"/>
      <c r="E518" s="98"/>
      <c r="F518" s="98"/>
      <c r="G518" s="98"/>
      <c r="H518" s="98"/>
      <c r="I518" s="100"/>
      <c r="J518" s="100"/>
      <c r="K518" s="101"/>
      <c r="L518" s="100"/>
      <c r="M518" s="87"/>
      <c r="N518" s="87"/>
      <c r="O518" s="87"/>
      <c r="P518" s="87"/>
      <c r="Q518" s="87"/>
      <c r="R518" s="87"/>
      <c r="S518" s="87"/>
      <c r="T518" s="87"/>
    </row>
    <row r="519" spans="1:20" ht="16.5" x14ac:dyDescent="0.3">
      <c r="A519" s="98"/>
      <c r="B519" s="99"/>
      <c r="C519" s="98"/>
      <c r="D519" s="100"/>
      <c r="E519" s="98"/>
      <c r="F519" s="98"/>
      <c r="G519" s="98"/>
      <c r="H519" s="98"/>
      <c r="I519" s="100"/>
      <c r="J519" s="100"/>
      <c r="K519" s="101"/>
      <c r="L519" s="100"/>
      <c r="M519" s="87"/>
      <c r="N519" s="87"/>
      <c r="O519" s="87"/>
      <c r="P519" s="87"/>
      <c r="Q519" s="87"/>
      <c r="R519" s="87"/>
      <c r="S519" s="87"/>
      <c r="T519" s="87"/>
    </row>
    <row r="520" spans="1:20" ht="16.5" x14ac:dyDescent="0.3">
      <c r="A520" s="98"/>
      <c r="B520" s="99"/>
      <c r="C520" s="98"/>
      <c r="D520" s="100"/>
      <c r="E520" s="98"/>
      <c r="F520" s="98"/>
      <c r="G520" s="98"/>
      <c r="H520" s="98"/>
      <c r="I520" s="100"/>
      <c r="J520" s="100"/>
      <c r="K520" s="101"/>
      <c r="L520" s="100"/>
      <c r="M520" s="87"/>
      <c r="N520" s="87"/>
      <c r="O520" s="87"/>
      <c r="P520" s="87"/>
      <c r="Q520" s="87"/>
      <c r="R520" s="87"/>
      <c r="S520" s="87"/>
      <c r="T520" s="87"/>
    </row>
    <row r="521" spans="1:20" ht="16.5" x14ac:dyDescent="0.3">
      <c r="A521" s="98"/>
      <c r="B521" s="99"/>
      <c r="C521" s="98"/>
      <c r="D521" s="100"/>
      <c r="E521" s="98"/>
      <c r="F521" s="98"/>
      <c r="G521" s="98"/>
      <c r="H521" s="98"/>
      <c r="I521" s="100"/>
      <c r="J521" s="100"/>
      <c r="K521" s="101"/>
      <c r="L521" s="100"/>
      <c r="M521" s="87"/>
      <c r="N521" s="87"/>
      <c r="O521" s="87"/>
      <c r="P521" s="87"/>
      <c r="Q521" s="87"/>
      <c r="R521" s="87"/>
      <c r="S521" s="87"/>
      <c r="T521" s="87"/>
    </row>
    <row r="522" spans="1:20" ht="16.5" x14ac:dyDescent="0.3">
      <c r="A522" s="98"/>
      <c r="B522" s="99"/>
      <c r="C522" s="98"/>
      <c r="D522" s="100"/>
      <c r="E522" s="98"/>
      <c r="F522" s="98"/>
      <c r="G522" s="98"/>
      <c r="H522" s="98"/>
      <c r="I522" s="100"/>
      <c r="J522" s="100"/>
      <c r="K522" s="101"/>
      <c r="L522" s="100"/>
      <c r="M522" s="87"/>
      <c r="N522" s="87"/>
      <c r="O522" s="87"/>
      <c r="P522" s="87"/>
      <c r="Q522" s="87"/>
      <c r="R522" s="87"/>
      <c r="S522" s="87"/>
      <c r="T522" s="87"/>
    </row>
    <row r="523" spans="1:20" ht="16.5" x14ac:dyDescent="0.3">
      <c r="A523" s="98"/>
      <c r="B523" s="99"/>
      <c r="C523" s="98"/>
      <c r="D523" s="100"/>
      <c r="E523" s="98"/>
      <c r="F523" s="98"/>
      <c r="G523" s="98"/>
      <c r="H523" s="98"/>
      <c r="I523" s="100"/>
      <c r="J523" s="100"/>
      <c r="K523" s="101"/>
      <c r="L523" s="100"/>
      <c r="M523" s="87"/>
      <c r="N523" s="87"/>
      <c r="O523" s="87"/>
      <c r="P523" s="87"/>
      <c r="Q523" s="87"/>
      <c r="R523" s="87"/>
      <c r="S523" s="87"/>
      <c r="T523" s="87"/>
    </row>
    <row r="524" spans="1:20" ht="16.5" x14ac:dyDescent="0.3">
      <c r="A524" s="98"/>
      <c r="B524" s="99"/>
      <c r="C524" s="98"/>
      <c r="D524" s="100"/>
      <c r="E524" s="98"/>
      <c r="F524" s="98"/>
      <c r="G524" s="98"/>
      <c r="H524" s="98"/>
      <c r="I524" s="100"/>
      <c r="J524" s="100"/>
      <c r="K524" s="101"/>
      <c r="L524" s="100"/>
      <c r="M524" s="87"/>
      <c r="N524" s="87"/>
      <c r="O524" s="87"/>
      <c r="P524" s="87"/>
      <c r="Q524" s="87"/>
      <c r="R524" s="87"/>
      <c r="S524" s="87"/>
      <c r="T524" s="87"/>
    </row>
    <row r="525" spans="1:20" ht="16.5" x14ac:dyDescent="0.3">
      <c r="A525" s="98"/>
      <c r="B525" s="99"/>
      <c r="C525" s="98"/>
      <c r="D525" s="100"/>
      <c r="E525" s="98"/>
      <c r="F525" s="98"/>
      <c r="G525" s="98"/>
      <c r="H525" s="98"/>
      <c r="I525" s="100"/>
      <c r="J525" s="100"/>
      <c r="K525" s="101"/>
      <c r="L525" s="100"/>
      <c r="M525" s="87"/>
      <c r="N525" s="87"/>
      <c r="O525" s="87"/>
      <c r="P525" s="87"/>
      <c r="Q525" s="87"/>
      <c r="R525" s="87"/>
      <c r="S525" s="87"/>
      <c r="T525" s="87"/>
    </row>
    <row r="526" spans="1:20" ht="16.5" x14ac:dyDescent="0.3">
      <c r="A526" s="98"/>
      <c r="B526" s="99"/>
      <c r="C526" s="98"/>
      <c r="D526" s="100"/>
      <c r="E526" s="98"/>
      <c r="F526" s="98"/>
      <c r="G526" s="98"/>
      <c r="H526" s="98"/>
      <c r="I526" s="100"/>
      <c r="J526" s="100"/>
      <c r="K526" s="101"/>
      <c r="L526" s="100"/>
      <c r="M526" s="87"/>
      <c r="N526" s="87"/>
      <c r="O526" s="87"/>
      <c r="P526" s="87"/>
      <c r="Q526" s="87"/>
      <c r="R526" s="87"/>
      <c r="S526" s="87"/>
      <c r="T526" s="87"/>
    </row>
    <row r="527" spans="1:20" ht="16.5" x14ac:dyDescent="0.3">
      <c r="A527" s="98"/>
      <c r="B527" s="99"/>
      <c r="C527" s="98"/>
      <c r="D527" s="100"/>
      <c r="E527" s="98"/>
      <c r="F527" s="98"/>
      <c r="G527" s="98"/>
      <c r="H527" s="98"/>
      <c r="I527" s="100"/>
      <c r="J527" s="100"/>
      <c r="K527" s="101"/>
      <c r="L527" s="100"/>
      <c r="M527" s="87"/>
      <c r="N527" s="87"/>
      <c r="O527" s="87"/>
      <c r="P527" s="87"/>
      <c r="Q527" s="87"/>
      <c r="R527" s="87"/>
      <c r="S527" s="87"/>
      <c r="T527" s="87"/>
    </row>
    <row r="528" spans="1:20" ht="16.5" x14ac:dyDescent="0.3">
      <c r="A528" s="98"/>
      <c r="B528" s="99"/>
      <c r="C528" s="98"/>
      <c r="D528" s="100"/>
      <c r="E528" s="98"/>
      <c r="F528" s="98"/>
      <c r="G528" s="98"/>
      <c r="H528" s="98"/>
      <c r="I528" s="100"/>
      <c r="J528" s="100"/>
      <c r="K528" s="101"/>
      <c r="L528" s="100"/>
      <c r="M528" s="87"/>
      <c r="N528" s="87"/>
      <c r="O528" s="87"/>
      <c r="P528" s="87"/>
      <c r="Q528" s="87"/>
      <c r="R528" s="87"/>
      <c r="S528" s="87"/>
      <c r="T528" s="87"/>
    </row>
    <row r="529" spans="1:20" ht="16.5" x14ac:dyDescent="0.3">
      <c r="A529" s="98"/>
      <c r="B529" s="99"/>
      <c r="C529" s="98"/>
      <c r="D529" s="100"/>
      <c r="E529" s="98"/>
      <c r="F529" s="98"/>
      <c r="G529" s="98"/>
      <c r="H529" s="98"/>
      <c r="I529" s="100"/>
      <c r="J529" s="100"/>
      <c r="K529" s="101"/>
      <c r="L529" s="100"/>
      <c r="M529" s="87"/>
      <c r="N529" s="87"/>
      <c r="O529" s="87"/>
      <c r="P529" s="87"/>
      <c r="Q529" s="87"/>
      <c r="R529" s="87"/>
      <c r="S529" s="87"/>
      <c r="T529" s="87"/>
    </row>
    <row r="530" spans="1:20" ht="16.5" x14ac:dyDescent="0.3">
      <c r="A530" s="98"/>
      <c r="B530" s="99"/>
      <c r="C530" s="98"/>
      <c r="D530" s="100"/>
      <c r="E530" s="98"/>
      <c r="F530" s="98"/>
      <c r="G530" s="98"/>
      <c r="H530" s="98"/>
      <c r="I530" s="100"/>
      <c r="J530" s="100"/>
      <c r="K530" s="101"/>
      <c r="L530" s="100"/>
      <c r="M530" s="87"/>
      <c r="N530" s="87"/>
      <c r="O530" s="87"/>
      <c r="P530" s="87"/>
      <c r="Q530" s="87"/>
      <c r="R530" s="87"/>
      <c r="S530" s="87"/>
      <c r="T530" s="87"/>
    </row>
    <row r="531" spans="1:20" ht="16.5" x14ac:dyDescent="0.3">
      <c r="A531" s="98"/>
      <c r="B531" s="99"/>
      <c r="C531" s="98"/>
      <c r="D531" s="100"/>
      <c r="E531" s="98"/>
      <c r="F531" s="98"/>
      <c r="G531" s="98"/>
      <c r="H531" s="98"/>
      <c r="I531" s="100"/>
      <c r="J531" s="100"/>
      <c r="K531" s="101"/>
      <c r="L531" s="100"/>
      <c r="M531" s="87"/>
      <c r="N531" s="87"/>
      <c r="O531" s="87"/>
      <c r="P531" s="87"/>
      <c r="Q531" s="87"/>
      <c r="R531" s="87"/>
      <c r="S531" s="87"/>
      <c r="T531" s="87"/>
    </row>
    <row r="532" spans="1:20" ht="16.5" x14ac:dyDescent="0.3">
      <c r="A532" s="98"/>
      <c r="B532" s="99"/>
      <c r="C532" s="98"/>
      <c r="D532" s="100"/>
      <c r="E532" s="98"/>
      <c r="F532" s="98"/>
      <c r="G532" s="98"/>
      <c r="H532" s="98"/>
      <c r="I532" s="100"/>
      <c r="J532" s="100"/>
      <c r="K532" s="101"/>
      <c r="L532" s="100"/>
      <c r="M532" s="87"/>
      <c r="N532" s="87"/>
      <c r="O532" s="87"/>
      <c r="P532" s="87"/>
      <c r="Q532" s="87"/>
      <c r="R532" s="87"/>
      <c r="S532" s="87"/>
      <c r="T532" s="87"/>
    </row>
    <row r="533" spans="1:20" ht="16.5" x14ac:dyDescent="0.3">
      <c r="A533" s="98"/>
      <c r="B533" s="99"/>
      <c r="C533" s="98"/>
      <c r="D533" s="100"/>
      <c r="E533" s="98"/>
      <c r="F533" s="98"/>
      <c r="G533" s="98"/>
      <c r="H533" s="98"/>
      <c r="I533" s="100"/>
      <c r="J533" s="100"/>
      <c r="K533" s="101"/>
      <c r="L533" s="100"/>
      <c r="M533" s="87"/>
      <c r="N533" s="87"/>
      <c r="O533" s="87"/>
      <c r="P533" s="87"/>
      <c r="Q533" s="87"/>
      <c r="R533" s="87"/>
      <c r="S533" s="87"/>
      <c r="T533" s="87"/>
    </row>
    <row r="534" spans="1:20" ht="16.5" x14ac:dyDescent="0.3">
      <c r="A534" s="98"/>
      <c r="B534" s="99"/>
      <c r="C534" s="98"/>
      <c r="D534" s="100"/>
      <c r="E534" s="98"/>
      <c r="F534" s="98"/>
      <c r="G534" s="98"/>
      <c r="H534" s="98"/>
      <c r="I534" s="100"/>
      <c r="J534" s="100"/>
      <c r="K534" s="101"/>
      <c r="L534" s="100"/>
      <c r="M534" s="87"/>
      <c r="N534" s="87"/>
      <c r="O534" s="87"/>
      <c r="P534" s="87"/>
      <c r="Q534" s="87"/>
      <c r="R534" s="87"/>
      <c r="S534" s="87"/>
      <c r="T534" s="87"/>
    </row>
    <row r="535" spans="1:20" ht="16.5" x14ac:dyDescent="0.3">
      <c r="A535" s="98"/>
      <c r="B535" s="99"/>
      <c r="C535" s="98"/>
      <c r="D535" s="100"/>
      <c r="E535" s="98"/>
      <c r="F535" s="98"/>
      <c r="G535" s="98"/>
      <c r="H535" s="98"/>
      <c r="I535" s="100"/>
      <c r="J535" s="100"/>
      <c r="K535" s="101"/>
      <c r="L535" s="100"/>
      <c r="M535" s="87"/>
      <c r="N535" s="87"/>
      <c r="O535" s="87"/>
      <c r="P535" s="87"/>
      <c r="Q535" s="87"/>
      <c r="R535" s="87"/>
      <c r="S535" s="87"/>
      <c r="T535" s="87"/>
    </row>
    <row r="536" spans="1:20" ht="16.5" x14ac:dyDescent="0.3">
      <c r="A536" s="98"/>
      <c r="B536" s="99"/>
      <c r="C536" s="98"/>
      <c r="D536" s="100"/>
      <c r="E536" s="98"/>
      <c r="F536" s="98"/>
      <c r="G536" s="98"/>
      <c r="H536" s="98"/>
      <c r="I536" s="100"/>
      <c r="J536" s="100"/>
      <c r="K536" s="101"/>
      <c r="L536" s="100"/>
      <c r="M536" s="87"/>
      <c r="N536" s="87"/>
      <c r="O536" s="87"/>
      <c r="P536" s="87"/>
      <c r="Q536" s="87"/>
      <c r="R536" s="87"/>
      <c r="S536" s="87"/>
      <c r="T536" s="87"/>
    </row>
    <row r="537" spans="1:20" ht="16.5" x14ac:dyDescent="0.3">
      <c r="A537" s="98"/>
      <c r="B537" s="99"/>
      <c r="C537" s="98"/>
      <c r="D537" s="100"/>
      <c r="E537" s="98"/>
      <c r="F537" s="98"/>
      <c r="G537" s="98"/>
      <c r="H537" s="98"/>
      <c r="I537" s="100"/>
      <c r="J537" s="100"/>
      <c r="K537" s="101"/>
      <c r="L537" s="100"/>
      <c r="M537" s="87"/>
      <c r="N537" s="87"/>
      <c r="O537" s="87"/>
      <c r="P537" s="87"/>
      <c r="Q537" s="87"/>
      <c r="R537" s="87"/>
      <c r="S537" s="87"/>
      <c r="T537" s="87"/>
    </row>
    <row r="538" spans="1:20" ht="16.5" x14ac:dyDescent="0.3">
      <c r="A538" s="98"/>
      <c r="B538" s="99"/>
      <c r="C538" s="98"/>
      <c r="D538" s="100"/>
      <c r="E538" s="98"/>
      <c r="F538" s="98"/>
      <c r="G538" s="98"/>
      <c r="H538" s="98"/>
      <c r="I538" s="100"/>
      <c r="J538" s="100"/>
      <c r="K538" s="101"/>
      <c r="L538" s="100"/>
      <c r="M538" s="87"/>
      <c r="N538" s="87"/>
      <c r="O538" s="87"/>
      <c r="P538" s="87"/>
      <c r="Q538" s="87"/>
      <c r="R538" s="87"/>
      <c r="S538" s="87"/>
      <c r="T538" s="87"/>
    </row>
    <row r="539" spans="1:20" ht="16.5" x14ac:dyDescent="0.3">
      <c r="A539" s="98"/>
      <c r="B539" s="99"/>
      <c r="C539" s="98"/>
      <c r="D539" s="100"/>
      <c r="E539" s="98"/>
      <c r="F539" s="98"/>
      <c r="G539" s="98"/>
      <c r="H539" s="98"/>
      <c r="I539" s="100"/>
      <c r="J539" s="100"/>
      <c r="K539" s="101"/>
      <c r="L539" s="100"/>
      <c r="M539" s="87"/>
      <c r="N539" s="87"/>
      <c r="O539" s="87"/>
      <c r="P539" s="87"/>
      <c r="Q539" s="87"/>
      <c r="R539" s="87"/>
      <c r="S539" s="87"/>
      <c r="T539" s="87"/>
    </row>
    <row r="540" spans="1:20" ht="16.5" x14ac:dyDescent="0.3">
      <c r="A540" s="98"/>
      <c r="B540" s="99"/>
      <c r="C540" s="98"/>
      <c r="D540" s="100"/>
      <c r="E540" s="98"/>
      <c r="F540" s="98"/>
      <c r="G540" s="98"/>
      <c r="H540" s="98"/>
      <c r="I540" s="100"/>
      <c r="J540" s="100"/>
      <c r="K540" s="101"/>
      <c r="L540" s="100"/>
      <c r="M540" s="87"/>
      <c r="N540" s="87"/>
      <c r="O540" s="87"/>
      <c r="P540" s="87"/>
      <c r="Q540" s="87"/>
      <c r="R540" s="87"/>
      <c r="S540" s="87"/>
      <c r="T540" s="87"/>
    </row>
    <row r="541" spans="1:20" ht="16.5" x14ac:dyDescent="0.3">
      <c r="A541" s="98"/>
      <c r="B541" s="99"/>
      <c r="C541" s="98"/>
      <c r="D541" s="100"/>
      <c r="E541" s="98"/>
      <c r="F541" s="98"/>
      <c r="G541" s="98"/>
      <c r="H541" s="98"/>
      <c r="I541" s="100"/>
      <c r="J541" s="100"/>
      <c r="K541" s="101"/>
      <c r="L541" s="100"/>
      <c r="M541" s="87"/>
      <c r="N541" s="87"/>
      <c r="O541" s="87"/>
      <c r="P541" s="87"/>
      <c r="Q541" s="87"/>
      <c r="R541" s="87"/>
      <c r="S541" s="87"/>
      <c r="T541" s="87"/>
    </row>
    <row r="542" spans="1:20" ht="16.5" x14ac:dyDescent="0.3">
      <c r="A542" s="98"/>
      <c r="B542" s="99"/>
      <c r="C542" s="98"/>
      <c r="D542" s="100"/>
      <c r="E542" s="98"/>
      <c r="F542" s="98"/>
      <c r="G542" s="98"/>
      <c r="H542" s="98"/>
      <c r="I542" s="100"/>
      <c r="J542" s="100"/>
      <c r="K542" s="101"/>
      <c r="L542" s="100"/>
      <c r="M542" s="87"/>
      <c r="N542" s="87"/>
      <c r="O542" s="87"/>
      <c r="P542" s="87"/>
      <c r="Q542" s="87"/>
      <c r="R542" s="87"/>
      <c r="S542" s="87"/>
      <c r="T542" s="87"/>
    </row>
    <row r="543" spans="1:20" ht="16.5" x14ac:dyDescent="0.3">
      <c r="A543" s="98"/>
      <c r="B543" s="99"/>
      <c r="C543" s="98"/>
      <c r="D543" s="100"/>
      <c r="E543" s="98"/>
      <c r="F543" s="98"/>
      <c r="G543" s="98"/>
      <c r="H543" s="98"/>
      <c r="I543" s="100"/>
      <c r="J543" s="100"/>
      <c r="K543" s="101"/>
      <c r="L543" s="100"/>
      <c r="M543" s="87"/>
      <c r="N543" s="87"/>
      <c r="O543" s="87"/>
      <c r="P543" s="87"/>
      <c r="Q543" s="87"/>
      <c r="R543" s="87"/>
      <c r="S543" s="87"/>
      <c r="T543" s="87"/>
    </row>
    <row r="544" spans="1:20" ht="16.5" x14ac:dyDescent="0.3">
      <c r="A544" s="98"/>
      <c r="B544" s="99"/>
      <c r="C544" s="98"/>
      <c r="D544" s="100"/>
      <c r="E544" s="98"/>
      <c r="F544" s="98"/>
      <c r="G544" s="98"/>
      <c r="H544" s="98"/>
      <c r="I544" s="100"/>
      <c r="J544" s="100"/>
      <c r="K544" s="101"/>
      <c r="L544" s="100"/>
      <c r="M544" s="87"/>
      <c r="N544" s="87"/>
      <c r="O544" s="87"/>
      <c r="P544" s="87"/>
      <c r="Q544" s="87"/>
      <c r="R544" s="87"/>
      <c r="S544" s="87"/>
      <c r="T544" s="87"/>
    </row>
    <row r="545" spans="1:20" ht="16.5" x14ac:dyDescent="0.3">
      <c r="A545" s="98"/>
      <c r="B545" s="99"/>
      <c r="C545" s="98"/>
      <c r="D545" s="100"/>
      <c r="E545" s="98"/>
      <c r="F545" s="98"/>
      <c r="G545" s="98"/>
      <c r="H545" s="98"/>
      <c r="I545" s="100"/>
      <c r="J545" s="100"/>
      <c r="K545" s="101"/>
      <c r="L545" s="100"/>
      <c r="M545" s="87"/>
      <c r="N545" s="87"/>
      <c r="O545" s="87"/>
      <c r="P545" s="87"/>
      <c r="Q545" s="87"/>
      <c r="R545" s="87"/>
      <c r="S545" s="87"/>
      <c r="T545" s="87"/>
    </row>
    <row r="546" spans="1:20" ht="16.5" x14ac:dyDescent="0.3">
      <c r="A546" s="98"/>
      <c r="B546" s="99"/>
      <c r="C546" s="98"/>
      <c r="D546" s="100"/>
      <c r="E546" s="98"/>
      <c r="F546" s="98"/>
      <c r="G546" s="98"/>
      <c r="H546" s="98"/>
      <c r="I546" s="100"/>
      <c r="J546" s="100"/>
      <c r="K546" s="101"/>
      <c r="L546" s="100"/>
      <c r="M546" s="87"/>
      <c r="N546" s="87"/>
      <c r="O546" s="87"/>
      <c r="P546" s="87"/>
      <c r="Q546" s="87"/>
      <c r="R546" s="87"/>
      <c r="S546" s="87"/>
      <c r="T546" s="87"/>
    </row>
    <row r="547" spans="1:20" ht="16.5" x14ac:dyDescent="0.3">
      <c r="A547" s="98"/>
      <c r="B547" s="99"/>
      <c r="C547" s="98"/>
      <c r="D547" s="100"/>
      <c r="E547" s="98"/>
      <c r="F547" s="98"/>
      <c r="G547" s="98"/>
      <c r="H547" s="98"/>
      <c r="I547" s="100"/>
      <c r="J547" s="100"/>
      <c r="K547" s="101"/>
      <c r="L547" s="100"/>
      <c r="M547" s="87"/>
      <c r="N547" s="87"/>
      <c r="O547" s="87"/>
      <c r="P547" s="87"/>
      <c r="Q547" s="87"/>
      <c r="R547" s="87"/>
      <c r="S547" s="87"/>
      <c r="T547" s="87"/>
    </row>
    <row r="548" spans="1:20" ht="16.5" x14ac:dyDescent="0.3">
      <c r="A548" s="98"/>
      <c r="B548" s="99"/>
      <c r="C548" s="98"/>
      <c r="D548" s="100"/>
      <c r="E548" s="98"/>
      <c r="F548" s="98"/>
      <c r="G548" s="98"/>
      <c r="H548" s="98"/>
      <c r="I548" s="100"/>
      <c r="J548" s="100"/>
      <c r="K548" s="101"/>
      <c r="L548" s="100"/>
      <c r="M548" s="87"/>
      <c r="N548" s="87"/>
      <c r="O548" s="87"/>
      <c r="P548" s="87"/>
      <c r="Q548" s="87"/>
      <c r="R548" s="87"/>
      <c r="S548" s="87"/>
      <c r="T548" s="87"/>
    </row>
    <row r="549" spans="1:20" ht="16.5" x14ac:dyDescent="0.3">
      <c r="A549" s="98"/>
      <c r="B549" s="99"/>
      <c r="C549" s="98"/>
      <c r="D549" s="100"/>
      <c r="E549" s="98"/>
      <c r="F549" s="98"/>
      <c r="G549" s="98"/>
      <c r="H549" s="98"/>
      <c r="I549" s="100"/>
      <c r="J549" s="100"/>
      <c r="K549" s="101"/>
      <c r="L549" s="100"/>
      <c r="M549" s="87"/>
      <c r="N549" s="87"/>
      <c r="O549" s="87"/>
      <c r="P549" s="87"/>
      <c r="Q549" s="87"/>
      <c r="R549" s="87"/>
      <c r="S549" s="87"/>
      <c r="T549" s="87"/>
    </row>
    <row r="550" spans="1:20" ht="16.5" x14ac:dyDescent="0.3">
      <c r="A550" s="98"/>
      <c r="B550" s="99"/>
      <c r="C550" s="98"/>
      <c r="D550" s="100"/>
      <c r="E550" s="98"/>
      <c r="F550" s="98"/>
      <c r="G550" s="98"/>
      <c r="H550" s="98"/>
      <c r="I550" s="100"/>
      <c r="J550" s="100"/>
      <c r="K550" s="101"/>
      <c r="L550" s="100"/>
      <c r="M550" s="87"/>
      <c r="N550" s="87"/>
      <c r="O550" s="87"/>
      <c r="P550" s="87"/>
      <c r="Q550" s="87"/>
      <c r="R550" s="87"/>
      <c r="S550" s="87"/>
      <c r="T550" s="87"/>
    </row>
    <row r="551" spans="1:20" ht="16.5" x14ac:dyDescent="0.3">
      <c r="A551" s="98"/>
      <c r="B551" s="99"/>
      <c r="C551" s="98"/>
      <c r="D551" s="100"/>
      <c r="E551" s="98"/>
      <c r="F551" s="98"/>
      <c r="G551" s="98"/>
      <c r="H551" s="98"/>
      <c r="I551" s="100"/>
      <c r="J551" s="100"/>
      <c r="K551" s="101"/>
      <c r="L551" s="100"/>
      <c r="M551" s="87"/>
      <c r="N551" s="87"/>
      <c r="O551" s="87"/>
      <c r="P551" s="87"/>
      <c r="Q551" s="87"/>
      <c r="R551" s="87"/>
      <c r="S551" s="87"/>
      <c r="T551" s="87"/>
    </row>
    <row r="552" spans="1:20" ht="16.5" x14ac:dyDescent="0.3">
      <c r="A552" s="98"/>
      <c r="B552" s="99"/>
      <c r="C552" s="98"/>
      <c r="D552" s="100"/>
      <c r="E552" s="98"/>
      <c r="F552" s="98"/>
      <c r="G552" s="98"/>
      <c r="H552" s="98"/>
      <c r="I552" s="100"/>
      <c r="J552" s="100"/>
      <c r="K552" s="101"/>
      <c r="L552" s="100"/>
      <c r="M552" s="87"/>
      <c r="N552" s="87"/>
      <c r="O552" s="87"/>
      <c r="P552" s="87"/>
      <c r="Q552" s="87"/>
      <c r="R552" s="87"/>
      <c r="S552" s="87"/>
      <c r="T552" s="87"/>
    </row>
    <row r="553" spans="1:20" ht="16.5" x14ac:dyDescent="0.3">
      <c r="A553" s="98"/>
      <c r="B553" s="99"/>
      <c r="C553" s="98"/>
      <c r="D553" s="100"/>
      <c r="E553" s="98"/>
      <c r="F553" s="98"/>
      <c r="G553" s="98"/>
      <c r="H553" s="98"/>
      <c r="I553" s="100"/>
      <c r="J553" s="100"/>
      <c r="K553" s="101"/>
      <c r="L553" s="100"/>
      <c r="M553" s="87"/>
      <c r="N553" s="87"/>
      <c r="O553" s="87"/>
      <c r="P553" s="87"/>
      <c r="Q553" s="87"/>
      <c r="R553" s="87"/>
      <c r="S553" s="87"/>
      <c r="T553" s="87"/>
    </row>
    <row r="554" spans="1:20" ht="16.5" x14ac:dyDescent="0.3">
      <c r="A554" s="98"/>
      <c r="B554" s="99"/>
      <c r="C554" s="98"/>
      <c r="D554" s="100"/>
      <c r="E554" s="98"/>
      <c r="F554" s="98"/>
      <c r="G554" s="98"/>
      <c r="H554" s="98"/>
      <c r="I554" s="100"/>
      <c r="J554" s="100"/>
      <c r="K554" s="101"/>
      <c r="L554" s="100"/>
      <c r="M554" s="87"/>
      <c r="N554" s="87"/>
      <c r="O554" s="87"/>
      <c r="P554" s="87"/>
      <c r="Q554" s="87"/>
      <c r="R554" s="87"/>
      <c r="S554" s="87"/>
      <c r="T554" s="87"/>
    </row>
    <row r="555" spans="1:20" ht="16.5" x14ac:dyDescent="0.3">
      <c r="A555" s="98"/>
      <c r="B555" s="99"/>
      <c r="C555" s="98"/>
      <c r="D555" s="100"/>
      <c r="E555" s="98"/>
      <c r="F555" s="98"/>
      <c r="G555" s="98"/>
      <c r="H555" s="98"/>
      <c r="I555" s="100"/>
      <c r="J555" s="100"/>
      <c r="K555" s="101"/>
      <c r="L555" s="100"/>
      <c r="M555" s="87"/>
      <c r="N555" s="87"/>
      <c r="O555" s="87"/>
      <c r="P555" s="87"/>
      <c r="Q555" s="87"/>
      <c r="R555" s="87"/>
      <c r="S555" s="87"/>
      <c r="T555" s="87"/>
    </row>
    <row r="556" spans="1:20" ht="16.5" x14ac:dyDescent="0.3">
      <c r="A556" s="98"/>
      <c r="B556" s="99"/>
      <c r="C556" s="98"/>
      <c r="D556" s="100"/>
      <c r="E556" s="98"/>
      <c r="F556" s="98"/>
      <c r="G556" s="98"/>
      <c r="H556" s="98"/>
      <c r="I556" s="100"/>
      <c r="J556" s="100"/>
      <c r="K556" s="101"/>
      <c r="L556" s="100"/>
      <c r="M556" s="87"/>
      <c r="N556" s="87"/>
      <c r="O556" s="87"/>
      <c r="P556" s="87"/>
      <c r="Q556" s="87"/>
      <c r="R556" s="87"/>
      <c r="S556" s="87"/>
      <c r="T556" s="87"/>
    </row>
    <row r="557" spans="1:20" ht="16.5" x14ac:dyDescent="0.3">
      <c r="A557" s="98"/>
      <c r="B557" s="99"/>
      <c r="C557" s="98"/>
      <c r="D557" s="100"/>
      <c r="E557" s="98"/>
      <c r="F557" s="98"/>
      <c r="G557" s="98"/>
      <c r="H557" s="98"/>
      <c r="I557" s="100"/>
      <c r="J557" s="100"/>
      <c r="K557" s="101"/>
      <c r="L557" s="100"/>
      <c r="M557" s="87"/>
      <c r="N557" s="87"/>
      <c r="O557" s="87"/>
      <c r="P557" s="87"/>
      <c r="Q557" s="87"/>
      <c r="R557" s="87"/>
      <c r="S557" s="87"/>
      <c r="T557" s="87"/>
    </row>
    <row r="558" spans="1:20" ht="16.5" x14ac:dyDescent="0.3">
      <c r="A558" s="98"/>
      <c r="B558" s="99"/>
      <c r="C558" s="98"/>
      <c r="D558" s="100"/>
      <c r="E558" s="98"/>
      <c r="F558" s="98"/>
      <c r="G558" s="98"/>
      <c r="H558" s="98"/>
      <c r="I558" s="100"/>
      <c r="J558" s="100"/>
      <c r="K558" s="101"/>
      <c r="L558" s="100"/>
      <c r="M558" s="87"/>
      <c r="N558" s="87"/>
      <c r="O558" s="87"/>
      <c r="P558" s="87"/>
      <c r="Q558" s="87"/>
      <c r="R558" s="87"/>
      <c r="S558" s="87"/>
      <c r="T558" s="87"/>
    </row>
    <row r="559" spans="1:20" ht="16.5" x14ac:dyDescent="0.3">
      <c r="A559" s="98"/>
      <c r="B559" s="99"/>
      <c r="C559" s="98"/>
      <c r="D559" s="100"/>
      <c r="E559" s="98"/>
      <c r="F559" s="98"/>
      <c r="G559" s="98"/>
      <c r="H559" s="98"/>
      <c r="I559" s="100"/>
      <c r="J559" s="100"/>
      <c r="K559" s="101"/>
      <c r="L559" s="100"/>
      <c r="M559" s="87"/>
      <c r="N559" s="87"/>
      <c r="O559" s="87"/>
      <c r="P559" s="87"/>
      <c r="Q559" s="87"/>
      <c r="R559" s="87"/>
      <c r="S559" s="87"/>
      <c r="T559" s="87"/>
    </row>
    <row r="560" spans="1:20" ht="16.5" x14ac:dyDescent="0.3">
      <c r="A560" s="98"/>
      <c r="B560" s="99"/>
      <c r="C560" s="98"/>
      <c r="D560" s="100"/>
      <c r="E560" s="98"/>
      <c r="F560" s="98"/>
      <c r="G560" s="98"/>
      <c r="H560" s="98"/>
      <c r="I560" s="100"/>
      <c r="J560" s="100"/>
      <c r="K560" s="101"/>
      <c r="L560" s="100"/>
      <c r="M560" s="87"/>
      <c r="N560" s="87"/>
      <c r="O560" s="87"/>
      <c r="P560" s="87"/>
      <c r="Q560" s="87"/>
      <c r="R560" s="87"/>
      <c r="S560" s="87"/>
      <c r="T560" s="87"/>
    </row>
    <row r="561" spans="1:20" ht="16.5" x14ac:dyDescent="0.3">
      <c r="A561" s="98"/>
      <c r="B561" s="99"/>
      <c r="C561" s="98"/>
      <c r="D561" s="100"/>
      <c r="E561" s="98"/>
      <c r="F561" s="98"/>
      <c r="G561" s="98"/>
      <c r="H561" s="98"/>
      <c r="I561" s="100"/>
      <c r="J561" s="100"/>
      <c r="K561" s="101"/>
      <c r="L561" s="100"/>
      <c r="M561" s="87"/>
      <c r="N561" s="87"/>
      <c r="O561" s="87"/>
      <c r="P561" s="87"/>
      <c r="Q561" s="87"/>
      <c r="R561" s="87"/>
      <c r="S561" s="87"/>
      <c r="T561" s="87"/>
    </row>
    <row r="562" spans="1:20" ht="16.5" x14ac:dyDescent="0.3">
      <c r="A562" s="98"/>
      <c r="B562" s="99"/>
      <c r="C562" s="98"/>
      <c r="D562" s="100"/>
      <c r="E562" s="98"/>
      <c r="F562" s="98"/>
      <c r="G562" s="98"/>
      <c r="H562" s="98"/>
      <c r="I562" s="100"/>
      <c r="J562" s="100"/>
      <c r="K562" s="101"/>
      <c r="L562" s="100"/>
      <c r="M562" s="87"/>
      <c r="N562" s="87"/>
      <c r="O562" s="87"/>
      <c r="P562" s="87"/>
      <c r="Q562" s="87"/>
      <c r="R562" s="87"/>
      <c r="S562" s="87"/>
      <c r="T562" s="87"/>
    </row>
    <row r="563" spans="1:20" ht="16.5" x14ac:dyDescent="0.3">
      <c r="A563" s="98"/>
      <c r="B563" s="99"/>
      <c r="C563" s="98"/>
      <c r="D563" s="100"/>
      <c r="E563" s="98"/>
      <c r="F563" s="98"/>
      <c r="G563" s="98"/>
      <c r="H563" s="98"/>
      <c r="I563" s="100"/>
      <c r="J563" s="100"/>
      <c r="K563" s="101"/>
      <c r="L563" s="100"/>
      <c r="M563" s="87"/>
      <c r="N563" s="87"/>
      <c r="O563" s="87"/>
      <c r="P563" s="87"/>
      <c r="Q563" s="87"/>
      <c r="R563" s="87"/>
      <c r="S563" s="87"/>
      <c r="T563" s="87"/>
    </row>
    <row r="564" spans="1:20" ht="16.5" x14ac:dyDescent="0.3">
      <c r="A564" s="98"/>
      <c r="B564" s="99"/>
      <c r="C564" s="98"/>
      <c r="D564" s="100"/>
      <c r="E564" s="98"/>
      <c r="F564" s="98"/>
      <c r="G564" s="98"/>
      <c r="H564" s="98"/>
      <c r="I564" s="100"/>
      <c r="J564" s="100"/>
      <c r="K564" s="101"/>
      <c r="L564" s="100"/>
      <c r="M564" s="87"/>
      <c r="N564" s="87"/>
      <c r="O564" s="87"/>
      <c r="P564" s="87"/>
      <c r="Q564" s="87"/>
      <c r="R564" s="87"/>
      <c r="S564" s="87"/>
      <c r="T564" s="87"/>
    </row>
    <row r="565" spans="1:20" ht="16.5" x14ac:dyDescent="0.3">
      <c r="A565" s="98"/>
      <c r="B565" s="99"/>
      <c r="C565" s="98"/>
      <c r="D565" s="100"/>
      <c r="E565" s="98"/>
      <c r="F565" s="98"/>
      <c r="G565" s="98"/>
      <c r="H565" s="98"/>
      <c r="I565" s="100"/>
      <c r="J565" s="100"/>
      <c r="K565" s="101"/>
      <c r="L565" s="100"/>
      <c r="M565" s="87"/>
      <c r="N565" s="87"/>
      <c r="O565" s="87"/>
      <c r="P565" s="87"/>
      <c r="Q565" s="87"/>
      <c r="R565" s="87"/>
      <c r="S565" s="87"/>
      <c r="T565" s="87"/>
    </row>
    <row r="566" spans="1:20" ht="16.5" x14ac:dyDescent="0.3">
      <c r="A566" s="98"/>
      <c r="B566" s="99"/>
      <c r="C566" s="98"/>
      <c r="D566" s="100"/>
      <c r="E566" s="98"/>
      <c r="F566" s="98"/>
      <c r="G566" s="98"/>
      <c r="H566" s="98"/>
      <c r="I566" s="100"/>
      <c r="J566" s="100"/>
      <c r="K566" s="101"/>
      <c r="L566" s="100"/>
      <c r="M566" s="87"/>
      <c r="N566" s="87"/>
      <c r="O566" s="87"/>
      <c r="P566" s="87"/>
      <c r="Q566" s="87"/>
      <c r="R566" s="87"/>
      <c r="S566" s="87"/>
      <c r="T566" s="87"/>
    </row>
    <row r="567" spans="1:20" ht="16.5" x14ac:dyDescent="0.3">
      <c r="A567" s="98"/>
      <c r="B567" s="99"/>
      <c r="C567" s="98"/>
      <c r="D567" s="100"/>
      <c r="E567" s="98"/>
      <c r="F567" s="98"/>
      <c r="G567" s="98"/>
      <c r="H567" s="98"/>
      <c r="I567" s="100"/>
      <c r="J567" s="100"/>
      <c r="K567" s="101"/>
      <c r="L567" s="100"/>
      <c r="M567" s="87"/>
      <c r="N567" s="87"/>
      <c r="O567" s="87"/>
      <c r="P567" s="87"/>
      <c r="Q567" s="87"/>
      <c r="R567" s="87"/>
      <c r="S567" s="87"/>
      <c r="T567" s="87"/>
    </row>
    <row r="568" spans="1:20" ht="16.5" x14ac:dyDescent="0.3">
      <c r="A568" s="98"/>
      <c r="B568" s="99"/>
      <c r="C568" s="98"/>
      <c r="D568" s="100"/>
      <c r="E568" s="98"/>
      <c r="F568" s="98"/>
      <c r="G568" s="98"/>
      <c r="H568" s="98"/>
      <c r="I568" s="100"/>
      <c r="J568" s="100"/>
      <c r="K568" s="101"/>
      <c r="L568" s="100"/>
      <c r="M568" s="87"/>
      <c r="N568" s="87"/>
      <c r="O568" s="87"/>
      <c r="P568" s="87"/>
      <c r="Q568" s="87"/>
      <c r="R568" s="87"/>
      <c r="S568" s="87"/>
      <c r="T568" s="87"/>
    </row>
    <row r="569" spans="1:20" ht="16.5" x14ac:dyDescent="0.3">
      <c r="A569" s="98"/>
      <c r="B569" s="99"/>
      <c r="C569" s="98"/>
      <c r="D569" s="100"/>
      <c r="E569" s="98"/>
      <c r="F569" s="98"/>
      <c r="G569" s="98"/>
      <c r="H569" s="98"/>
      <c r="I569" s="100"/>
      <c r="J569" s="100"/>
      <c r="K569" s="101"/>
      <c r="L569" s="100"/>
      <c r="M569" s="87"/>
      <c r="N569" s="87"/>
      <c r="O569" s="87"/>
      <c r="P569" s="87"/>
      <c r="Q569" s="87"/>
      <c r="R569" s="87"/>
      <c r="S569" s="87"/>
      <c r="T569" s="87"/>
    </row>
    <row r="570" spans="1:20" ht="16.5" x14ac:dyDescent="0.3">
      <c r="A570" s="98"/>
      <c r="B570" s="99"/>
      <c r="C570" s="98"/>
      <c r="D570" s="100"/>
      <c r="E570" s="98"/>
      <c r="F570" s="98"/>
      <c r="G570" s="98"/>
      <c r="H570" s="98"/>
      <c r="I570" s="100"/>
      <c r="J570" s="100"/>
      <c r="K570" s="101"/>
      <c r="L570" s="100"/>
      <c r="M570" s="87"/>
      <c r="N570" s="87"/>
      <c r="O570" s="87"/>
      <c r="P570" s="87"/>
      <c r="Q570" s="87"/>
      <c r="R570" s="87"/>
      <c r="S570" s="87"/>
      <c r="T570" s="87"/>
    </row>
    <row r="571" spans="1:20" ht="16.5" x14ac:dyDescent="0.3">
      <c r="A571" s="98"/>
      <c r="B571" s="99"/>
      <c r="C571" s="98"/>
      <c r="D571" s="100"/>
      <c r="E571" s="98"/>
      <c r="F571" s="98"/>
      <c r="G571" s="98"/>
      <c r="H571" s="98"/>
      <c r="I571" s="100"/>
      <c r="J571" s="100"/>
      <c r="K571" s="101"/>
      <c r="L571" s="100"/>
      <c r="M571" s="87"/>
      <c r="N571" s="87"/>
      <c r="O571" s="87"/>
      <c r="P571" s="87"/>
      <c r="Q571" s="87"/>
      <c r="R571" s="87"/>
      <c r="S571" s="87"/>
      <c r="T571" s="87"/>
    </row>
    <row r="572" spans="1:20" ht="16.5" x14ac:dyDescent="0.3">
      <c r="A572" s="98"/>
      <c r="B572" s="99"/>
      <c r="C572" s="98"/>
      <c r="D572" s="100"/>
      <c r="E572" s="98"/>
      <c r="F572" s="98"/>
      <c r="G572" s="98"/>
      <c r="H572" s="98"/>
      <c r="I572" s="100"/>
      <c r="J572" s="100"/>
      <c r="K572" s="101"/>
      <c r="L572" s="100"/>
      <c r="M572" s="87"/>
      <c r="N572" s="87"/>
      <c r="O572" s="87"/>
      <c r="P572" s="87"/>
      <c r="Q572" s="87"/>
      <c r="R572" s="87"/>
      <c r="S572" s="87"/>
      <c r="T572" s="87"/>
    </row>
    <row r="573" spans="1:20" ht="16.5" x14ac:dyDescent="0.3">
      <c r="A573" s="98"/>
      <c r="B573" s="99"/>
      <c r="C573" s="98"/>
      <c r="D573" s="100"/>
      <c r="E573" s="98"/>
      <c r="F573" s="98"/>
      <c r="G573" s="98"/>
      <c r="H573" s="98"/>
      <c r="I573" s="100"/>
      <c r="J573" s="100"/>
      <c r="K573" s="101"/>
      <c r="L573" s="100"/>
      <c r="M573" s="87"/>
      <c r="N573" s="87"/>
      <c r="O573" s="87"/>
      <c r="P573" s="87"/>
      <c r="Q573" s="87"/>
      <c r="R573" s="87"/>
      <c r="S573" s="87"/>
      <c r="T573" s="87"/>
    </row>
    <row r="574" spans="1:20" ht="16.5" x14ac:dyDescent="0.3">
      <c r="A574" s="98"/>
      <c r="B574" s="99"/>
      <c r="C574" s="98"/>
      <c r="D574" s="100"/>
      <c r="E574" s="98"/>
      <c r="F574" s="98"/>
      <c r="G574" s="98"/>
      <c r="H574" s="98"/>
      <c r="I574" s="100"/>
      <c r="J574" s="100"/>
      <c r="K574" s="101"/>
      <c r="L574" s="100"/>
      <c r="M574" s="87"/>
      <c r="N574" s="87"/>
      <c r="O574" s="87"/>
      <c r="P574" s="87"/>
      <c r="Q574" s="87"/>
      <c r="R574" s="87"/>
      <c r="S574" s="87"/>
      <c r="T574" s="87"/>
    </row>
    <row r="575" spans="1:20" ht="16.5" x14ac:dyDescent="0.3">
      <c r="A575" s="98"/>
      <c r="B575" s="99"/>
      <c r="C575" s="98"/>
      <c r="D575" s="100"/>
      <c r="E575" s="98"/>
      <c r="F575" s="98"/>
      <c r="G575" s="98"/>
      <c r="H575" s="98"/>
      <c r="I575" s="100"/>
      <c r="J575" s="100"/>
      <c r="K575" s="101"/>
      <c r="L575" s="100"/>
      <c r="M575" s="87"/>
      <c r="N575" s="87"/>
      <c r="O575" s="87"/>
      <c r="P575" s="87"/>
      <c r="Q575" s="87"/>
      <c r="R575" s="87"/>
      <c r="S575" s="87"/>
      <c r="T575" s="87"/>
    </row>
    <row r="576" spans="1:20" ht="16.5" x14ac:dyDescent="0.3">
      <c r="A576" s="98"/>
      <c r="B576" s="99"/>
      <c r="C576" s="98"/>
      <c r="D576" s="100"/>
      <c r="E576" s="98"/>
      <c r="F576" s="98"/>
      <c r="G576" s="98"/>
      <c r="H576" s="98"/>
      <c r="I576" s="100"/>
      <c r="J576" s="100"/>
      <c r="K576" s="101"/>
      <c r="L576" s="100"/>
      <c r="M576" s="87"/>
      <c r="N576" s="87"/>
      <c r="O576" s="87"/>
      <c r="P576" s="87"/>
      <c r="Q576" s="87"/>
      <c r="R576" s="87"/>
      <c r="S576" s="87"/>
      <c r="T576" s="87"/>
    </row>
    <row r="577" spans="1:20" ht="16.5" x14ac:dyDescent="0.3">
      <c r="A577" s="98"/>
      <c r="B577" s="99"/>
      <c r="C577" s="98"/>
      <c r="D577" s="100"/>
      <c r="E577" s="98"/>
      <c r="F577" s="98"/>
      <c r="G577" s="98"/>
      <c r="H577" s="98"/>
      <c r="I577" s="100"/>
      <c r="J577" s="100"/>
      <c r="K577" s="101"/>
      <c r="L577" s="100"/>
      <c r="M577" s="87"/>
      <c r="N577" s="87"/>
      <c r="O577" s="87"/>
      <c r="P577" s="87"/>
      <c r="Q577" s="87"/>
      <c r="R577" s="87"/>
      <c r="S577" s="87"/>
      <c r="T577" s="87"/>
    </row>
    <row r="578" spans="1:20" ht="16.5" x14ac:dyDescent="0.3">
      <c r="A578" s="98"/>
      <c r="B578" s="99"/>
      <c r="C578" s="98"/>
      <c r="D578" s="100"/>
      <c r="E578" s="98"/>
      <c r="F578" s="98"/>
      <c r="G578" s="98"/>
      <c r="H578" s="98"/>
      <c r="I578" s="100"/>
      <c r="J578" s="100"/>
      <c r="K578" s="101"/>
      <c r="L578" s="100"/>
      <c r="M578" s="87"/>
      <c r="N578" s="87"/>
      <c r="O578" s="87"/>
      <c r="P578" s="87"/>
      <c r="Q578" s="87"/>
      <c r="R578" s="87"/>
      <c r="S578" s="87"/>
      <c r="T578" s="87"/>
    </row>
    <row r="579" spans="1:20" ht="16.5" x14ac:dyDescent="0.3">
      <c r="A579" s="98"/>
      <c r="B579" s="99"/>
      <c r="C579" s="98"/>
      <c r="D579" s="100"/>
      <c r="E579" s="98"/>
      <c r="F579" s="98"/>
      <c r="G579" s="98"/>
      <c r="H579" s="98"/>
      <c r="I579" s="100"/>
      <c r="J579" s="100"/>
      <c r="K579" s="101"/>
      <c r="L579" s="100"/>
      <c r="M579" s="87"/>
      <c r="N579" s="87"/>
      <c r="O579" s="87"/>
      <c r="P579" s="87"/>
      <c r="Q579" s="87"/>
      <c r="R579" s="87"/>
      <c r="S579" s="87"/>
      <c r="T579" s="87"/>
    </row>
    <row r="580" spans="1:20" ht="16.5" x14ac:dyDescent="0.3">
      <c r="A580" s="98"/>
      <c r="B580" s="99"/>
      <c r="C580" s="98"/>
      <c r="D580" s="100"/>
      <c r="E580" s="98"/>
      <c r="F580" s="98"/>
      <c r="G580" s="98"/>
      <c r="H580" s="98"/>
      <c r="I580" s="100"/>
      <c r="J580" s="100"/>
      <c r="K580" s="101"/>
      <c r="L580" s="100"/>
      <c r="M580" s="87"/>
      <c r="N580" s="87"/>
      <c r="O580" s="87"/>
      <c r="P580" s="87"/>
      <c r="Q580" s="87"/>
      <c r="R580" s="87"/>
      <c r="S580" s="87"/>
      <c r="T580" s="87"/>
    </row>
    <row r="581" spans="1:20" ht="16.5" x14ac:dyDescent="0.3">
      <c r="A581" s="98"/>
      <c r="B581" s="99"/>
      <c r="C581" s="98"/>
      <c r="D581" s="100"/>
      <c r="E581" s="98"/>
      <c r="F581" s="98"/>
      <c r="G581" s="98"/>
      <c r="H581" s="98"/>
      <c r="I581" s="100"/>
      <c r="J581" s="100"/>
      <c r="K581" s="101"/>
      <c r="L581" s="100"/>
      <c r="M581" s="87"/>
      <c r="N581" s="87"/>
      <c r="O581" s="87"/>
      <c r="P581" s="87"/>
      <c r="Q581" s="87"/>
      <c r="R581" s="87"/>
      <c r="S581" s="87"/>
      <c r="T581" s="87"/>
    </row>
    <row r="582" spans="1:20" ht="16.5" x14ac:dyDescent="0.3">
      <c r="A582" s="98"/>
      <c r="B582" s="99"/>
      <c r="C582" s="98"/>
      <c r="D582" s="100"/>
      <c r="E582" s="98"/>
      <c r="F582" s="98"/>
      <c r="G582" s="98"/>
      <c r="H582" s="98"/>
      <c r="I582" s="100"/>
      <c r="J582" s="100"/>
      <c r="K582" s="101"/>
      <c r="L582" s="100"/>
      <c r="M582" s="87"/>
      <c r="N582" s="87"/>
      <c r="O582" s="87"/>
      <c r="P582" s="87"/>
      <c r="Q582" s="87"/>
      <c r="R582" s="87"/>
      <c r="S582" s="87"/>
      <c r="T582" s="87"/>
    </row>
    <row r="583" spans="1:20" ht="16.5" x14ac:dyDescent="0.3">
      <c r="A583" s="98"/>
      <c r="B583" s="99"/>
      <c r="C583" s="98"/>
      <c r="D583" s="100"/>
      <c r="E583" s="98"/>
      <c r="F583" s="98"/>
      <c r="G583" s="98"/>
      <c r="H583" s="98"/>
      <c r="I583" s="100"/>
      <c r="J583" s="100"/>
      <c r="K583" s="101"/>
      <c r="L583" s="100"/>
      <c r="M583" s="87"/>
      <c r="N583" s="87"/>
      <c r="O583" s="87"/>
      <c r="P583" s="87"/>
      <c r="Q583" s="87"/>
      <c r="R583" s="87"/>
      <c r="S583" s="87"/>
      <c r="T583" s="87"/>
    </row>
    <row r="584" spans="1:20" ht="16.5" x14ac:dyDescent="0.3">
      <c r="A584" s="98"/>
      <c r="B584" s="99"/>
      <c r="C584" s="98"/>
      <c r="D584" s="100"/>
      <c r="E584" s="98"/>
      <c r="F584" s="98"/>
      <c r="G584" s="98"/>
      <c r="H584" s="98"/>
      <c r="I584" s="100"/>
      <c r="J584" s="100"/>
      <c r="K584" s="101"/>
      <c r="L584" s="100"/>
      <c r="M584" s="87"/>
      <c r="N584" s="87"/>
      <c r="O584" s="87"/>
      <c r="P584" s="87"/>
      <c r="Q584" s="87"/>
      <c r="R584" s="87"/>
      <c r="S584" s="87"/>
      <c r="T584" s="87"/>
    </row>
    <row r="585" spans="1:20" ht="16.5" x14ac:dyDescent="0.3">
      <c r="A585" s="98"/>
      <c r="B585" s="99"/>
      <c r="C585" s="98"/>
      <c r="D585" s="100"/>
      <c r="E585" s="98"/>
      <c r="F585" s="98"/>
      <c r="G585" s="98"/>
      <c r="H585" s="98"/>
      <c r="I585" s="100"/>
      <c r="J585" s="100"/>
      <c r="K585" s="101"/>
      <c r="L585" s="100"/>
      <c r="M585" s="87"/>
      <c r="N585" s="87"/>
      <c r="O585" s="87"/>
      <c r="P585" s="87"/>
      <c r="Q585" s="87"/>
      <c r="R585" s="87"/>
      <c r="S585" s="87"/>
      <c r="T585" s="87"/>
    </row>
    <row r="586" spans="1:20" ht="16.5" x14ac:dyDescent="0.3">
      <c r="A586" s="98"/>
      <c r="B586" s="99"/>
      <c r="C586" s="98"/>
      <c r="D586" s="100"/>
      <c r="E586" s="98"/>
      <c r="F586" s="98"/>
      <c r="G586" s="98"/>
      <c r="H586" s="98"/>
      <c r="I586" s="100"/>
      <c r="J586" s="100"/>
      <c r="K586" s="101"/>
      <c r="L586" s="100"/>
      <c r="M586" s="87"/>
      <c r="N586" s="87"/>
      <c r="O586" s="87"/>
      <c r="P586" s="87"/>
      <c r="Q586" s="87"/>
      <c r="R586" s="87"/>
      <c r="S586" s="87"/>
      <c r="T586" s="87"/>
    </row>
    <row r="587" spans="1:20" ht="16.5" x14ac:dyDescent="0.3">
      <c r="A587" s="98"/>
      <c r="B587" s="99"/>
      <c r="C587" s="98"/>
      <c r="D587" s="100"/>
      <c r="E587" s="98"/>
      <c r="F587" s="98"/>
      <c r="G587" s="98"/>
      <c r="H587" s="98"/>
      <c r="I587" s="100"/>
      <c r="J587" s="100"/>
      <c r="K587" s="101"/>
      <c r="L587" s="100"/>
      <c r="M587" s="87"/>
      <c r="N587" s="87"/>
      <c r="O587" s="87"/>
      <c r="P587" s="87"/>
      <c r="Q587" s="87"/>
      <c r="R587" s="87"/>
      <c r="S587" s="87"/>
      <c r="T587" s="87"/>
    </row>
    <row r="588" spans="1:20" ht="16.5" x14ac:dyDescent="0.3">
      <c r="A588" s="98"/>
      <c r="B588" s="99"/>
      <c r="C588" s="98"/>
      <c r="D588" s="100"/>
      <c r="E588" s="98"/>
      <c r="F588" s="98"/>
      <c r="G588" s="98"/>
      <c r="H588" s="98"/>
      <c r="I588" s="100"/>
      <c r="J588" s="100"/>
      <c r="K588" s="101"/>
      <c r="L588" s="100"/>
      <c r="M588" s="87"/>
      <c r="N588" s="87"/>
      <c r="O588" s="87"/>
      <c r="P588" s="87"/>
      <c r="Q588" s="87"/>
      <c r="R588" s="87"/>
      <c r="S588" s="87"/>
      <c r="T588" s="87"/>
    </row>
    <row r="589" spans="1:20" ht="16.5" x14ac:dyDescent="0.3">
      <c r="A589" s="98"/>
      <c r="B589" s="99"/>
      <c r="C589" s="98"/>
      <c r="D589" s="100"/>
      <c r="E589" s="98"/>
      <c r="F589" s="98"/>
      <c r="G589" s="98"/>
      <c r="H589" s="98"/>
      <c r="I589" s="100"/>
      <c r="J589" s="100"/>
      <c r="K589" s="101"/>
      <c r="L589" s="100"/>
      <c r="M589" s="87"/>
      <c r="N589" s="87"/>
      <c r="O589" s="87"/>
      <c r="P589" s="87"/>
      <c r="Q589" s="87"/>
      <c r="R589" s="87"/>
      <c r="S589" s="87"/>
      <c r="T589" s="87"/>
    </row>
    <row r="590" spans="1:20" ht="16.5" x14ac:dyDescent="0.3">
      <c r="A590" s="98"/>
      <c r="B590" s="99"/>
      <c r="C590" s="98"/>
      <c r="D590" s="100"/>
      <c r="E590" s="98"/>
      <c r="F590" s="98"/>
      <c r="G590" s="98"/>
      <c r="H590" s="98"/>
      <c r="I590" s="100"/>
      <c r="J590" s="100"/>
      <c r="K590" s="101"/>
      <c r="L590" s="100"/>
      <c r="M590" s="87"/>
      <c r="N590" s="87"/>
      <c r="O590" s="87"/>
      <c r="P590" s="87"/>
      <c r="Q590" s="87"/>
      <c r="R590" s="87"/>
      <c r="S590" s="87"/>
      <c r="T590" s="87"/>
    </row>
    <row r="591" spans="1:20" ht="16.5" x14ac:dyDescent="0.3">
      <c r="A591" s="98"/>
      <c r="B591" s="99"/>
      <c r="C591" s="98"/>
      <c r="D591" s="100"/>
      <c r="E591" s="98"/>
      <c r="F591" s="98"/>
      <c r="G591" s="98"/>
      <c r="H591" s="98"/>
      <c r="I591" s="100"/>
      <c r="J591" s="100"/>
      <c r="K591" s="101"/>
      <c r="L591" s="100"/>
      <c r="M591" s="87"/>
      <c r="N591" s="87"/>
      <c r="O591" s="87"/>
      <c r="P591" s="87"/>
      <c r="Q591" s="87"/>
      <c r="R591" s="87"/>
      <c r="S591" s="87"/>
      <c r="T591" s="87"/>
    </row>
    <row r="592" spans="1:20" ht="16.5" x14ac:dyDescent="0.3">
      <c r="A592" s="98"/>
      <c r="B592" s="99"/>
      <c r="C592" s="98"/>
      <c r="D592" s="100"/>
      <c r="E592" s="98"/>
      <c r="F592" s="98"/>
      <c r="G592" s="98"/>
      <c r="H592" s="98"/>
      <c r="I592" s="100"/>
      <c r="J592" s="100"/>
      <c r="K592" s="101"/>
      <c r="L592" s="100"/>
      <c r="M592" s="87"/>
      <c r="N592" s="87"/>
      <c r="O592" s="87"/>
      <c r="P592" s="87"/>
      <c r="Q592" s="87"/>
      <c r="R592" s="87"/>
      <c r="S592" s="87"/>
      <c r="T592" s="87"/>
    </row>
    <row r="593" spans="1:20" ht="16.5" x14ac:dyDescent="0.3">
      <c r="A593" s="98"/>
      <c r="B593" s="99"/>
      <c r="C593" s="98"/>
      <c r="D593" s="100"/>
      <c r="E593" s="98"/>
      <c r="F593" s="98"/>
      <c r="G593" s="98"/>
      <c r="H593" s="98"/>
      <c r="I593" s="100"/>
      <c r="J593" s="100"/>
      <c r="K593" s="101"/>
      <c r="L593" s="100"/>
      <c r="M593" s="87"/>
      <c r="N593" s="87"/>
      <c r="O593" s="87"/>
      <c r="P593" s="87"/>
      <c r="Q593" s="87"/>
      <c r="R593" s="87"/>
      <c r="S593" s="87"/>
      <c r="T593" s="87"/>
    </row>
    <row r="594" spans="1:20" ht="16.5" x14ac:dyDescent="0.3">
      <c r="A594" s="87"/>
      <c r="B594" s="97"/>
      <c r="C594" s="87"/>
      <c r="D594" s="87"/>
      <c r="E594" s="87"/>
      <c r="F594" s="87"/>
      <c r="G594" s="87"/>
      <c r="H594" s="87"/>
      <c r="I594" s="87"/>
      <c r="J594" s="87"/>
      <c r="K594" s="87"/>
      <c r="L594" s="87"/>
      <c r="M594" s="87"/>
      <c r="N594" s="87"/>
      <c r="O594" s="87"/>
      <c r="P594" s="87"/>
      <c r="Q594" s="87"/>
      <c r="R594" s="87"/>
      <c r="S594" s="87"/>
      <c r="T594" s="87"/>
    </row>
    <row r="595" spans="1:20" ht="16.5" x14ac:dyDescent="0.3">
      <c r="A595" s="87"/>
      <c r="B595" s="97"/>
      <c r="C595" s="87"/>
      <c r="D595" s="87"/>
      <c r="E595" s="87"/>
      <c r="F595" s="87"/>
      <c r="G595" s="87"/>
      <c r="H595" s="87"/>
      <c r="I595" s="87"/>
      <c r="J595" s="87"/>
      <c r="K595" s="87"/>
      <c r="L595" s="87"/>
      <c r="M595" s="87"/>
      <c r="N595" s="87"/>
      <c r="O595" s="87"/>
      <c r="P595" s="87"/>
      <c r="Q595" s="87"/>
      <c r="R595" s="87"/>
      <c r="S595" s="87"/>
      <c r="T595" s="87"/>
    </row>
    <row r="596" spans="1:20" ht="16.5" x14ac:dyDescent="0.3">
      <c r="A596" s="87"/>
      <c r="B596" s="97"/>
      <c r="C596" s="87"/>
      <c r="D596" s="87"/>
      <c r="E596" s="87"/>
      <c r="F596" s="87"/>
      <c r="G596" s="87"/>
      <c r="H596" s="87"/>
      <c r="I596" s="87"/>
      <c r="J596" s="87"/>
      <c r="K596" s="87"/>
      <c r="L596" s="87"/>
      <c r="M596" s="87"/>
      <c r="N596" s="87"/>
      <c r="O596" s="87"/>
      <c r="P596" s="87"/>
      <c r="Q596" s="87"/>
      <c r="R596" s="87"/>
      <c r="S596" s="87"/>
      <c r="T596" s="87"/>
    </row>
    <row r="597" spans="1:20" ht="16.5" x14ac:dyDescent="0.3">
      <c r="A597" s="87"/>
      <c r="B597" s="97"/>
      <c r="C597" s="87"/>
      <c r="D597" s="87"/>
      <c r="E597" s="87"/>
      <c r="F597" s="87"/>
      <c r="G597" s="87"/>
      <c r="H597" s="87"/>
      <c r="I597" s="87"/>
      <c r="J597" s="87"/>
      <c r="K597" s="87"/>
      <c r="L597" s="87"/>
      <c r="M597" s="87"/>
      <c r="N597" s="87"/>
      <c r="O597" s="87"/>
      <c r="P597" s="87"/>
      <c r="Q597" s="87"/>
      <c r="R597" s="87"/>
      <c r="S597" s="87"/>
      <c r="T597" s="87"/>
    </row>
    <row r="598" spans="1:20" ht="16.5" x14ac:dyDescent="0.3">
      <c r="A598" s="87"/>
      <c r="B598" s="97"/>
      <c r="C598" s="87"/>
      <c r="D598" s="87"/>
      <c r="E598" s="87"/>
      <c r="F598" s="87"/>
      <c r="G598" s="87"/>
      <c r="H598" s="87"/>
      <c r="I598" s="87"/>
      <c r="J598" s="87"/>
      <c r="K598" s="87"/>
      <c r="L598" s="87"/>
      <c r="M598" s="87"/>
      <c r="N598" s="87"/>
      <c r="O598" s="87"/>
      <c r="P598" s="87"/>
      <c r="Q598" s="87"/>
      <c r="R598" s="87"/>
      <c r="S598" s="87"/>
      <c r="T598" s="87"/>
    </row>
    <row r="599" spans="1:20" ht="16.5" x14ac:dyDescent="0.3">
      <c r="A599" s="87"/>
      <c r="B599" s="97"/>
      <c r="C599" s="87"/>
      <c r="D599" s="87"/>
      <c r="E599" s="87"/>
      <c r="F599" s="87"/>
      <c r="G599" s="87"/>
      <c r="H599" s="87"/>
      <c r="I599" s="87"/>
      <c r="J599" s="87"/>
      <c r="K599" s="87"/>
      <c r="L599" s="87"/>
      <c r="M599" s="87"/>
      <c r="N599" s="87"/>
      <c r="O599" s="87"/>
      <c r="P599" s="87"/>
      <c r="Q599" s="87"/>
      <c r="R599" s="87"/>
      <c r="S599" s="87"/>
      <c r="T599" s="87"/>
    </row>
    <row r="600" spans="1:20" ht="16.5" x14ac:dyDescent="0.3">
      <c r="A600" s="87"/>
      <c r="B600" s="97"/>
      <c r="C600" s="87"/>
      <c r="D600" s="87"/>
      <c r="E600" s="87"/>
      <c r="F600" s="87"/>
      <c r="G600" s="87"/>
      <c r="H600" s="87"/>
      <c r="I600" s="87"/>
      <c r="J600" s="87"/>
      <c r="K600" s="87"/>
      <c r="L600" s="87"/>
      <c r="M600" s="87"/>
      <c r="N600" s="87"/>
      <c r="O600" s="87"/>
      <c r="P600" s="87"/>
      <c r="Q600" s="87"/>
      <c r="R600" s="87"/>
      <c r="S600" s="87"/>
      <c r="T600" s="87"/>
    </row>
  </sheetData>
  <mergeCells count="30">
    <mergeCell ref="I5:J5"/>
    <mergeCell ref="I6:J6"/>
    <mergeCell ref="I7:J7"/>
    <mergeCell ref="A1:L1"/>
    <mergeCell ref="A2:L2"/>
    <mergeCell ref="B4:I4"/>
    <mergeCell ref="C5:D5"/>
    <mergeCell ref="C6:D6"/>
    <mergeCell ref="C7:D7"/>
    <mergeCell ref="C8:D8"/>
    <mergeCell ref="F5:G5"/>
    <mergeCell ref="F6:G6"/>
    <mergeCell ref="F7:G7"/>
    <mergeCell ref="F8:G8"/>
    <mergeCell ref="N4:R4"/>
    <mergeCell ref="N5:R5"/>
    <mergeCell ref="N6:R6"/>
    <mergeCell ref="N7:R8"/>
    <mergeCell ref="A11:B11"/>
    <mergeCell ref="C11:D11"/>
    <mergeCell ref="E11:F11"/>
    <mergeCell ref="G11:H11"/>
    <mergeCell ref="I11:J11"/>
    <mergeCell ref="K11:L11"/>
    <mergeCell ref="A10:B10"/>
    <mergeCell ref="C10:D10"/>
    <mergeCell ref="E10:F10"/>
    <mergeCell ref="G10:H10"/>
    <mergeCell ref="I10:J10"/>
    <mergeCell ref="K10:L10"/>
  </mergeCells>
  <conditionalFormatting sqref="A16:L600">
    <cfRule type="expression" dxfId="14" priority="1">
      <formula>AND($A16&lt;&gt;"",ISEVEN(ROW()))</formula>
    </cfRule>
  </conditionalFormatting>
  <dataValidations count="8">
    <dataValidation type="list" allowBlank="1" showInputMessage="1" showErrorMessage="1" sqref="C5" xr:uid="{D701F7E7-0D27-4451-800E-6B85A0A17C79}">
      <formula1>listDept</formula1>
    </dataValidation>
    <dataValidation type="list" allowBlank="1" showInputMessage="1" showErrorMessage="1" sqref="C6" xr:uid="{D8411043-088D-4BBD-94C7-CB25AF63F7BE}">
      <formula1>listArea</formula1>
    </dataValidation>
    <dataValidation type="list" allowBlank="1" showInputMessage="1" showErrorMessage="1" sqref="C7" xr:uid="{E50FC085-7F7E-442D-BC43-92CB564363C8}">
      <formula1>listSup</formula1>
    </dataValidation>
    <dataValidation type="list" allowBlank="1" showInputMessage="1" showErrorMessage="1" sqref="C8" xr:uid="{18510B4A-F66A-497A-9CD4-E76594B3475B}">
      <formula1>listType</formula1>
    </dataValidation>
    <dataValidation type="list" allowBlank="1" showInputMessage="1" showErrorMessage="1" sqref="F5" xr:uid="{72834B31-F1EB-401D-9A39-EBC68111E824}">
      <formula1>listESI</formula1>
    </dataValidation>
    <dataValidation type="list" allowBlank="1" showInputMessage="1" showErrorMessage="1" sqref="F6" xr:uid="{77DE5986-0A23-4646-865B-A365BDE6743B}">
      <formula1>listRec</formula1>
    </dataValidation>
    <dataValidation type="list" allowBlank="1" showInputMessage="1" showErrorMessage="1" sqref="F7" xr:uid="{D913212E-5ED6-401E-A6FA-AFB6CE5022B3}">
      <formula1>listYear</formula1>
    </dataValidation>
    <dataValidation type="list" allowBlank="1" showInputMessage="1" showErrorMessage="1" sqref="I7" xr:uid="{5F076509-312F-4369-8D60-005FCF36C487}">
      <formula1>"AND,OR"</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B8ADF-05CA-4D67-804A-F5E981ED3555}">
  <dimension ref="A1:AI581"/>
  <sheetViews>
    <sheetView workbookViewId="0"/>
  </sheetViews>
  <sheetFormatPr defaultRowHeight="14.25" x14ac:dyDescent="0.2"/>
  <cols>
    <col min="1" max="1" width="25" customWidth="1"/>
    <col min="3" max="4" width="20" customWidth="1"/>
    <col min="5" max="5" width="16.625" customWidth="1"/>
    <col min="6" max="6" width="30.875" customWidth="1"/>
    <col min="7" max="7" width="23.375" customWidth="1"/>
    <col min="8" max="8" width="104.125" customWidth="1"/>
    <col min="9" max="9" width="15" customWidth="1"/>
    <col min="10" max="10" width="11.625" customWidth="1"/>
    <col min="12" max="12" width="13.375" customWidth="1"/>
    <col min="14" max="15" width="20" customWidth="1"/>
    <col min="16" max="16" width="23.375" customWidth="1"/>
    <col min="17" max="18" width="15" customWidth="1"/>
    <col min="20" max="20" width="20" customWidth="1"/>
    <col min="21" max="21" width="18.375" customWidth="1"/>
    <col min="24" max="24" width="11.625" customWidth="1"/>
    <col min="30" max="30" width="20" customWidth="1"/>
    <col min="31" max="31" width="15" customWidth="1"/>
  </cols>
  <sheetData>
    <row r="1" spans="1:35" ht="15" x14ac:dyDescent="0.25">
      <c r="A1" t="s">
        <v>1071</v>
      </c>
      <c r="B1" t="s">
        <v>1</v>
      </c>
      <c r="C1" t="s">
        <v>2</v>
      </c>
      <c r="D1" t="s">
        <v>1036</v>
      </c>
      <c r="E1" t="s">
        <v>3</v>
      </c>
      <c r="F1" t="s">
        <v>1144</v>
      </c>
      <c r="G1" t="s">
        <v>1261</v>
      </c>
      <c r="H1" t="s">
        <v>1262</v>
      </c>
      <c r="I1" t="s">
        <v>1263</v>
      </c>
      <c r="J1" t="s">
        <v>1054</v>
      </c>
      <c r="K1" t="s">
        <v>748</v>
      </c>
      <c r="L1" t="s">
        <v>727</v>
      </c>
      <c r="N1" t="s">
        <v>1264</v>
      </c>
      <c r="O1" t="s">
        <v>1265</v>
      </c>
      <c r="P1" t="s">
        <v>1266</v>
      </c>
      <c r="Q1" t="s">
        <v>1267</v>
      </c>
      <c r="R1" t="s">
        <v>1268</v>
      </c>
      <c r="S1" t="s">
        <v>1269</v>
      </c>
      <c r="T1" t="s">
        <v>1270</v>
      </c>
      <c r="U1" t="s">
        <v>1271</v>
      </c>
      <c r="V1">
        <f>MIN(colDOI)</f>
        <v>45660</v>
      </c>
      <c r="X1" t="s">
        <v>1277</v>
      </c>
      <c r="AD1" t="s">
        <v>1036</v>
      </c>
      <c r="AE1" t="s">
        <v>1291</v>
      </c>
      <c r="AG1" s="197" t="s">
        <v>1316</v>
      </c>
      <c r="AH1" s="203">
        <f ca="1">Data!B2</f>
        <v>46230</v>
      </c>
    </row>
    <row r="2" spans="1:35" x14ac:dyDescent="0.2">
      <c r="A2" t="str" cm="1">
        <f t="array" ref="A2:A581">Master_List_Of_Injuries[[Employee Name ]]</f>
        <v>Joseph Gomez</v>
      </c>
      <c r="B2" s="1" cm="1">
        <f t="array" ref="B2:B581">Master_List_Of_Injuries[DOI]</f>
        <v>46227</v>
      </c>
      <c r="C2" t="str" cm="1">
        <f t="array" ref="C2:C581">Master_List_Of_Injuries[Supervisor]</f>
        <v>Richard Xiong</v>
      </c>
      <c r="D2" t="str" cm="1">
        <f t="array" ref="D2:D581">Master_List_Of_Injuries[[Department ]]</f>
        <v>Harvest</v>
      </c>
      <c r="E2" t="str" cm="1">
        <f t="array" ref="E2:E581">Master_List_Of_Injuries[Area]</f>
        <v>101</v>
      </c>
      <c r="F2" t="str" cm="1">
        <f t="array" ref="F2:F581">Master_List_Of_Injuries[JTP:]</f>
        <v>Shackler</v>
      </c>
      <c r="G2" t="str" cm="1">
        <f t="array" ref="G2:G581">Master_List_Of_Injuries[Injury/Illness Type]</f>
        <v xml:space="preserve">Foreign Object </v>
      </c>
      <c r="H2" t="str" cm="1">
        <f t="array" ref="H2:H581">Master_List_Of_Injuries[Body Location]</f>
        <v>LT - Eye</v>
      </c>
      <c r="I2" t="str" cm="1">
        <f t="array" ref="I2:I581">Master_List_Of_Injuries[ESI Status]</f>
        <v>FA</v>
      </c>
      <c r="J2" t="str" cm="1">
        <f t="array" ref="J2:J581">Master_List_Of_Injuries[Recordable_Flag]</f>
        <v>No</v>
      </c>
      <c r="K2" s="12" cm="1">
        <f t="array" ref="K2:K581">Master_List_Of_Injuries[Year]</f>
        <v>2026</v>
      </c>
      <c r="L2" t="str" cm="1">
        <f t="array" ref="L2:L581">Master_List_Of_Injuries[Month]</f>
        <v>July</v>
      </c>
      <c r="N2" t="str" cm="1">
        <f t="array" ref="N2:N15">_xlfn.VSTACK("(All)",_xlfn._xlws.SORT(_xlfn.UNIQUE(_xlfn._xlws.FILTER(colDept,colDept&lt;&gt;""))))</f>
        <v>(All)</v>
      </c>
      <c r="O2" t="str" cm="1">
        <f t="array" ref="O2:O43">_xlfn.VSTACK("(All)",_xlfn._xlws.SORT(_xlfn.UNIQUE(_xlfn._xlws.FILTER(colSup,colSup&lt;&gt;""))))</f>
        <v>(All)</v>
      </c>
      <c r="P2" t="str" cm="1">
        <f t="array" ref="P2:P64">_xlfn.VSTACK("(All)",_xlfn._xlws.SORT(_xlfn.UNIQUE(_xlfn._xlws.FILTER(colType,colType&lt;&gt;""))))</f>
        <v>(All)</v>
      </c>
      <c r="Q2" t="str" cm="1">
        <f t="array" ref="Q2:Q5">_xlfn.VSTACK("(All)",_xlfn._xlws.SORT(_xlfn.UNIQUE(_xlfn._xlws.FILTER(colESI,colESI&lt;&gt;""))))</f>
        <v>(All)</v>
      </c>
      <c r="R2" t="str" cm="1">
        <f t="array" ref="R2:R4">_xlfn.VSTACK("(All)",_xlfn._xlws.SORT(_xlfn.UNIQUE(_xlfn._xlws.FILTER(colRec,colRec&lt;&gt;""))))</f>
        <v>(All)</v>
      </c>
      <c r="S2" t="str" cm="1">
        <f t="array" ref="S2:S4">_xlfn.VSTACK("(All)",_xlfn._xlws.SORT(_xlfn.UNIQUE(_xlfn._xlws.FILTER(colYear,colYear&lt;&gt;""))))</f>
        <v>(All)</v>
      </c>
      <c r="T2" t="str" cm="1">
        <f t="array" ref="T2:T41">_xlfn.VSTACK("(All)",_xlfn._xlws.SORT(_xlfn.UNIQUE(_xlfn._xlws.FILTER(colArea,(colArea&lt;&gt;"")*IF(selDept="(All)",1,colDept=selDept),"(none)"))))</f>
        <v>(All)</v>
      </c>
      <c r="U2" t="s">
        <v>1272</v>
      </c>
      <c r="V2">
        <f>MAX(colDOI)</f>
        <v>46227</v>
      </c>
      <c r="X2" cm="1">
        <f t="array" ref="X2:X581">_xlfn.LET(
 _xlpm.acDept,--(selDept&lt;&gt;"(All)"), _xlpm.acArea,--(selArea&lt;&gt;"(All)"), _xlpm.acSup,--(selSup&lt;&gt;"(All)"), _xlpm.acType,--(selType&lt;&gt;"(All)"), _xlpm.acESI,--(selESI&lt;&gt;"(All)"), _xlpm.acRec,--(selRec&lt;&gt;"(All)"), _xlpm.acYear,--(selYear&lt;&gt;"(All)"),
 _xlpm.mDept,--(colDept=selDept), _xlpm.mArea,--(colArea=selArea), _xlpm.mSup,--(colSup=selSup), _xlpm.mType,--(colType=selType), _xlpm.mESI,--(colESI=selESI), _xlpm.mRec,--(colRec=selRec), _xlpm.mYear,--(colYear=selYear),
 _xlpm.pAnd,((1-_xlpm.acDept)+_xlpm.acDept*_xlpm.mDept)*((1-_xlpm.acArea)+_xlpm.acArea*_xlpm.mArea)*((1-_xlpm.acSup)+_xlpm.acSup*_xlpm.mSup)*((1-_xlpm.acType)+_xlpm.acType*_xlpm.mType)*((1-_xlpm.acESI)+_xlpm.acESI*_xlpm.mESI)*((1-_xlpm.acRec)+_xlpm.acRec*_xlpm.mRec)*((1-_xlpm.acYear)+_xlpm.acYear*_xlpm.mYear),
 _xlpm.activeN,_xlpm.acDept+_xlpm.acArea+_xlpm.acSup+_xlpm.acType+_xlpm.acESI+_xlpm.acRec+_xlpm.acYear,
 _xlpm.orHits,_xlpm.acDept*_xlpm.mDept+_xlpm.acArea*_xlpm.mArea+_xlpm.acSup*_xlpm.mSup+_xlpm.acType*_xlpm.mType+_xlpm.acESI*_xlpm.mESI+_xlpm.acRec*_xlpm.mRec+_xlpm.acYear*_xlpm.mYear,
 _xlpm.pOr,IF(_xlpm.activeN=0,1,--(_xlpm.orHits&gt;=1)),
 _xlpm.pCat,IF(selMode="OR",_xlpm.pOr,_xlpm.pAnd),
 _xlpm.pSearch,IF(selSearch="",1,--(ISNUMBER(SEARCH(selSearch,colName))+ISNUMBER(SEARCH(selSearch,colJTP))&gt;0)),
 _xlpm.pDate,(colDOI&gt;=selFrom)*(colDOI&lt;=selTo),
 _xlpm.pCat*_xlpm.pSearch*_xlpm.pDate)</f>
        <v>1</v>
      </c>
      <c r="AD2" t="str" cm="1">
        <f t="array" ref="AD2:AD14">_xlfn._xlws.SORT(_xlfn.UNIQUE(_xlfn._xlws.FILTER(colDept,colDept&lt;&gt;"")))</f>
        <v>Buildings &amp; Grounds</v>
      </c>
      <c r="AE2" cm="1">
        <f t="array" ref="AE2:AE14">_xlfn.MAP(_xlfn.ANCHORARRAY(AD2),_xlfn.LAMBDA(_xlpm.d,SUMPRODUCT(fMask,--(colDept=_xlpm.d))))</f>
        <v>4</v>
      </c>
    </row>
    <row r="3" spans="1:35" ht="15" x14ac:dyDescent="0.25">
      <c r="A3" t="str">
        <v>Ceasar Saldana</v>
      </c>
      <c r="B3">
        <v>46226</v>
      </c>
      <c r="C3" t="str">
        <v>Jonathan Hernandez</v>
      </c>
      <c r="D3" t="str">
        <v>Maintenance</v>
      </c>
      <c r="E3" t="str">
        <v>Maintenance</v>
      </c>
      <c r="F3" t="str">
        <v>Electrician</v>
      </c>
      <c r="G3" t="str">
        <v>Electric Shock</v>
      </c>
      <c r="H3" t="str">
        <v>LT - Hand &amp; Forearm</v>
      </c>
      <c r="I3" t="str">
        <v>RPO</v>
      </c>
      <c r="J3" t="str">
        <v>No</v>
      </c>
      <c r="K3">
        <v>2026</v>
      </c>
      <c r="L3" t="str">
        <v>July</v>
      </c>
      <c r="N3" t="str">
        <v>Buildings &amp; Grounds</v>
      </c>
      <c r="O3" t="str">
        <v>Alex Vargas</v>
      </c>
      <c r="P3">
        <v>0</v>
      </c>
      <c r="Q3" t="str">
        <v>FA</v>
      </c>
      <c r="R3" t="str">
        <v>No</v>
      </c>
      <c r="S3">
        <v>2025</v>
      </c>
      <c r="T3" t="str">
        <v>100</v>
      </c>
      <c r="U3" t="s">
        <v>1273</v>
      </c>
      <c r="V3">
        <v>0</v>
      </c>
      <c r="X3">
        <v>1</v>
      </c>
      <c r="AD3" t="str">
        <v>Corrals</v>
      </c>
      <c r="AE3">
        <v>8</v>
      </c>
      <c r="AG3" s="197" t="s">
        <v>1317</v>
      </c>
      <c r="AH3" s="197" t="s">
        <v>1318</v>
      </c>
      <c r="AI3" s="197" t="s">
        <v>1319</v>
      </c>
    </row>
    <row r="4" spans="1:35" x14ac:dyDescent="0.2">
      <c r="A4" t="str">
        <v>Irma Ortega</v>
      </c>
      <c r="B4">
        <v>46225</v>
      </c>
      <c r="C4" t="str">
        <v>Diego Soria</v>
      </c>
      <c r="D4" t="str">
        <v>Fabrication</v>
      </c>
      <c r="E4" t="str">
        <v>405</v>
      </c>
      <c r="F4" t="str">
        <v xml:space="preserve">Whizzard Knife Op. </v>
      </c>
      <c r="G4" t="str">
        <v>Strain</v>
      </c>
      <c r="H4" t="str">
        <v>RT - Wrist</v>
      </c>
      <c r="I4" t="str">
        <v>FA</v>
      </c>
      <c r="J4" t="str">
        <v>No</v>
      </c>
      <c r="K4">
        <v>2026</v>
      </c>
      <c r="L4" t="str">
        <v>July</v>
      </c>
      <c r="N4" t="str">
        <v>Corrals</v>
      </c>
      <c r="O4" t="str">
        <v>Carlos Mata</v>
      </c>
      <c r="P4" t="str">
        <v>Above Shoulder Work</v>
      </c>
      <c r="Q4" t="str">
        <v>RECORDABLE</v>
      </c>
      <c r="R4" t="str">
        <v>Yes</v>
      </c>
      <c r="S4">
        <v>2026</v>
      </c>
      <c r="T4" t="str">
        <v>101</v>
      </c>
      <c r="U4" t="s">
        <v>1274</v>
      </c>
      <c r="V4">
        <v>565</v>
      </c>
      <c r="X4">
        <v>1</v>
      </c>
      <c r="AD4" t="str">
        <v>Fabrication</v>
      </c>
      <c r="AE4">
        <v>132</v>
      </c>
      <c r="AG4" t="s">
        <v>1320</v>
      </c>
      <c r="AH4">
        <f>minDOI</f>
        <v>45660</v>
      </c>
      <c r="AI4">
        <f>maxDOI</f>
        <v>46227</v>
      </c>
    </row>
    <row r="5" spans="1:35" x14ac:dyDescent="0.2">
      <c r="A5" t="str">
        <v>Noe Frage Ruiz</v>
      </c>
      <c r="B5">
        <v>46225</v>
      </c>
      <c r="C5" t="str">
        <v>Juan Ramirez</v>
      </c>
      <c r="D5" t="str">
        <v>Fabrication</v>
      </c>
      <c r="E5" t="str">
        <v>410</v>
      </c>
      <c r="F5" t="str">
        <v xml:space="preserve">Chuck Boner </v>
      </c>
      <c r="G5" t="str">
        <v>Struck By-Against Object</v>
      </c>
      <c r="H5" t="str">
        <v>LT - Thumb</v>
      </c>
      <c r="I5" t="str">
        <v>RPO</v>
      </c>
      <c r="J5" t="str">
        <v>No</v>
      </c>
      <c r="K5">
        <v>2026</v>
      </c>
      <c r="L5" t="str">
        <v>July</v>
      </c>
      <c r="N5" t="str">
        <v>Fabrication</v>
      </c>
      <c r="O5" t="str">
        <v>Chadu Moua</v>
      </c>
      <c r="P5" t="str">
        <v>Abrasion</v>
      </c>
      <c r="Q5" t="str">
        <v>RPO</v>
      </c>
      <c r="T5" t="str">
        <v>102</v>
      </c>
      <c r="X5">
        <v>1</v>
      </c>
      <c r="AD5" t="str">
        <v>FSQA</v>
      </c>
      <c r="AE5">
        <v>2</v>
      </c>
      <c r="AG5" t="s">
        <v>1072</v>
      </c>
      <c r="AH5">
        <f ca="1">DATE(YEAR($AH$1),1,1)</f>
        <v>46023</v>
      </c>
      <c r="AI5">
        <f ca="1">$AH$1</f>
        <v>46230</v>
      </c>
    </row>
    <row r="6" spans="1:35" x14ac:dyDescent="0.2">
      <c r="A6" t="str">
        <v>Ramon Garcia</v>
      </c>
      <c r="B6">
        <v>46225</v>
      </c>
      <c r="C6" t="str">
        <v>Richard Xiong</v>
      </c>
      <c r="D6" t="str">
        <v>Harvest</v>
      </c>
      <c r="E6" t="str">
        <v>101</v>
      </c>
      <c r="F6" t="str">
        <v>2nd Hock Hang Off</v>
      </c>
      <c r="G6" t="str">
        <v>Slip, Trip, &amp; Fall</v>
      </c>
      <c r="H6" t="str">
        <v>NA</v>
      </c>
      <c r="I6" t="str">
        <v>RPO</v>
      </c>
      <c r="J6" t="str">
        <v>No</v>
      </c>
      <c r="K6">
        <v>2026</v>
      </c>
      <c r="L6" t="str">
        <v>July</v>
      </c>
      <c r="N6" t="str">
        <v>FSQA</v>
      </c>
      <c r="O6" t="str">
        <v>Christian Lopez</v>
      </c>
      <c r="P6" t="str">
        <v xml:space="preserve">Abrasion </v>
      </c>
      <c r="T6" t="str">
        <v>103</v>
      </c>
      <c r="X6">
        <v>1</v>
      </c>
      <c r="AD6" t="str">
        <v>Harvest</v>
      </c>
      <c r="AE6">
        <v>106</v>
      </c>
      <c r="AG6" t="s">
        <v>1321</v>
      </c>
      <c r="AH6" s="203">
        <f ca="1">$AH$1-6</f>
        <v>46224</v>
      </c>
      <c r="AI6">
        <f ca="1">$AH$1</f>
        <v>46230</v>
      </c>
    </row>
    <row r="7" spans="1:35" x14ac:dyDescent="0.2">
      <c r="A7" t="str">
        <v xml:space="preserve">Jesus Bernal </v>
      </c>
      <c r="B7">
        <v>46224</v>
      </c>
      <c r="C7" t="str">
        <v>Marilyn Herrera</v>
      </c>
      <c r="D7" t="str">
        <v>Corrals</v>
      </c>
      <c r="E7" t="str">
        <v>100</v>
      </c>
      <c r="F7" t="str">
        <v>Herdsman</v>
      </c>
      <c r="G7" t="str">
        <v>Struck By Cattle</v>
      </c>
      <c r="H7" t="str">
        <v>RT - Shin/ Calf</v>
      </c>
      <c r="I7" t="str">
        <v>FA</v>
      </c>
      <c r="J7" t="str">
        <v>No</v>
      </c>
      <c r="K7">
        <v>2026</v>
      </c>
      <c r="L7" t="str">
        <v>July</v>
      </c>
      <c r="N7" t="str">
        <v>Harvest</v>
      </c>
      <c r="O7" t="str">
        <v>Christopher Moreno</v>
      </c>
      <c r="P7" t="str">
        <v>Awkward Posture</v>
      </c>
      <c r="T7" t="str">
        <v>104</v>
      </c>
      <c r="X7">
        <v>1</v>
      </c>
      <c r="AD7" t="str">
        <v>Loading Dock</v>
      </c>
      <c r="AE7">
        <v>3</v>
      </c>
      <c r="AG7" t="s">
        <v>1322</v>
      </c>
      <c r="AH7" s="203">
        <f ca="1">$AH$1-29</f>
        <v>46201</v>
      </c>
      <c r="AI7">
        <f ca="1">$AH$1</f>
        <v>46230</v>
      </c>
    </row>
    <row r="8" spans="1:35" x14ac:dyDescent="0.2">
      <c r="A8" t="str">
        <v>Rudy Ramos</v>
      </c>
      <c r="B8">
        <v>46224</v>
      </c>
      <c r="C8" t="str">
        <v>Richard Xiong</v>
      </c>
      <c r="D8" t="str">
        <v>Harvest</v>
      </c>
      <c r="E8" t="str">
        <v>101</v>
      </c>
      <c r="F8" t="str">
        <v>Calf Skinner</v>
      </c>
      <c r="G8" t="str">
        <v>Abrasion</v>
      </c>
      <c r="H8" t="str">
        <v>RT - Ring Finger</v>
      </c>
      <c r="I8" t="str">
        <v>FA</v>
      </c>
      <c r="J8" t="str">
        <v>No</v>
      </c>
      <c r="K8">
        <v>2026</v>
      </c>
      <c r="L8" t="str">
        <v>July</v>
      </c>
      <c r="N8" t="str">
        <v>Loading Dock</v>
      </c>
      <c r="O8" t="str">
        <v>Clara Salazar</v>
      </c>
      <c r="P8" t="str">
        <v>Bending</v>
      </c>
      <c r="T8" t="str">
        <v>105</v>
      </c>
      <c r="X8">
        <v>1</v>
      </c>
      <c r="AD8" t="str">
        <v>Maintenance</v>
      </c>
      <c r="AE8">
        <v>10</v>
      </c>
      <c r="AG8" t="s">
        <v>1323</v>
      </c>
      <c r="AH8" s="203">
        <f ca="1">$AH$1-89</f>
        <v>46141</v>
      </c>
      <c r="AI8">
        <f ca="1">$AH$1</f>
        <v>46230</v>
      </c>
    </row>
    <row r="9" spans="1:35" x14ac:dyDescent="0.2">
      <c r="A9" t="str">
        <v>Rosalba Oseguera Mendez</v>
      </c>
      <c r="B9">
        <v>46223</v>
      </c>
      <c r="C9" t="str">
        <v>Alex Vargas</v>
      </c>
      <c r="D9" t="str">
        <v>Harvest</v>
      </c>
      <c r="E9" t="str">
        <v>102</v>
      </c>
      <c r="F9" t="str">
        <v>2nd Hock Cutter</v>
      </c>
      <c r="G9" t="str">
        <v>Strain</v>
      </c>
      <c r="H9" t="str">
        <v>RT - Index Finger &amp; Elbow</v>
      </c>
      <c r="I9" t="str">
        <v>FA</v>
      </c>
      <c r="J9" t="str">
        <v>No</v>
      </c>
      <c r="K9">
        <v>2026</v>
      </c>
      <c r="L9" t="str">
        <v>July</v>
      </c>
      <c r="N9" t="str">
        <v>Maintenance</v>
      </c>
      <c r="O9" t="str">
        <v>David Zavala</v>
      </c>
      <c r="P9" t="str">
        <v>Box Maker</v>
      </c>
      <c r="T9" t="str">
        <v>106</v>
      </c>
      <c r="X9">
        <v>1</v>
      </c>
      <c r="AD9" t="str">
        <v>Maintnances</v>
      </c>
      <c r="AE9">
        <v>0</v>
      </c>
    </row>
    <row r="10" spans="1:35" x14ac:dyDescent="0.2">
      <c r="A10" t="str">
        <v>Christopher Diaz</v>
      </c>
      <c r="B10">
        <v>46220</v>
      </c>
      <c r="C10" t="str">
        <v>Francisco Tapia</v>
      </c>
      <c r="D10" t="str">
        <v>Loading Dock</v>
      </c>
      <c r="E10" t="str">
        <v>Loading Dock</v>
      </c>
      <c r="F10" t="str">
        <v>Stacker</v>
      </c>
      <c r="G10" t="str">
        <v>Strain</v>
      </c>
      <c r="H10" t="str">
        <v>RT - Elbow</v>
      </c>
      <c r="I10" t="str">
        <v>FA</v>
      </c>
      <c r="J10" t="str">
        <v>No</v>
      </c>
      <c r="K10">
        <v>2026</v>
      </c>
      <c r="L10" t="str">
        <v>July</v>
      </c>
      <c r="N10" t="str">
        <v>Maintnances</v>
      </c>
      <c r="O10" t="str">
        <v>Diego Soria</v>
      </c>
      <c r="P10" t="str">
        <v>Burn</v>
      </c>
      <c r="T10" t="str">
        <v>107</v>
      </c>
      <c r="X10">
        <v>1</v>
      </c>
      <c r="AD10" t="str">
        <v>Outside Clean Up</v>
      </c>
      <c r="AE10">
        <v>3</v>
      </c>
    </row>
    <row r="11" spans="1:35" x14ac:dyDescent="0.2">
      <c r="A11" t="str">
        <v>Eduardo Contreras</v>
      </c>
      <c r="B11">
        <v>46218</v>
      </c>
      <c r="C11" t="str">
        <v>Alex Vargas</v>
      </c>
      <c r="D11" t="str">
        <v>Harvest</v>
      </c>
      <c r="E11" t="str">
        <v>102</v>
      </c>
      <c r="F11" t="str">
        <v>Wax Papper Remover</v>
      </c>
      <c r="G11" t="str">
        <v>Rash</v>
      </c>
      <c r="H11" t="str">
        <v>LT - Forearm</v>
      </c>
      <c r="I11" t="str">
        <v>FA</v>
      </c>
      <c r="J11" t="str">
        <v>No</v>
      </c>
      <c r="K11">
        <v>2026</v>
      </c>
      <c r="L11" t="str">
        <v>July</v>
      </c>
      <c r="N11" t="str">
        <v>Outside Clean Up</v>
      </c>
      <c r="O11" t="str">
        <v>Edwin Vega</v>
      </c>
      <c r="P11" t="str">
        <v xml:space="preserve">Burn </v>
      </c>
      <c r="T11" t="str">
        <v>109</v>
      </c>
      <c r="X11">
        <v>1</v>
      </c>
      <c r="AD11" t="str">
        <v>Recycling</v>
      </c>
      <c r="AE11">
        <v>0</v>
      </c>
    </row>
    <row r="12" spans="1:35" x14ac:dyDescent="0.2">
      <c r="A12" t="str">
        <v>Carlos Roman</v>
      </c>
      <c r="B12">
        <v>46217</v>
      </c>
      <c r="C12" t="str">
        <v>Christopher Moreno</v>
      </c>
      <c r="D12" t="str">
        <v>Buildings &amp; Grounds</v>
      </c>
      <c r="E12" t="str">
        <v>B&amp;G</v>
      </c>
      <c r="F12" t="str">
        <v>B&amp;G Maintenace</v>
      </c>
      <c r="G12" t="str">
        <v>Struck By-Against Object</v>
      </c>
      <c r="H12" t="str">
        <v>RT - Thumb</v>
      </c>
      <c r="I12" t="str">
        <v>FA</v>
      </c>
      <c r="J12" t="str">
        <v>No</v>
      </c>
      <c r="K12">
        <v>2026</v>
      </c>
      <c r="L12" t="str">
        <v>July</v>
      </c>
      <c r="N12" t="str">
        <v>Recycling</v>
      </c>
      <c r="O12" t="str">
        <v>Elizabeth Neufeld</v>
      </c>
      <c r="P12" t="str">
        <v>Contact Stess</v>
      </c>
      <c r="T12" t="str">
        <v>110</v>
      </c>
      <c r="X12">
        <v>1</v>
      </c>
      <c r="AD12" t="str">
        <v>Utilities</v>
      </c>
      <c r="AE12">
        <v>1</v>
      </c>
    </row>
    <row r="13" spans="1:35" x14ac:dyDescent="0.2">
      <c r="A13" t="str">
        <v>Maria Figueroa</v>
      </c>
      <c r="B13">
        <v>46217</v>
      </c>
      <c r="C13" t="str">
        <v>Samuel Sierra</v>
      </c>
      <c r="D13" t="str">
        <v>Harvest</v>
      </c>
      <c r="E13" t="str">
        <v>109</v>
      </c>
      <c r="F13" t="str">
        <v>Kidney Pack Off</v>
      </c>
      <c r="G13" t="str">
        <v>Burn</v>
      </c>
      <c r="H13" t="str">
        <v>RT - Forearm</v>
      </c>
      <c r="I13" t="str">
        <v>RPO</v>
      </c>
      <c r="J13" t="str">
        <v>No</v>
      </c>
      <c r="K13">
        <v>2026</v>
      </c>
      <c r="L13" t="str">
        <v>July</v>
      </c>
      <c r="N13" t="str">
        <v>Utilities</v>
      </c>
      <c r="O13" t="str">
        <v>Erwin Vega</v>
      </c>
      <c r="P13" t="str">
        <v>Contact Stress</v>
      </c>
      <c r="T13" t="str">
        <v>111</v>
      </c>
      <c r="X13">
        <v>1</v>
      </c>
      <c r="AD13" t="str">
        <v>Warehouse</v>
      </c>
      <c r="AE13">
        <v>6</v>
      </c>
    </row>
    <row r="14" spans="1:35" x14ac:dyDescent="0.2">
      <c r="A14" t="str">
        <v>Ezequiel Ambriz</v>
      </c>
      <c r="B14">
        <v>46217</v>
      </c>
      <c r="C14" t="str">
        <v>Juan Murillo</v>
      </c>
      <c r="D14" t="str">
        <v>Utilities</v>
      </c>
      <c r="E14" t="str">
        <v>Utilities</v>
      </c>
      <c r="F14" t="str">
        <v>Utilility - Maintenance</v>
      </c>
      <c r="G14" t="str">
        <v>Burn</v>
      </c>
      <c r="H14" t="str">
        <v>RT - Forearm</v>
      </c>
      <c r="I14" t="str">
        <v>FA</v>
      </c>
      <c r="J14" t="str">
        <v>No</v>
      </c>
      <c r="K14">
        <v>2026</v>
      </c>
      <c r="L14" t="str">
        <v>July</v>
      </c>
      <c r="N14" t="str">
        <v>Warehouse</v>
      </c>
      <c r="O14" t="str">
        <v>Francisco Tapia</v>
      </c>
      <c r="P14" t="str">
        <v xml:space="preserve">Contusion </v>
      </c>
      <c r="T14" t="str">
        <v>124</v>
      </c>
      <c r="X14">
        <v>1</v>
      </c>
      <c r="AD14" t="str">
        <v>WH</v>
      </c>
      <c r="AE14">
        <v>0</v>
      </c>
    </row>
    <row r="15" spans="1:35" x14ac:dyDescent="0.2">
      <c r="A15" t="str">
        <v>Jonny Garcia</v>
      </c>
      <c r="B15">
        <v>46217</v>
      </c>
      <c r="C15" t="str">
        <v>Marilyn Herrera</v>
      </c>
      <c r="D15" t="str">
        <v>Corrals</v>
      </c>
      <c r="E15" t="str">
        <v>100</v>
      </c>
      <c r="F15" t="str">
        <v>Herdsman</v>
      </c>
      <c r="G15" t="str">
        <v>Struck By Cattle</v>
      </c>
      <c r="H15" t="str">
        <v>RT - Calf/ Shin</v>
      </c>
      <c r="I15" t="str">
        <v>RPO</v>
      </c>
      <c r="J15" t="str">
        <v>No</v>
      </c>
      <c r="K15">
        <v>2026</v>
      </c>
      <c r="L15" t="str">
        <v>July</v>
      </c>
      <c r="N15" t="str">
        <v>WH</v>
      </c>
      <c r="O15" t="str">
        <v>Froy Rios</v>
      </c>
      <c r="P15" t="str">
        <v>Contusions</v>
      </c>
      <c r="T15" t="str">
        <v>400</v>
      </c>
      <c r="X15">
        <v>1</v>
      </c>
    </row>
    <row r="16" spans="1:35" x14ac:dyDescent="0.2">
      <c r="A16" t="str">
        <v>Richie Glass</v>
      </c>
      <c r="B16">
        <v>46216</v>
      </c>
      <c r="C16" t="str">
        <v>Rene Canas</v>
      </c>
      <c r="D16" t="str">
        <v>FSQA</v>
      </c>
      <c r="E16" t="str">
        <v>Fab FSQA</v>
      </c>
      <c r="F16" t="str">
        <v>QA Tech</v>
      </c>
      <c r="G16" t="str">
        <v>Slip, Trip, &amp; Fall</v>
      </c>
      <c r="H16" t="str">
        <v>No Injury</v>
      </c>
      <c r="I16" t="str">
        <v>RPO</v>
      </c>
      <c r="J16" t="str">
        <v>No</v>
      </c>
      <c r="K16">
        <v>2026</v>
      </c>
      <c r="L16" t="str">
        <v>July</v>
      </c>
      <c r="O16" t="str">
        <v>Jarrod Villareal</v>
      </c>
      <c r="P16" t="str">
        <v>Crush</v>
      </c>
      <c r="T16" t="str">
        <v>405</v>
      </c>
      <c r="X16">
        <v>1</v>
      </c>
    </row>
    <row r="17" spans="1:24" x14ac:dyDescent="0.2">
      <c r="A17" t="str">
        <v>Michael Montelongo</v>
      </c>
      <c r="B17">
        <v>46213</v>
      </c>
      <c r="C17" t="str">
        <v>Elizabeth Neufeld</v>
      </c>
      <c r="D17" t="str">
        <v>Fabrication</v>
      </c>
      <c r="E17" t="str">
        <v>420</v>
      </c>
      <c r="F17" t="str">
        <v>New York Boner</v>
      </c>
      <c r="G17" t="str">
        <v>Strain</v>
      </c>
      <c r="H17" t="str">
        <v>RT - Wrist</v>
      </c>
      <c r="I17" t="str">
        <v>FA</v>
      </c>
      <c r="J17" t="str">
        <v>No</v>
      </c>
      <c r="K17">
        <v>2026</v>
      </c>
      <c r="L17" t="str">
        <v>July</v>
      </c>
      <c r="O17" t="str">
        <v>Jesus Avila</v>
      </c>
      <c r="P17" t="str">
        <v>Crush Injury</v>
      </c>
      <c r="T17" t="str">
        <v>410</v>
      </c>
      <c r="X17">
        <v>1</v>
      </c>
    </row>
    <row r="18" spans="1:24" x14ac:dyDescent="0.2">
      <c r="A18" t="str">
        <v>Rudy Gallegos</v>
      </c>
      <c r="B18">
        <v>46213</v>
      </c>
      <c r="C18" t="str">
        <v>Samuel Sierra</v>
      </c>
      <c r="D18" t="str">
        <v>Harvest</v>
      </c>
      <c r="E18" t="str">
        <v>110</v>
      </c>
      <c r="F18" t="str">
        <v>Cooler Pack Off</v>
      </c>
      <c r="G18" t="str">
        <v>Struck by against object</v>
      </c>
      <c r="H18" t="str">
        <v>RT - Thumb</v>
      </c>
      <c r="I18" t="str">
        <v>FA</v>
      </c>
      <c r="J18" t="str">
        <v>No</v>
      </c>
      <c r="K18">
        <v>2026</v>
      </c>
      <c r="L18" t="str">
        <v>July</v>
      </c>
      <c r="O18" t="str">
        <v>Jonathan Hernandez</v>
      </c>
      <c r="P18" t="str">
        <v xml:space="preserve">Crush Injury </v>
      </c>
      <c r="T18" t="str">
        <v>415</v>
      </c>
      <c r="X18">
        <v>1</v>
      </c>
    </row>
    <row r="19" spans="1:24" x14ac:dyDescent="0.2">
      <c r="A19" t="str">
        <v>Osbaldo Santiago</v>
      </c>
      <c r="B19">
        <v>46213</v>
      </c>
      <c r="C19" t="str">
        <v>Alex Vargas</v>
      </c>
      <c r="D19" t="str">
        <v>Harvest</v>
      </c>
      <c r="E19" t="str">
        <v>102</v>
      </c>
      <c r="F19" t="str">
        <v xml:space="preserve">Whizzard Knife Op. </v>
      </c>
      <c r="G19" t="str">
        <v>Strain</v>
      </c>
      <c r="H19" t="str">
        <v>RT - Ring Finger</v>
      </c>
      <c r="I19" t="str">
        <v>RPO</v>
      </c>
      <c r="J19" t="str">
        <v>No</v>
      </c>
      <c r="K19">
        <v>2026</v>
      </c>
      <c r="L19" t="str">
        <v>July</v>
      </c>
      <c r="O19" t="str">
        <v>Juan Carlos Martinez</v>
      </c>
      <c r="P19" t="str">
        <v>Electric Shock</v>
      </c>
      <c r="T19" t="str">
        <v>420</v>
      </c>
      <c r="X19">
        <v>1</v>
      </c>
    </row>
    <row r="20" spans="1:24" x14ac:dyDescent="0.2">
      <c r="A20" t="str">
        <v>Claudia Estrada Cruz</v>
      </c>
      <c r="B20">
        <v>46212</v>
      </c>
      <c r="C20" t="str">
        <v>Elizabeth Neufeld</v>
      </c>
      <c r="D20" t="str">
        <v>Fabrication</v>
      </c>
      <c r="E20" t="str">
        <v>420</v>
      </c>
      <c r="F20" t="str">
        <v>Sorter</v>
      </c>
      <c r="G20" t="str">
        <v>Puncture</v>
      </c>
      <c r="H20" t="str">
        <v>LT - Palm</v>
      </c>
      <c r="I20" t="str">
        <v>FA</v>
      </c>
      <c r="J20" t="str">
        <v>No</v>
      </c>
      <c r="K20">
        <v>2026</v>
      </c>
      <c r="L20" t="str">
        <v>July</v>
      </c>
      <c r="O20" t="str">
        <v>Juan Martinez</v>
      </c>
      <c r="P20" t="str">
        <v>Falling Object</v>
      </c>
      <c r="T20" t="str">
        <v>429</v>
      </c>
      <c r="X20">
        <v>1</v>
      </c>
    </row>
    <row r="21" spans="1:24" x14ac:dyDescent="0.2">
      <c r="A21" t="str">
        <v>Jonathan Campas</v>
      </c>
      <c r="B21">
        <v>46212</v>
      </c>
      <c r="C21" t="str">
        <v>Samuel Sierra</v>
      </c>
      <c r="D21" t="str">
        <v>Harvest</v>
      </c>
      <c r="E21" t="str">
        <v>107</v>
      </c>
      <c r="F21" t="str">
        <v>Cheek Deboner</v>
      </c>
      <c r="G21" t="str">
        <v xml:space="preserve">Foreign Object </v>
      </c>
      <c r="H21" t="str">
        <v>RT - Eye</v>
      </c>
      <c r="I21" t="str">
        <v>FA</v>
      </c>
      <c r="J21" t="str">
        <v>No</v>
      </c>
      <c r="K21">
        <v>2026</v>
      </c>
      <c r="L21" t="str">
        <v>July</v>
      </c>
      <c r="O21" t="str">
        <v>Juan Murillo</v>
      </c>
      <c r="P21" t="str">
        <v>Falling Objects</v>
      </c>
      <c r="T21" t="str">
        <v>445</v>
      </c>
      <c r="X21">
        <v>1</v>
      </c>
    </row>
    <row r="22" spans="1:24" x14ac:dyDescent="0.2">
      <c r="A22" t="str">
        <v>Daisy Sotelo</v>
      </c>
      <c r="B22">
        <v>46212</v>
      </c>
      <c r="C22" t="str">
        <v>Samuel Sierra</v>
      </c>
      <c r="D22" t="str">
        <v>Harvest</v>
      </c>
      <c r="E22" t="str">
        <v>109</v>
      </c>
      <c r="F22" t="str">
        <v>Offal Floater</v>
      </c>
      <c r="G22" t="str">
        <v>Strain</v>
      </c>
      <c r="H22" t="str">
        <v>RT - Ring Finger</v>
      </c>
      <c r="I22" t="str">
        <v>FA</v>
      </c>
      <c r="J22" t="str">
        <v>No</v>
      </c>
      <c r="K22">
        <v>2026</v>
      </c>
      <c r="L22" t="str">
        <v>July</v>
      </c>
      <c r="O22" t="str">
        <v>Juan Ramirez</v>
      </c>
      <c r="P22" t="str">
        <v>Foreign boby in eye</v>
      </c>
      <c r="T22" t="str">
        <v>447</v>
      </c>
      <c r="X22">
        <v>1</v>
      </c>
    </row>
    <row r="23" spans="1:24" x14ac:dyDescent="0.2">
      <c r="A23" t="str">
        <v>Mason Ojeda</v>
      </c>
      <c r="B23">
        <v>46212</v>
      </c>
      <c r="C23" t="str">
        <v>Marilyn Herrera</v>
      </c>
      <c r="D23" t="str">
        <v>Corrals</v>
      </c>
      <c r="E23" t="str">
        <v>100</v>
      </c>
      <c r="F23" t="str">
        <v>Herdsman</v>
      </c>
      <c r="G23" t="str">
        <v xml:space="preserve">Foreign Object </v>
      </c>
      <c r="H23" t="str">
        <v>LT - Eye</v>
      </c>
      <c r="I23" t="str">
        <v>RPO</v>
      </c>
      <c r="J23" t="str">
        <v>No</v>
      </c>
      <c r="K23">
        <v>2026</v>
      </c>
      <c r="L23" t="str">
        <v>July</v>
      </c>
      <c r="O23" t="str">
        <v>Juan Rodriguez</v>
      </c>
      <c r="P23" t="str">
        <v xml:space="preserve">Foreign Object </v>
      </c>
      <c r="T23" t="str">
        <v>B&amp;G</v>
      </c>
      <c r="X23">
        <v>1</v>
      </c>
    </row>
    <row r="24" spans="1:24" x14ac:dyDescent="0.2">
      <c r="A24" t="str">
        <v>Pisperema Amaya</v>
      </c>
      <c r="B24">
        <v>46212</v>
      </c>
      <c r="C24" t="str">
        <v>Samuel Sierra</v>
      </c>
      <c r="D24" t="str">
        <v>Harvest</v>
      </c>
      <c r="E24" t="str">
        <v>109</v>
      </c>
      <c r="F24" t="str">
        <v>Pack Off</v>
      </c>
      <c r="G24" t="str">
        <v>Strain</v>
      </c>
      <c r="H24" t="str">
        <v>Lower Back</v>
      </c>
      <c r="I24" t="str">
        <v>FA</v>
      </c>
      <c r="J24" t="str">
        <v>No</v>
      </c>
      <c r="K24">
        <v>2026</v>
      </c>
      <c r="L24" t="str">
        <v>July</v>
      </c>
      <c r="O24" t="str">
        <v>Kamran Tavagar</v>
      </c>
      <c r="P24" t="str">
        <v>Heat Prostration</v>
      </c>
      <c r="T24" t="str">
        <v>BG</v>
      </c>
      <c r="X24">
        <v>1</v>
      </c>
    </row>
    <row r="25" spans="1:24" x14ac:dyDescent="0.2">
      <c r="A25" t="str">
        <v>Hector Razo</v>
      </c>
      <c r="B25">
        <v>46211</v>
      </c>
      <c r="C25" t="str">
        <v>Christopher Moreno</v>
      </c>
      <c r="D25" t="str">
        <v>Buildings &amp; Grounds</v>
      </c>
      <c r="E25" t="str">
        <v>B&amp;G</v>
      </c>
      <c r="F25" t="str">
        <v>B&amp;G Maintenace</v>
      </c>
      <c r="G25" t="str">
        <v>Insect Bite/ Sting</v>
      </c>
      <c r="H25" t="str">
        <v>Cranial (Front)</v>
      </c>
      <c r="I25" t="str">
        <v>RPO</v>
      </c>
      <c r="J25" t="str">
        <v>No</v>
      </c>
      <c r="K25">
        <v>2026</v>
      </c>
      <c r="L25" t="str">
        <v>July</v>
      </c>
      <c r="O25" t="str">
        <v>Manuel Alanis</v>
      </c>
      <c r="P25" t="str">
        <v xml:space="preserve">Impact? </v>
      </c>
      <c r="T25" t="str">
        <v>Blood Room</v>
      </c>
      <c r="X25">
        <v>1</v>
      </c>
    </row>
    <row r="26" spans="1:24" x14ac:dyDescent="0.2">
      <c r="A26" t="str">
        <v>Apolinar Basilio</v>
      </c>
      <c r="B26">
        <v>46211</v>
      </c>
      <c r="C26" t="str">
        <v>Maria Garcia</v>
      </c>
      <c r="D26" t="str">
        <v>Fabrication</v>
      </c>
      <c r="E26" t="str">
        <v>447</v>
      </c>
      <c r="F26" t="str">
        <v>Glue Boxer</v>
      </c>
      <c r="G26" t="str">
        <v>Struck by Equipment</v>
      </c>
      <c r="H26" t="str">
        <v>RT - Heel</v>
      </c>
      <c r="I26" t="str">
        <v>FA</v>
      </c>
      <c r="J26" t="str">
        <v>No</v>
      </c>
      <c r="K26">
        <v>2026</v>
      </c>
      <c r="L26" t="str">
        <v>July</v>
      </c>
      <c r="O26" t="str">
        <v>Maria Garcia</v>
      </c>
      <c r="P26" t="str">
        <v>Inhalation</v>
      </c>
      <c r="T26" t="str">
        <v>Coolers</v>
      </c>
      <c r="X26">
        <v>1</v>
      </c>
    </row>
    <row r="27" spans="1:24" x14ac:dyDescent="0.2">
      <c r="A27" t="str">
        <v>Mayra Solarte</v>
      </c>
      <c r="B27">
        <v>46211</v>
      </c>
      <c r="C27" t="str">
        <v>Alex Vargas</v>
      </c>
      <c r="D27" t="str">
        <v>Harvest</v>
      </c>
      <c r="E27" t="str">
        <v>102</v>
      </c>
      <c r="F27" t="str">
        <v>Whizzard Knife Operator</v>
      </c>
      <c r="G27" t="str">
        <v>Strain</v>
      </c>
      <c r="H27" t="str">
        <v>RT - Wrist</v>
      </c>
      <c r="I27" t="str">
        <v>RPO</v>
      </c>
      <c r="J27" t="str">
        <v>No</v>
      </c>
      <c r="K27">
        <v>2026</v>
      </c>
      <c r="L27" t="str">
        <v>July</v>
      </c>
      <c r="O27" t="str">
        <v>Marilyn Herrera</v>
      </c>
      <c r="P27" t="str">
        <v xml:space="preserve">Inhalation </v>
      </c>
      <c r="T27" t="str">
        <v>Corrals 100</v>
      </c>
      <c r="X27">
        <v>1</v>
      </c>
    </row>
    <row r="28" spans="1:24" x14ac:dyDescent="0.2">
      <c r="A28" t="str">
        <v>Vilma De Jesus Gomez</v>
      </c>
      <c r="B28">
        <v>46211</v>
      </c>
      <c r="C28" t="str">
        <v>Maria Garcia</v>
      </c>
      <c r="D28" t="str">
        <v>Fabrication</v>
      </c>
      <c r="E28" t="str">
        <v>447</v>
      </c>
      <c r="F28" t="str">
        <v>Pack Off</v>
      </c>
      <c r="G28" t="str">
        <v>Strain</v>
      </c>
      <c r="H28" t="str">
        <v xml:space="preserve">RT - Lower Back  </v>
      </c>
      <c r="I28" t="str">
        <v>FA</v>
      </c>
      <c r="J28" t="str">
        <v>No</v>
      </c>
      <c r="K28">
        <v>2026</v>
      </c>
      <c r="L28" t="str">
        <v>July</v>
      </c>
      <c r="O28" t="str">
        <v>Mary Coffee</v>
      </c>
      <c r="P28" t="str">
        <v>Inhalation / Reaction</v>
      </c>
      <c r="T28" t="str">
        <v>Electrician</v>
      </c>
      <c r="X28">
        <v>1</v>
      </c>
    </row>
    <row r="29" spans="1:24" x14ac:dyDescent="0.2">
      <c r="A29" t="str">
        <v>Victor Garcia</v>
      </c>
      <c r="B29">
        <v>46211</v>
      </c>
      <c r="C29" t="str">
        <v>Chadu Moua</v>
      </c>
      <c r="D29" t="str">
        <v>Fabrication</v>
      </c>
      <c r="E29" t="str">
        <v>429</v>
      </c>
      <c r="F29" t="str">
        <v>Housekeeping</v>
      </c>
      <c r="G29" t="str">
        <v>No Injury</v>
      </c>
      <c r="H29" t="str">
        <v>LT - Foot</v>
      </c>
      <c r="I29" t="str">
        <v>RPO</v>
      </c>
      <c r="J29" t="str">
        <v>No</v>
      </c>
      <c r="K29">
        <v>2026</v>
      </c>
      <c r="L29" t="str">
        <v>July</v>
      </c>
      <c r="O29" t="str">
        <v>Michael Orozco</v>
      </c>
      <c r="P29" t="str">
        <v>Insect Bite/ Sting</v>
      </c>
      <c r="T29" t="str">
        <v>Fab FSQA</v>
      </c>
      <c r="X29">
        <v>1</v>
      </c>
    </row>
    <row r="30" spans="1:24" x14ac:dyDescent="0.2">
      <c r="A30" t="str">
        <v>Rosalba Osguera</v>
      </c>
      <c r="B30">
        <v>46210</v>
      </c>
      <c r="C30" t="str">
        <v>Alex Vargas</v>
      </c>
      <c r="D30" t="str">
        <v>Harvest</v>
      </c>
      <c r="E30" t="str">
        <v>102</v>
      </c>
      <c r="F30" t="str">
        <v>2nd Shank Cutter</v>
      </c>
      <c r="G30" t="str">
        <v>Burn</v>
      </c>
      <c r="H30" t="str">
        <v>RT - Arm</v>
      </c>
      <c r="I30" t="str">
        <v>FA</v>
      </c>
      <c r="J30" t="str">
        <v>No</v>
      </c>
      <c r="K30">
        <v>2026</v>
      </c>
      <c r="L30" t="str">
        <v>July</v>
      </c>
      <c r="O30" t="str">
        <v>Osbaldo Gutierrez</v>
      </c>
      <c r="P30" t="str">
        <v>Insect Sting</v>
      </c>
      <c r="T30" t="str">
        <v>FSQA</v>
      </c>
      <c r="X30">
        <v>1</v>
      </c>
    </row>
    <row r="31" spans="1:24" x14ac:dyDescent="0.2">
      <c r="A31" t="str">
        <v>Roman Morales</v>
      </c>
      <c r="B31">
        <v>46210</v>
      </c>
      <c r="C31" t="str">
        <v>Michael Orozco</v>
      </c>
      <c r="D31" t="str">
        <v>Harvest</v>
      </c>
      <c r="E31" t="str">
        <v>105</v>
      </c>
      <c r="F31" t="str">
        <v>Split Saw Operator</v>
      </c>
      <c r="G31" t="str">
        <v>Strain</v>
      </c>
      <c r="H31" t="str">
        <v>LT - Forearm</v>
      </c>
      <c r="I31" t="str">
        <v>FA</v>
      </c>
      <c r="J31" t="str">
        <v>No</v>
      </c>
      <c r="K31">
        <v>2026</v>
      </c>
      <c r="L31" t="str">
        <v>July</v>
      </c>
      <c r="O31" t="str">
        <v>Ovidio Sanchez</v>
      </c>
      <c r="P31" t="str">
        <v>Laceration</v>
      </c>
      <c r="T31" t="str">
        <v>Harvest Maint</v>
      </c>
      <c r="X31">
        <v>1</v>
      </c>
    </row>
    <row r="32" spans="1:24" x14ac:dyDescent="0.2">
      <c r="A32" t="str">
        <v>Angel Estrada</v>
      </c>
      <c r="B32">
        <v>46210</v>
      </c>
      <c r="C32" t="str">
        <v>Kamran Tavagar</v>
      </c>
      <c r="D32" t="str">
        <v>Maintenance</v>
      </c>
      <c r="E32" t="str">
        <v>Maintenance</v>
      </c>
      <c r="F32" t="str">
        <v>FAB Maintenance Lead</v>
      </c>
      <c r="G32" t="str">
        <v>Slip, Trip, &amp; Fall</v>
      </c>
      <c r="H32" t="str">
        <v>RT - Upper Back</v>
      </c>
      <c r="I32" t="str">
        <v>RPO</v>
      </c>
      <c r="J32" t="str">
        <v>No</v>
      </c>
      <c r="K32">
        <v>2026</v>
      </c>
      <c r="L32" t="str">
        <v>July</v>
      </c>
      <c r="O32" t="str">
        <v>Ray Mascorro</v>
      </c>
      <c r="P32" t="str">
        <v>NA</v>
      </c>
      <c r="T32" t="str">
        <v>Knife Room</v>
      </c>
      <c r="X32">
        <v>1</v>
      </c>
    </row>
    <row r="33" spans="1:24" x14ac:dyDescent="0.2">
      <c r="A33" t="str">
        <v>China Bonner</v>
      </c>
      <c r="B33">
        <v>46206</v>
      </c>
      <c r="C33" t="str">
        <v>Elizabeth Neufeld</v>
      </c>
      <c r="D33" t="str">
        <v>Fabrication</v>
      </c>
      <c r="E33" t="str">
        <v>420</v>
      </c>
      <c r="F33" t="str">
        <v>Strip Trimmer</v>
      </c>
      <c r="G33" t="str">
        <v xml:space="preserve">Foreign Object </v>
      </c>
      <c r="H33" t="str">
        <v>LT - Eye</v>
      </c>
      <c r="I33" t="str">
        <v>FA</v>
      </c>
      <c r="J33" t="str">
        <v>No</v>
      </c>
      <c r="K33">
        <v>2026</v>
      </c>
      <c r="L33" t="str">
        <v>July</v>
      </c>
      <c r="O33" t="str">
        <v>Raymond Trevino</v>
      </c>
      <c r="P33" t="str">
        <v>NA - Stress</v>
      </c>
      <c r="T33" t="str">
        <v>Loading Dock</v>
      </c>
      <c r="X33">
        <v>1</v>
      </c>
    </row>
    <row r="34" spans="1:24" x14ac:dyDescent="0.2">
      <c r="A34" t="str">
        <v>Victoria Vazquez</v>
      </c>
      <c r="B34">
        <v>46206</v>
      </c>
      <c r="C34" t="str">
        <v>Michael Orozco</v>
      </c>
      <c r="D34" t="str">
        <v>Harvest</v>
      </c>
      <c r="E34" t="str">
        <v>105</v>
      </c>
      <c r="F34" t="str">
        <v>Carcass Tagger</v>
      </c>
      <c r="G34" t="str">
        <v>Inhalation / Reaction</v>
      </c>
      <c r="H34" t="str">
        <v>Chest</v>
      </c>
      <c r="I34" t="str">
        <v>RPO</v>
      </c>
      <c r="J34" t="str">
        <v>No</v>
      </c>
      <c r="K34">
        <v>2026</v>
      </c>
      <c r="L34" t="str">
        <v>July</v>
      </c>
      <c r="O34" t="str">
        <v>Rayomond Corrales</v>
      </c>
      <c r="P34" t="str">
        <v>No Injury</v>
      </c>
      <c r="T34" t="str">
        <v>Maintenance</v>
      </c>
      <c r="X34">
        <v>1</v>
      </c>
    </row>
    <row r="35" spans="1:24" x14ac:dyDescent="0.2">
      <c r="A35" t="str">
        <v>Adolfo Aguilera</v>
      </c>
      <c r="B35">
        <v>46206</v>
      </c>
      <c r="C35" t="str">
        <v>Marilyn Herrera</v>
      </c>
      <c r="D35" t="str">
        <v>Harvest</v>
      </c>
      <c r="E35" t="str">
        <v>100</v>
      </c>
      <c r="F35" t="str">
        <v>Cattle Pusher</v>
      </c>
      <c r="G35" t="str">
        <v>Crush Injury</v>
      </c>
      <c r="H35" t="str">
        <v>RT - Thumb Area</v>
      </c>
      <c r="I35" t="str">
        <v>FA</v>
      </c>
      <c r="J35" t="str">
        <v>No</v>
      </c>
      <c r="K35">
        <v>2026</v>
      </c>
      <c r="L35" t="str">
        <v>July</v>
      </c>
      <c r="O35" t="str">
        <v>Rene Canas</v>
      </c>
      <c r="P35" t="str">
        <v>Pinch</v>
      </c>
      <c r="T35" t="str">
        <v>NA</v>
      </c>
      <c r="X35">
        <v>1</v>
      </c>
    </row>
    <row r="36" spans="1:24" x14ac:dyDescent="0.2">
      <c r="A36" t="str">
        <v>Sopheap Pos</v>
      </c>
      <c r="B36">
        <v>46206</v>
      </c>
      <c r="C36" t="str">
        <v>Juan Ramirez</v>
      </c>
      <c r="D36" t="str">
        <v>Fabrication</v>
      </c>
      <c r="E36" t="str">
        <v>410</v>
      </c>
      <c r="F36" t="str">
        <v>Tender Trimmer</v>
      </c>
      <c r="G36" t="str">
        <v>Slip, Trip, &amp; Fall</v>
      </c>
      <c r="H36" t="str">
        <v>No Injury</v>
      </c>
      <c r="I36" t="str">
        <v>RPO</v>
      </c>
      <c r="J36" t="str">
        <v>No</v>
      </c>
      <c r="K36">
        <v>2026</v>
      </c>
      <c r="L36" t="str">
        <v>July</v>
      </c>
      <c r="O36" t="str">
        <v>Richard Xiong</v>
      </c>
      <c r="P36" t="str">
        <v>Pinch Point - Caught In</v>
      </c>
      <c r="T36" t="str">
        <v>Outside Clean Up</v>
      </c>
      <c r="X36">
        <v>1</v>
      </c>
    </row>
    <row r="37" spans="1:24" x14ac:dyDescent="0.2">
      <c r="A37" t="str">
        <v>Jasmine Gonzalez</v>
      </c>
      <c r="B37">
        <v>46206</v>
      </c>
      <c r="C37" t="str">
        <v>Alex Vargas</v>
      </c>
      <c r="D37" t="str">
        <v>Harvest</v>
      </c>
      <c r="E37" t="str">
        <v>102</v>
      </c>
      <c r="F37" t="str">
        <v>Whizzard Knife Operator</v>
      </c>
      <c r="G37" t="str">
        <v>Strain</v>
      </c>
      <c r="H37" t="str">
        <v>RT - Wrist</v>
      </c>
      <c r="I37" t="str">
        <v>FA</v>
      </c>
      <c r="J37" t="str">
        <v>No</v>
      </c>
      <c r="K37">
        <v>2026</v>
      </c>
      <c r="L37" t="str">
        <v>July</v>
      </c>
      <c r="O37" t="str">
        <v>Rosia Rosas</v>
      </c>
      <c r="P37" t="str">
        <v>Pinch-Point</v>
      </c>
      <c r="T37" t="str">
        <v>QA</v>
      </c>
      <c r="X37">
        <v>1</v>
      </c>
    </row>
    <row r="38" spans="1:24" x14ac:dyDescent="0.2">
      <c r="A38" t="str">
        <v>Lebrado Avila</v>
      </c>
      <c r="B38">
        <v>46205</v>
      </c>
      <c r="C38" t="str">
        <v>Chadu Moua</v>
      </c>
      <c r="D38" t="str">
        <v>Fabrication</v>
      </c>
      <c r="E38" t="str">
        <v>429</v>
      </c>
      <c r="F38" t="str">
        <v>Trim Roamer</v>
      </c>
      <c r="G38" t="str">
        <v xml:space="preserve">Crush Injury </v>
      </c>
      <c r="H38" t="str">
        <v>LT - Foot</v>
      </c>
      <c r="I38" t="str">
        <v>RPO</v>
      </c>
      <c r="J38" t="str">
        <v>No</v>
      </c>
      <c r="K38">
        <v>2026</v>
      </c>
      <c r="L38" t="str">
        <v>July</v>
      </c>
      <c r="O38" t="str">
        <v>Rutilio Rodriguez</v>
      </c>
      <c r="P38" t="str">
        <v>Puncture</v>
      </c>
      <c r="T38" t="str">
        <v>Trainer</v>
      </c>
      <c r="X38">
        <v>1</v>
      </c>
    </row>
    <row r="39" spans="1:24" x14ac:dyDescent="0.2">
      <c r="A39" t="str">
        <v>Edgar Hernandez</v>
      </c>
      <c r="B39">
        <v>46205</v>
      </c>
      <c r="C39" t="str">
        <v>Alex Vargas</v>
      </c>
      <c r="D39" t="str">
        <v>Harvest</v>
      </c>
      <c r="E39" t="str">
        <v>102</v>
      </c>
      <c r="F39" t="str">
        <v>Tail Cut Hang</v>
      </c>
      <c r="G39" t="str">
        <v>Burn</v>
      </c>
      <c r="H39" t="str">
        <v>RT - Obdominal</v>
      </c>
      <c r="I39" t="str">
        <v>FA</v>
      </c>
      <c r="J39" t="str">
        <v>No</v>
      </c>
      <c r="K39">
        <v>2026</v>
      </c>
      <c r="L39" t="str">
        <v>July</v>
      </c>
      <c r="O39" t="str">
        <v>Samuel Sierra</v>
      </c>
      <c r="P39" t="str">
        <v>Rash</v>
      </c>
      <c r="T39" t="str">
        <v>Training Dept.</v>
      </c>
      <c r="X39">
        <v>1</v>
      </c>
    </row>
    <row r="40" spans="1:24" x14ac:dyDescent="0.2">
      <c r="A40" t="str">
        <v>Bernardo Gonzalez</v>
      </c>
      <c r="B40">
        <v>46205</v>
      </c>
      <c r="C40" t="str">
        <v>Juan Ramirez</v>
      </c>
      <c r="D40" t="str">
        <v>Fabrication</v>
      </c>
      <c r="E40" t="str">
        <v>410</v>
      </c>
      <c r="F40" t="str">
        <v>Tender Puller</v>
      </c>
      <c r="G40" t="str">
        <v>Strain</v>
      </c>
      <c r="H40" t="str">
        <v>LT - Index Finger</v>
      </c>
      <c r="I40" t="str">
        <v>FA</v>
      </c>
      <c r="J40" t="str">
        <v>No</v>
      </c>
      <c r="K40">
        <v>2026</v>
      </c>
      <c r="L40" t="str">
        <v>July</v>
      </c>
      <c r="O40" t="str">
        <v>Spencer H</v>
      </c>
      <c r="P40" t="str">
        <v xml:space="preserve">Rash </v>
      </c>
      <c r="T40" t="str">
        <v>Utilities</v>
      </c>
      <c r="X40">
        <v>1</v>
      </c>
    </row>
    <row r="41" spans="1:24" x14ac:dyDescent="0.2">
      <c r="A41" t="str">
        <v>Raymundo Vargas Jr</v>
      </c>
      <c r="B41">
        <v>46205</v>
      </c>
      <c r="C41" t="str">
        <v>Erwin Vega</v>
      </c>
      <c r="D41" t="str">
        <v>Fabrication</v>
      </c>
      <c r="E41" t="str">
        <v>124</v>
      </c>
      <c r="F41" t="str">
        <v>Cooler Lead</v>
      </c>
      <c r="G41" t="str">
        <v>Slip, Trip, &amp; Fall</v>
      </c>
      <c r="H41" t="str">
        <v xml:space="preserve">RT - Hip </v>
      </c>
      <c r="I41" t="str">
        <v>RPO</v>
      </c>
      <c r="J41" t="str">
        <v>No</v>
      </c>
      <c r="K41">
        <v>2026</v>
      </c>
      <c r="L41" t="str">
        <v>July</v>
      </c>
      <c r="O41" t="str">
        <v>Suky</v>
      </c>
      <c r="P41" t="str">
        <v xml:space="preserve">Reaction </v>
      </c>
      <c r="T41" t="str">
        <v>Warehouse</v>
      </c>
      <c r="X41">
        <v>1</v>
      </c>
    </row>
    <row r="42" spans="1:24" x14ac:dyDescent="0.2">
      <c r="A42" t="str">
        <v>Jose Nunez</v>
      </c>
      <c r="B42">
        <v>46205</v>
      </c>
      <c r="C42" t="str">
        <v>Erwin Vega</v>
      </c>
      <c r="D42" t="str">
        <v>Fabrication</v>
      </c>
      <c r="E42" t="str">
        <v>124</v>
      </c>
      <c r="F42" t="str">
        <v>Cooler Coordinator</v>
      </c>
      <c r="G42" t="str">
        <v>Falling Objects</v>
      </c>
      <c r="H42" t="str">
        <v>RT - Heel</v>
      </c>
      <c r="I42" t="str">
        <v>FA</v>
      </c>
      <c r="J42" t="str">
        <v>No</v>
      </c>
      <c r="K42">
        <v>2026</v>
      </c>
      <c r="L42" t="str">
        <v>July</v>
      </c>
      <c r="O42" t="str">
        <v>Valerena Begay</v>
      </c>
      <c r="P42" t="str">
        <v>Repetition</v>
      </c>
      <c r="X42">
        <v>1</v>
      </c>
    </row>
    <row r="43" spans="1:24" x14ac:dyDescent="0.2">
      <c r="A43" t="str">
        <v>Juan Ceballos</v>
      </c>
      <c r="B43">
        <v>46204</v>
      </c>
      <c r="C43" t="str">
        <v>Michael Orozco</v>
      </c>
      <c r="D43" t="str">
        <v>Harvest</v>
      </c>
      <c r="E43" t="str">
        <v>105</v>
      </c>
      <c r="F43" t="str">
        <v>Gutter</v>
      </c>
      <c r="G43" t="str">
        <v>Laceration</v>
      </c>
      <c r="H43" t="str">
        <v>LT - Hand</v>
      </c>
      <c r="I43" t="str">
        <v>RECORDABLE</v>
      </c>
      <c r="J43" t="str">
        <v>Yes</v>
      </c>
      <c r="K43">
        <v>2026</v>
      </c>
      <c r="L43" t="str">
        <v>July</v>
      </c>
      <c r="O43" t="str">
        <v>Veronica Figueroa</v>
      </c>
      <c r="P43" t="str">
        <v>Slip, Trip, &amp; Fall</v>
      </c>
      <c r="X43">
        <v>1</v>
      </c>
    </row>
    <row r="44" spans="1:24" x14ac:dyDescent="0.2">
      <c r="A44" t="str">
        <v>Claudia Estrada Cruz</v>
      </c>
      <c r="B44">
        <v>46204</v>
      </c>
      <c r="C44" t="str">
        <v>Elizabeth Neufeld</v>
      </c>
      <c r="D44" t="str">
        <v>Fabrication</v>
      </c>
      <c r="E44" t="str">
        <v>447</v>
      </c>
      <c r="F44" t="str">
        <v>Sorter</v>
      </c>
      <c r="G44" t="str">
        <v>Strain</v>
      </c>
      <c r="H44" t="str">
        <v>RT - Forearm &amp; Hand &amp; LT - Hand</v>
      </c>
      <c r="I44" t="str">
        <v>FA</v>
      </c>
      <c r="J44" t="str">
        <v>No</v>
      </c>
      <c r="K44">
        <v>2026</v>
      </c>
      <c r="L44" t="str">
        <v>July</v>
      </c>
      <c r="P44" t="str">
        <v>Sprain</v>
      </c>
      <c r="X44">
        <v>1</v>
      </c>
    </row>
    <row r="45" spans="1:24" x14ac:dyDescent="0.2">
      <c r="A45" t="str">
        <v>Vilma de Jesus</v>
      </c>
      <c r="B45">
        <v>46203</v>
      </c>
      <c r="C45" t="str">
        <v>Maria Garcia</v>
      </c>
      <c r="D45" t="str">
        <v>Fabrication</v>
      </c>
      <c r="E45" t="str">
        <v>447</v>
      </c>
      <c r="F45" t="str">
        <v>Bone Packer</v>
      </c>
      <c r="G45" t="str">
        <v>Contact Stess</v>
      </c>
      <c r="H45" t="str">
        <v>LT - Palm</v>
      </c>
      <c r="I45" t="str">
        <v>FA</v>
      </c>
      <c r="J45" t="str">
        <v>No</v>
      </c>
      <c r="K45">
        <v>2026</v>
      </c>
      <c r="L45" t="str">
        <v>June</v>
      </c>
      <c r="P45" t="str">
        <v>Stike against object</v>
      </c>
      <c r="X45">
        <v>1</v>
      </c>
    </row>
    <row r="46" spans="1:24" x14ac:dyDescent="0.2">
      <c r="A46" t="str">
        <v>Steven Aceves</v>
      </c>
      <c r="B46">
        <v>46202</v>
      </c>
      <c r="C46" t="str">
        <v>Ovidio Sanchez</v>
      </c>
      <c r="D46" t="str">
        <v>Fabrication</v>
      </c>
      <c r="E46" t="str">
        <v>400</v>
      </c>
      <c r="F46" t="str">
        <v>Scale Operator</v>
      </c>
      <c r="G46" t="str">
        <v>Strain</v>
      </c>
      <c r="H46" t="str">
        <v>RT - Wrist</v>
      </c>
      <c r="I46" t="str">
        <v>FA</v>
      </c>
      <c r="J46" t="str">
        <v>No</v>
      </c>
      <c r="K46">
        <v>2026</v>
      </c>
      <c r="L46" t="str">
        <v>June</v>
      </c>
      <c r="P46" t="str">
        <v>Strain</v>
      </c>
      <c r="X46">
        <v>1</v>
      </c>
    </row>
    <row r="47" spans="1:24" x14ac:dyDescent="0.2">
      <c r="A47" t="str">
        <v>Frederick Garcia</v>
      </c>
      <c r="B47">
        <v>46202</v>
      </c>
      <c r="C47" t="str">
        <v>Alex Vargas</v>
      </c>
      <c r="D47" t="str">
        <v>Harvest</v>
      </c>
      <c r="E47" t="str">
        <v>102</v>
      </c>
      <c r="F47" t="str">
        <v>Bung Capper</v>
      </c>
      <c r="G47" t="str">
        <v xml:space="preserve">Foreign Object </v>
      </c>
      <c r="H47" t="str">
        <v>LT - Eye</v>
      </c>
      <c r="I47" t="str">
        <v>FA</v>
      </c>
      <c r="J47" t="str">
        <v>No</v>
      </c>
      <c r="K47">
        <v>2026</v>
      </c>
      <c r="L47" t="str">
        <v>June</v>
      </c>
      <c r="P47" t="str">
        <v xml:space="preserve">Strain </v>
      </c>
      <c r="X47">
        <v>1</v>
      </c>
    </row>
    <row r="48" spans="1:24" x14ac:dyDescent="0.2">
      <c r="A48" t="str">
        <v>Kristy Davila</v>
      </c>
      <c r="B48">
        <v>46202</v>
      </c>
      <c r="C48" t="str">
        <v>Elizabeth Neufeld</v>
      </c>
      <c r="D48" t="str">
        <v>Fabrication</v>
      </c>
      <c r="E48" t="str">
        <v>420</v>
      </c>
      <c r="F48" t="str">
        <v>Flap Meat Trimmer</v>
      </c>
      <c r="G48" t="str">
        <v xml:space="preserve">Foreign Object </v>
      </c>
      <c r="H48" t="str">
        <v>LT - Eye</v>
      </c>
      <c r="I48" t="str">
        <v>FA</v>
      </c>
      <c r="J48" t="str">
        <v>No</v>
      </c>
      <c r="K48">
        <v>2026</v>
      </c>
      <c r="L48" t="str">
        <v>June</v>
      </c>
      <c r="P48" t="str">
        <v>Strike by Cattle</v>
      </c>
      <c r="X48">
        <v>1</v>
      </c>
    </row>
    <row r="49" spans="1:24" x14ac:dyDescent="0.2">
      <c r="A49" t="str">
        <v>Edgar Guttierez</v>
      </c>
      <c r="B49">
        <v>46202</v>
      </c>
      <c r="C49" t="str">
        <v>Juan Carlos Martinez</v>
      </c>
      <c r="D49" t="str">
        <v>Fabrication</v>
      </c>
      <c r="E49" t="str">
        <v>405</v>
      </c>
      <c r="F49" t="str">
        <v>Plate Boner</v>
      </c>
      <c r="G49" t="str">
        <v>Strain</v>
      </c>
      <c r="H49" t="str">
        <v>RT - Elbow</v>
      </c>
      <c r="I49" t="str">
        <v>FA</v>
      </c>
      <c r="J49" t="str">
        <v>No</v>
      </c>
      <c r="K49">
        <v>2026</v>
      </c>
      <c r="L49" t="str">
        <v>June</v>
      </c>
      <c r="P49" t="str">
        <v>Strike-by Against Object</v>
      </c>
      <c r="X49">
        <v>1</v>
      </c>
    </row>
    <row r="50" spans="1:24" x14ac:dyDescent="0.2">
      <c r="A50" t="str">
        <v>Eduardo Contreras</v>
      </c>
      <c r="B50">
        <v>46202</v>
      </c>
      <c r="C50" t="str">
        <v>Alex Vargas</v>
      </c>
      <c r="D50" t="str">
        <v>Harvest</v>
      </c>
      <c r="E50" t="str">
        <v>102</v>
      </c>
      <c r="F50" t="str">
        <v>Wax Papper Remover</v>
      </c>
      <c r="G50" t="str">
        <v>Slip, Trip, &amp; Fall</v>
      </c>
      <c r="H50" t="str">
        <v>RT - Knee</v>
      </c>
      <c r="I50" t="str">
        <v>RPO</v>
      </c>
      <c r="J50" t="str">
        <v>No</v>
      </c>
      <c r="K50">
        <v>2026</v>
      </c>
      <c r="L50" t="str">
        <v>June</v>
      </c>
      <c r="P50" t="str">
        <v>Struck</v>
      </c>
      <c r="X50">
        <v>1</v>
      </c>
    </row>
    <row r="51" spans="1:24" x14ac:dyDescent="0.2">
      <c r="A51" t="str">
        <v>Aaron Ching</v>
      </c>
      <c r="B51">
        <v>46202</v>
      </c>
      <c r="C51" t="str">
        <v>Alex Vargas</v>
      </c>
      <c r="D51" t="str">
        <v>Harvest</v>
      </c>
      <c r="E51" t="str">
        <v>102</v>
      </c>
      <c r="F51" t="str">
        <v>Clean Up</v>
      </c>
      <c r="G51" t="str">
        <v>Strain</v>
      </c>
      <c r="H51" t="str">
        <v xml:space="preserve">RT - Hip </v>
      </c>
      <c r="I51" t="str">
        <v>FA</v>
      </c>
      <c r="J51" t="str">
        <v>No</v>
      </c>
      <c r="K51">
        <v>2026</v>
      </c>
      <c r="L51" t="str">
        <v>June</v>
      </c>
      <c r="P51" t="str">
        <v>Struck by - against object</v>
      </c>
      <c r="X51">
        <v>1</v>
      </c>
    </row>
    <row r="52" spans="1:24" x14ac:dyDescent="0.2">
      <c r="A52" t="str">
        <v>Juan Rivera</v>
      </c>
      <c r="B52">
        <v>46199</v>
      </c>
      <c r="C52" t="str">
        <v>Christopher Moreno</v>
      </c>
      <c r="D52" t="str">
        <v>Buildings &amp; Grounds</v>
      </c>
      <c r="E52" t="str">
        <v>B&amp;G</v>
      </c>
      <c r="F52" t="str">
        <v>Maintenance Lead</v>
      </c>
      <c r="G52" t="str">
        <v>Insect Bite/ Sting</v>
      </c>
      <c r="H52" t="str">
        <v xml:space="preserve">Back of Head  </v>
      </c>
      <c r="I52" t="str">
        <v>RPO</v>
      </c>
      <c r="J52" t="str">
        <v>No</v>
      </c>
      <c r="K52">
        <v>2026</v>
      </c>
      <c r="L52" t="str">
        <v>June</v>
      </c>
      <c r="P52" t="str">
        <v>Struck by against object</v>
      </c>
      <c r="X52">
        <v>1</v>
      </c>
    </row>
    <row r="53" spans="1:24" x14ac:dyDescent="0.2">
      <c r="A53" t="str">
        <v>Osbaldo Santiago</v>
      </c>
      <c r="B53">
        <v>46199</v>
      </c>
      <c r="C53" t="str">
        <v>Alex Vargas</v>
      </c>
      <c r="D53" t="str">
        <v>Harvest</v>
      </c>
      <c r="E53" t="str">
        <v>102</v>
      </c>
      <c r="F53" t="str">
        <v xml:space="preserve">Whizzard Knife Op. </v>
      </c>
      <c r="G53" t="str">
        <v>Burn</v>
      </c>
      <c r="H53" t="str">
        <v>LT - Wrist &amp; Hand</v>
      </c>
      <c r="I53" t="str">
        <v>FA</v>
      </c>
      <c r="J53" t="str">
        <v>No</v>
      </c>
      <c r="K53">
        <v>2026</v>
      </c>
      <c r="L53" t="str">
        <v>June</v>
      </c>
      <c r="P53" t="str">
        <v>Struck By- Against Object</v>
      </c>
      <c r="X53">
        <v>1</v>
      </c>
    </row>
    <row r="54" spans="1:24" x14ac:dyDescent="0.2">
      <c r="A54" t="str">
        <v>Esmeralda Avalos Vazquez</v>
      </c>
      <c r="B54">
        <v>46199</v>
      </c>
      <c r="C54" t="str">
        <v>Rutilio Rodriguez</v>
      </c>
      <c r="D54" t="str">
        <v>Harvest</v>
      </c>
      <c r="E54" t="str">
        <v>106</v>
      </c>
      <c r="F54" t="str">
        <v>SRM Removal</v>
      </c>
      <c r="G54" t="str">
        <v>Strain</v>
      </c>
      <c r="H54" t="str">
        <v>LT - Wrist</v>
      </c>
      <c r="I54" t="str">
        <v>FA</v>
      </c>
      <c r="J54" t="str">
        <v>No</v>
      </c>
      <c r="K54">
        <v>2026</v>
      </c>
      <c r="L54" t="str">
        <v>June</v>
      </c>
      <c r="P54" t="str">
        <v>Struck By Cattle</v>
      </c>
      <c r="X54">
        <v>1</v>
      </c>
    </row>
    <row r="55" spans="1:24" x14ac:dyDescent="0.2">
      <c r="A55" t="str">
        <v>Pablo de la Cruz</v>
      </c>
      <c r="B55">
        <v>46198</v>
      </c>
      <c r="C55" t="str">
        <v>Erwin Vega</v>
      </c>
      <c r="D55" t="str">
        <v>Fabrication</v>
      </c>
      <c r="E55" t="str">
        <v>124</v>
      </c>
      <c r="F55" t="str">
        <v>Cooler Cordinator</v>
      </c>
      <c r="G55" t="str">
        <v>Strain</v>
      </c>
      <c r="H55" t="str">
        <v xml:space="preserve">RT - Hip </v>
      </c>
      <c r="I55" t="str">
        <v>FA</v>
      </c>
      <c r="J55" t="str">
        <v>No</v>
      </c>
      <c r="K55">
        <v>2026</v>
      </c>
      <c r="L55" t="str">
        <v>June</v>
      </c>
      <c r="P55" t="str">
        <v>Struck by Equipment</v>
      </c>
      <c r="X55">
        <v>1</v>
      </c>
    </row>
    <row r="56" spans="1:24" x14ac:dyDescent="0.2">
      <c r="A56" t="str">
        <v>Douglas Cline</v>
      </c>
      <c r="B56">
        <v>46198</v>
      </c>
      <c r="C56" t="str">
        <v>Juan Ramirez</v>
      </c>
      <c r="D56" t="str">
        <v>Fabrication</v>
      </c>
      <c r="E56" t="str">
        <v>410</v>
      </c>
      <c r="F56" t="str">
        <v>Aitch Boner</v>
      </c>
      <c r="G56" t="str">
        <v xml:space="preserve">Foreign Object </v>
      </c>
      <c r="H56" t="str">
        <v>RT - Eye</v>
      </c>
      <c r="I56" t="str">
        <v>FA</v>
      </c>
      <c r="J56" t="str">
        <v>No</v>
      </c>
      <c r="K56">
        <v>2026</v>
      </c>
      <c r="L56" t="str">
        <v>June</v>
      </c>
      <c r="P56" t="str">
        <v>Struck by falling object</v>
      </c>
      <c r="X56">
        <v>1</v>
      </c>
    </row>
    <row r="57" spans="1:24" x14ac:dyDescent="0.2">
      <c r="A57" t="str">
        <v>Daniel Hernandez</v>
      </c>
      <c r="B57">
        <v>46198</v>
      </c>
      <c r="C57" t="str">
        <v>Osbaldo Gutierrez</v>
      </c>
      <c r="D57" t="str">
        <v>Maintenance</v>
      </c>
      <c r="E57" t="str">
        <v>Maintenance</v>
      </c>
      <c r="F57" t="str">
        <v>Maintenance</v>
      </c>
      <c r="G57" t="str">
        <v>Struck by - against object</v>
      </c>
      <c r="H57" t="str">
        <v>LT - Toes</v>
      </c>
      <c r="I57" t="str">
        <v>FA</v>
      </c>
      <c r="J57" t="str">
        <v>No</v>
      </c>
      <c r="K57">
        <v>2026</v>
      </c>
      <c r="L57" t="str">
        <v>June</v>
      </c>
      <c r="P57" t="str">
        <v>Struck By MPE</v>
      </c>
      <c r="X57">
        <v>1</v>
      </c>
    </row>
    <row r="58" spans="1:24" x14ac:dyDescent="0.2">
      <c r="A58" t="str">
        <v>Edgar Hernandez</v>
      </c>
      <c r="B58">
        <v>46198</v>
      </c>
      <c r="C58" t="str">
        <v>Alex Vargas</v>
      </c>
      <c r="D58" t="str">
        <v>Harvest</v>
      </c>
      <c r="E58" t="str">
        <v>102</v>
      </c>
      <c r="F58" t="str">
        <v>Tail Knotch</v>
      </c>
      <c r="G58" t="str">
        <v>Burn</v>
      </c>
      <c r="H58" t="str">
        <v>RT - Obdominal</v>
      </c>
      <c r="I58" t="str">
        <v>FA</v>
      </c>
      <c r="J58" t="str">
        <v>No</v>
      </c>
      <c r="K58">
        <v>2026</v>
      </c>
      <c r="L58" t="str">
        <v>June</v>
      </c>
      <c r="P58" t="str">
        <v>Struck By Object</v>
      </c>
      <c r="X58">
        <v>1</v>
      </c>
    </row>
    <row r="59" spans="1:24" x14ac:dyDescent="0.2">
      <c r="A59" t="str">
        <v>Jayden Acosta</v>
      </c>
      <c r="B59">
        <v>46197</v>
      </c>
      <c r="C59" t="str">
        <v>Erwin Vega</v>
      </c>
      <c r="D59" t="str">
        <v>Fabrication</v>
      </c>
      <c r="E59" t="str">
        <v>124</v>
      </c>
      <c r="F59" t="str">
        <v>Cooler Cordinator</v>
      </c>
      <c r="G59" t="str">
        <v>Slip, Trip, &amp; Fall</v>
      </c>
      <c r="H59" t="str">
        <v>Back of Head &amp; Lower Back</v>
      </c>
      <c r="I59" t="str">
        <v>FA</v>
      </c>
      <c r="J59" t="str">
        <v>No</v>
      </c>
      <c r="K59">
        <v>2026</v>
      </c>
      <c r="L59" t="str">
        <v>June</v>
      </c>
      <c r="P59" t="str">
        <v>Struck By-Against Object</v>
      </c>
      <c r="X59">
        <v>1</v>
      </c>
    </row>
    <row r="60" spans="1:24" x14ac:dyDescent="0.2">
      <c r="A60" t="str">
        <v>Albert Ramos</v>
      </c>
      <c r="B60">
        <v>46197</v>
      </c>
      <c r="C60" t="str">
        <v>Juan Ramirez</v>
      </c>
      <c r="D60" t="str">
        <v>Fabrication</v>
      </c>
      <c r="E60" t="str">
        <v>410</v>
      </c>
      <c r="F60" t="str">
        <v xml:space="preserve">Chine Saw </v>
      </c>
      <c r="G60" t="str">
        <v>Strain</v>
      </c>
      <c r="H60" t="str">
        <v>Bilateral Hands &amp; Mid Back</v>
      </c>
      <c r="I60" t="str">
        <v>FA</v>
      </c>
      <c r="J60" t="str">
        <v>No</v>
      </c>
      <c r="K60">
        <v>2026</v>
      </c>
      <c r="L60" t="str">
        <v>June</v>
      </c>
      <c r="P60" t="str">
        <v>Struck-by Against Object</v>
      </c>
      <c r="X60">
        <v>1</v>
      </c>
    </row>
    <row r="61" spans="1:24" x14ac:dyDescent="0.2">
      <c r="A61" t="str">
        <v>Maricela Ruiz</v>
      </c>
      <c r="B61">
        <v>46197</v>
      </c>
      <c r="C61" t="str">
        <v>Elizabeth Neufeld</v>
      </c>
      <c r="D61" t="str">
        <v>Fabrication</v>
      </c>
      <c r="E61" t="str">
        <v>420</v>
      </c>
      <c r="F61" t="str">
        <v>Round Strip Trimmer</v>
      </c>
      <c r="G61" t="str">
        <v>Puncture</v>
      </c>
      <c r="H61" t="str">
        <v>RT - Ring Finger</v>
      </c>
      <c r="I61" t="str">
        <v>FA</v>
      </c>
      <c r="J61" t="str">
        <v>No</v>
      </c>
      <c r="K61">
        <v>2026</v>
      </c>
      <c r="L61" t="str">
        <v>June</v>
      </c>
      <c r="P61" t="str">
        <v>Struck-by- against Object</v>
      </c>
      <c r="X61">
        <v>1</v>
      </c>
    </row>
    <row r="62" spans="1:24" x14ac:dyDescent="0.2">
      <c r="A62" t="str">
        <v>Nicole Machuca</v>
      </c>
      <c r="B62">
        <v>46196</v>
      </c>
      <c r="C62" t="str">
        <v>Chadu Moua</v>
      </c>
      <c r="D62" t="str">
        <v>Fabrication</v>
      </c>
      <c r="E62" t="str">
        <v>429</v>
      </c>
      <c r="F62" t="str">
        <v xml:space="preserve">Meat Master Op. </v>
      </c>
      <c r="G62" t="str">
        <v>Strain</v>
      </c>
      <c r="H62" t="str">
        <v>LT - Wrist</v>
      </c>
      <c r="I62" t="str">
        <v>FA</v>
      </c>
      <c r="J62" t="str">
        <v>No</v>
      </c>
      <c r="K62">
        <v>2026</v>
      </c>
      <c r="L62" t="str">
        <v>June</v>
      </c>
      <c r="P62" t="str">
        <v>Struck-by equipment</v>
      </c>
      <c r="X62">
        <v>1</v>
      </c>
    </row>
    <row r="63" spans="1:24" x14ac:dyDescent="0.2">
      <c r="A63" t="str">
        <v>Jose Vazquez</v>
      </c>
      <c r="B63">
        <v>46196</v>
      </c>
      <c r="C63" t="str">
        <v>Ovidio Sanchez</v>
      </c>
      <c r="D63" t="str">
        <v>Fabrication</v>
      </c>
      <c r="E63" t="str">
        <v>400</v>
      </c>
      <c r="F63" t="str">
        <v>Shank Bonner</v>
      </c>
      <c r="G63" t="str">
        <v xml:space="preserve">Foreign Object </v>
      </c>
      <c r="H63" t="str">
        <v>Bilateral - Eyes</v>
      </c>
      <c r="I63" t="str">
        <v>FA</v>
      </c>
      <c r="J63" t="str">
        <v>No</v>
      </c>
      <c r="K63">
        <v>2026</v>
      </c>
      <c r="L63" t="str">
        <v>June</v>
      </c>
      <c r="P63" t="str">
        <v xml:space="preserve">Vibration </v>
      </c>
      <c r="X63">
        <v>1</v>
      </c>
    </row>
    <row r="64" spans="1:24" x14ac:dyDescent="0.2">
      <c r="A64" t="str">
        <v>Jose Madrigal</v>
      </c>
      <c r="B64">
        <v>46196</v>
      </c>
      <c r="C64" t="str">
        <v>Alex Vargas</v>
      </c>
      <c r="D64" t="str">
        <v>Harvest</v>
      </c>
      <c r="E64" t="str">
        <v>102</v>
      </c>
      <c r="F64" t="str">
        <v>NA - Subtask</v>
      </c>
      <c r="G64" t="str">
        <v>Slip, Trip, &amp; Fall</v>
      </c>
      <c r="H64" t="str">
        <v>RT - Forearm &amp; LT - Calf</v>
      </c>
      <c r="I64" t="str">
        <v>FA</v>
      </c>
      <c r="J64" t="str">
        <v>No</v>
      </c>
      <c r="K64">
        <v>2026</v>
      </c>
      <c r="L64" t="str">
        <v>June</v>
      </c>
      <c r="P64" t="str">
        <v>Violance / Assault</v>
      </c>
      <c r="X64">
        <v>1</v>
      </c>
    </row>
    <row r="65" spans="1:24" x14ac:dyDescent="0.2">
      <c r="A65" t="str">
        <v>Juan Rivera</v>
      </c>
      <c r="B65">
        <v>46196</v>
      </c>
      <c r="C65" t="str">
        <v>Christopher Moreno</v>
      </c>
      <c r="D65" t="str">
        <v>Buildings &amp; Grounds</v>
      </c>
      <c r="E65" t="str">
        <v>B&amp;G</v>
      </c>
      <c r="F65" t="str">
        <v>Maintenance Lead</v>
      </c>
      <c r="G65" t="str">
        <v>Strain</v>
      </c>
      <c r="H65" t="str">
        <v>LT - Lower Back</v>
      </c>
      <c r="I65" t="str">
        <v>FA</v>
      </c>
      <c r="J65" t="str">
        <v>No</v>
      </c>
      <c r="K65">
        <v>2026</v>
      </c>
      <c r="L65" t="str">
        <v>June</v>
      </c>
      <c r="X65">
        <v>1</v>
      </c>
    </row>
    <row r="66" spans="1:24" x14ac:dyDescent="0.2">
      <c r="A66" t="str">
        <v>Rocio Bernal</v>
      </c>
      <c r="B66">
        <v>46196</v>
      </c>
      <c r="C66" t="str">
        <v>Samuel Sierra</v>
      </c>
      <c r="D66" t="str">
        <v>Harvest</v>
      </c>
      <c r="E66" t="str">
        <v>109</v>
      </c>
      <c r="F66" t="str">
        <v>Tripe Pack Off</v>
      </c>
      <c r="G66" t="str">
        <v>Rash</v>
      </c>
      <c r="H66" t="str">
        <v>LT - Wrist</v>
      </c>
      <c r="I66" t="str">
        <v>FA</v>
      </c>
      <c r="J66" t="str">
        <v>No</v>
      </c>
      <c r="K66">
        <v>2026</v>
      </c>
      <c r="L66" t="str">
        <v>June</v>
      </c>
      <c r="X66">
        <v>1</v>
      </c>
    </row>
    <row r="67" spans="1:24" x14ac:dyDescent="0.2">
      <c r="A67" t="str">
        <v>Celso Avendano</v>
      </c>
      <c r="B67">
        <v>46195</v>
      </c>
      <c r="C67" t="str">
        <v>Ovidio Sanchez</v>
      </c>
      <c r="D67" t="str">
        <v>Fabrication</v>
      </c>
      <c r="E67" t="str">
        <v>400</v>
      </c>
      <c r="F67" t="str">
        <v>Circular Saw</v>
      </c>
      <c r="G67" t="str">
        <v>Struck by - against object</v>
      </c>
      <c r="H67" t="str">
        <v xml:space="preserve">RT - Forearm   </v>
      </c>
      <c r="I67" t="str">
        <v>FA</v>
      </c>
      <c r="J67" t="str">
        <v>No</v>
      </c>
      <c r="K67">
        <v>2026</v>
      </c>
      <c r="L67" t="str">
        <v>June</v>
      </c>
      <c r="X67">
        <v>1</v>
      </c>
    </row>
    <row r="68" spans="1:24" x14ac:dyDescent="0.2">
      <c r="A68" t="str">
        <v>Luis Llamas</v>
      </c>
      <c r="B68">
        <v>46195</v>
      </c>
      <c r="C68" t="str">
        <v>Erwin Vega</v>
      </c>
      <c r="D68" t="str">
        <v>Fabrication</v>
      </c>
      <c r="E68" t="str">
        <v>124</v>
      </c>
      <c r="F68" t="str">
        <v>Cooler Clean Up</v>
      </c>
      <c r="G68" t="str">
        <v>Strain</v>
      </c>
      <c r="H68" t="str">
        <v>Bilateral - Lower Back</v>
      </c>
      <c r="I68" t="str">
        <v>FA</v>
      </c>
      <c r="J68" t="str">
        <v>No</v>
      </c>
      <c r="K68">
        <v>2026</v>
      </c>
      <c r="L68" t="str">
        <v>June</v>
      </c>
      <c r="X68">
        <v>1</v>
      </c>
    </row>
    <row r="69" spans="1:24" x14ac:dyDescent="0.2">
      <c r="A69" t="str">
        <v>Angel Campas</v>
      </c>
      <c r="B69">
        <v>46195</v>
      </c>
      <c r="C69" t="str">
        <v>Michael Orozco</v>
      </c>
      <c r="D69" t="str">
        <v>Harvest</v>
      </c>
      <c r="E69" t="str">
        <v>104</v>
      </c>
      <c r="F69" t="str">
        <v>Tongue Dropper</v>
      </c>
      <c r="G69" t="str">
        <v>Contact Stess</v>
      </c>
      <c r="H69" t="str">
        <v>Bilateral - Pinky Fingers</v>
      </c>
      <c r="I69" t="str">
        <v>FA</v>
      </c>
      <c r="J69" t="str">
        <v>No</v>
      </c>
      <c r="K69">
        <v>2026</v>
      </c>
      <c r="L69" t="str">
        <v>June</v>
      </c>
      <c r="X69">
        <v>1</v>
      </c>
    </row>
    <row r="70" spans="1:24" x14ac:dyDescent="0.2">
      <c r="A70" t="str">
        <v>Rocio Bernal</v>
      </c>
      <c r="B70">
        <v>46195</v>
      </c>
      <c r="C70" t="str">
        <v>Samuel Sierra</v>
      </c>
      <c r="D70" t="str">
        <v>Harvest</v>
      </c>
      <c r="E70" t="str">
        <v>109</v>
      </c>
      <c r="F70" t="str">
        <v>Tripe Pack Off</v>
      </c>
      <c r="G70" t="str">
        <v>Strain</v>
      </c>
      <c r="H70" t="str">
        <v>LT - Wrist</v>
      </c>
      <c r="I70" t="str">
        <v>FA</v>
      </c>
      <c r="J70" t="str">
        <v>No</v>
      </c>
      <c r="K70">
        <v>2026</v>
      </c>
      <c r="L70" t="str">
        <v>June</v>
      </c>
      <c r="X70">
        <v>1</v>
      </c>
    </row>
    <row r="71" spans="1:24" x14ac:dyDescent="0.2">
      <c r="A71" t="str">
        <v>Juan Rodriguez</v>
      </c>
      <c r="B71">
        <v>46192</v>
      </c>
      <c r="C71" t="str">
        <v>Juan Rodriguez</v>
      </c>
      <c r="D71" t="str">
        <v>Fabrication</v>
      </c>
      <c r="E71" t="str">
        <v>415</v>
      </c>
      <c r="F71" t="str">
        <v>Chuck Roller</v>
      </c>
      <c r="G71" t="str">
        <v>Strain</v>
      </c>
      <c r="H71" t="str">
        <v xml:space="preserve">LT - Shoulder Blade  </v>
      </c>
      <c r="I71" t="str">
        <v>FA</v>
      </c>
      <c r="J71" t="str">
        <v>No</v>
      </c>
      <c r="K71">
        <v>2026</v>
      </c>
      <c r="L71" t="str">
        <v>June</v>
      </c>
      <c r="X71">
        <v>1</v>
      </c>
    </row>
    <row r="72" spans="1:24" x14ac:dyDescent="0.2">
      <c r="A72" t="str">
        <v>Esmeralda Avalos Vazquez</v>
      </c>
      <c r="B72">
        <v>46192</v>
      </c>
      <c r="C72" t="str">
        <v>Rutilio Rodriguez</v>
      </c>
      <c r="D72" t="str">
        <v>Harvest</v>
      </c>
      <c r="E72" t="str">
        <v>106</v>
      </c>
      <c r="F72" t="str">
        <v>Spinal Cord Remover</v>
      </c>
      <c r="G72" t="str">
        <v xml:space="preserve">Strain </v>
      </c>
      <c r="H72" t="str">
        <v>RT - Hand</v>
      </c>
      <c r="I72" t="str">
        <v>FA</v>
      </c>
      <c r="J72" t="str">
        <v>No</v>
      </c>
      <c r="K72">
        <v>2026</v>
      </c>
      <c r="L72" t="str">
        <v>June</v>
      </c>
      <c r="X72">
        <v>1</v>
      </c>
    </row>
    <row r="73" spans="1:24" x14ac:dyDescent="0.2">
      <c r="A73" t="str">
        <v>Justin Briggs</v>
      </c>
      <c r="B73">
        <v>46192</v>
      </c>
      <c r="C73" t="str">
        <v>Richard Xiong</v>
      </c>
      <c r="D73" t="str">
        <v>Harvest</v>
      </c>
      <c r="E73" t="str">
        <v>101</v>
      </c>
      <c r="F73" t="str">
        <v>Lowrator</v>
      </c>
      <c r="G73" t="str">
        <v>Strain</v>
      </c>
      <c r="H73" t="str">
        <v>RT - Chest &amp; Shoulder</v>
      </c>
      <c r="I73" t="str">
        <v>FA</v>
      </c>
      <c r="J73" t="str">
        <v>No</v>
      </c>
      <c r="K73">
        <v>2026</v>
      </c>
      <c r="L73" t="str">
        <v>June</v>
      </c>
      <c r="X73">
        <v>1</v>
      </c>
    </row>
    <row r="74" spans="1:24" x14ac:dyDescent="0.2">
      <c r="A74" t="str">
        <v>Jose Rivas</v>
      </c>
      <c r="B74">
        <v>46192</v>
      </c>
      <c r="C74" t="str">
        <v>Osbaldo Gutierrez</v>
      </c>
      <c r="D74" t="str">
        <v>Maintenance</v>
      </c>
      <c r="E74" t="str">
        <v>Maintenance</v>
      </c>
      <c r="F74" t="str">
        <v xml:space="preserve">Maintenance </v>
      </c>
      <c r="G74" t="str">
        <v>Strain</v>
      </c>
      <c r="H74" t="str">
        <v>Lower Back</v>
      </c>
      <c r="I74" t="str">
        <v>FA</v>
      </c>
      <c r="J74" t="str">
        <v>No</v>
      </c>
      <c r="K74">
        <v>2026</v>
      </c>
      <c r="L74" t="str">
        <v>June</v>
      </c>
      <c r="X74">
        <v>1</v>
      </c>
    </row>
    <row r="75" spans="1:24" x14ac:dyDescent="0.2">
      <c r="A75" t="str">
        <v>Jorge Maldonado</v>
      </c>
      <c r="B75">
        <v>46191</v>
      </c>
      <c r="C75" t="str">
        <v>Diego Soria</v>
      </c>
      <c r="D75" t="str">
        <v>Fabrication</v>
      </c>
      <c r="E75" t="str">
        <v>405</v>
      </c>
      <c r="F75" t="str">
        <v>Plate Boner</v>
      </c>
      <c r="G75" t="str">
        <v>Sprain</v>
      </c>
      <c r="H75" t="str">
        <v>RT - Thumb</v>
      </c>
      <c r="I75" t="str">
        <v>RECORDABLE</v>
      </c>
      <c r="J75" t="str">
        <v>Yes</v>
      </c>
      <c r="K75">
        <v>2026</v>
      </c>
      <c r="L75" t="str">
        <v>June</v>
      </c>
      <c r="X75">
        <v>1</v>
      </c>
    </row>
    <row r="76" spans="1:24" x14ac:dyDescent="0.2">
      <c r="A76" t="str">
        <v>Tomasa Quinonez</v>
      </c>
      <c r="B76">
        <v>46189</v>
      </c>
      <c r="C76" t="str">
        <v>Elizabeth Neufeld</v>
      </c>
      <c r="D76" t="str">
        <v>Fabrication</v>
      </c>
      <c r="E76" t="str">
        <v>420</v>
      </c>
      <c r="F76" t="str">
        <v>Flap Meat Trimmer</v>
      </c>
      <c r="G76" t="str">
        <v>Pinch Point - Caught In</v>
      </c>
      <c r="H76" t="str">
        <v>LT - Index Finger</v>
      </c>
      <c r="I76" t="str">
        <v>FA</v>
      </c>
      <c r="J76" t="str">
        <v>No</v>
      </c>
      <c r="K76">
        <v>2026</v>
      </c>
      <c r="L76" t="str">
        <v>June</v>
      </c>
      <c r="X76">
        <v>1</v>
      </c>
    </row>
    <row r="77" spans="1:24" x14ac:dyDescent="0.2">
      <c r="A77" t="str">
        <v xml:space="preserve">Miguel Sandoval </v>
      </c>
      <c r="B77">
        <v>46189</v>
      </c>
      <c r="C77" t="str">
        <v>Rutilio Rodriguez</v>
      </c>
      <c r="D77" t="str">
        <v>Harvest</v>
      </c>
      <c r="E77" t="str">
        <v>106</v>
      </c>
      <c r="F77" t="str">
        <v>Deffect Trimmer (Inner)</v>
      </c>
      <c r="G77" t="str">
        <v>Puncture</v>
      </c>
      <c r="H77" t="str">
        <v>RT - Forearm</v>
      </c>
      <c r="I77" t="str">
        <v>FA</v>
      </c>
      <c r="J77" t="str">
        <v>No</v>
      </c>
      <c r="K77">
        <v>2026</v>
      </c>
      <c r="L77" t="str">
        <v>June</v>
      </c>
      <c r="X77">
        <v>1</v>
      </c>
    </row>
    <row r="78" spans="1:24" x14ac:dyDescent="0.2">
      <c r="A78" t="str">
        <v>Balwinder Kaur</v>
      </c>
      <c r="B78">
        <v>46189</v>
      </c>
      <c r="C78" t="str">
        <v>Samuel Sierra</v>
      </c>
      <c r="D78" t="str">
        <v>Harvest</v>
      </c>
      <c r="E78" t="str">
        <v>109</v>
      </c>
      <c r="F78" t="str">
        <v>NA</v>
      </c>
      <c r="G78" t="str">
        <v>Slip, Trip, &amp; Fall</v>
      </c>
      <c r="H78" t="str">
        <v>RT - Knee</v>
      </c>
      <c r="I78" t="str">
        <v>RPO</v>
      </c>
      <c r="J78" t="str">
        <v>No</v>
      </c>
      <c r="K78">
        <v>2026</v>
      </c>
      <c r="L78" t="str">
        <v>June</v>
      </c>
      <c r="X78">
        <v>1</v>
      </c>
    </row>
    <row r="79" spans="1:24" x14ac:dyDescent="0.2">
      <c r="A79" t="str">
        <v>Frank Padilla</v>
      </c>
      <c r="B79">
        <v>46188</v>
      </c>
      <c r="C79" t="str">
        <v>Ovidio Sanchez</v>
      </c>
      <c r="D79" t="str">
        <v>Fabrication</v>
      </c>
      <c r="E79" t="str">
        <v>400</v>
      </c>
      <c r="F79" t="str">
        <v>Brisket Boner</v>
      </c>
      <c r="G79" t="str">
        <v>Strain</v>
      </c>
      <c r="H79" t="str">
        <v>RT - Wrist</v>
      </c>
      <c r="I79" t="str">
        <v>FA</v>
      </c>
      <c r="J79" t="str">
        <v>No</v>
      </c>
      <c r="K79">
        <v>2026</v>
      </c>
      <c r="L79" t="str">
        <v>June</v>
      </c>
      <c r="X79">
        <v>1</v>
      </c>
    </row>
    <row r="80" spans="1:24" x14ac:dyDescent="0.2">
      <c r="A80" t="str">
        <v>Armando Gonzalez</v>
      </c>
      <c r="B80">
        <v>46188</v>
      </c>
      <c r="C80" t="str">
        <v>Mary Coffee</v>
      </c>
      <c r="D80" t="str">
        <v>Fabrication</v>
      </c>
      <c r="E80" t="str">
        <v>415</v>
      </c>
      <c r="F80" t="str">
        <v xml:space="preserve">Chuck Boner </v>
      </c>
      <c r="G80" t="str">
        <v>Puncture</v>
      </c>
      <c r="H80" t="str">
        <v>RT - Hand</v>
      </c>
      <c r="I80" t="str">
        <v>FA</v>
      </c>
      <c r="J80" t="str">
        <v>No</v>
      </c>
      <c r="K80">
        <v>2026</v>
      </c>
      <c r="L80" t="str">
        <v>June</v>
      </c>
      <c r="X80">
        <v>1</v>
      </c>
    </row>
    <row r="81" spans="1:24" x14ac:dyDescent="0.2">
      <c r="A81" t="str">
        <v>Marly Delgado</v>
      </c>
      <c r="B81">
        <v>46185</v>
      </c>
      <c r="C81" t="str">
        <v>Ovidio Sanchez</v>
      </c>
      <c r="D81" t="str">
        <v>Fabrication</v>
      </c>
      <c r="E81" t="str">
        <v>400</v>
      </c>
      <c r="F81" t="str">
        <v xml:space="preserve">Whizzard Knife Op. </v>
      </c>
      <c r="G81" t="str">
        <v>Strain</v>
      </c>
      <c r="H81" t="str">
        <v>RT - Shoulder Blade &amp; Mid Back (center)</v>
      </c>
      <c r="I81" t="str">
        <v>FA</v>
      </c>
      <c r="J81" t="str">
        <v>No</v>
      </c>
      <c r="K81">
        <v>2026</v>
      </c>
      <c r="L81" t="str">
        <v>June</v>
      </c>
      <c r="X81">
        <v>1</v>
      </c>
    </row>
    <row r="82" spans="1:24" x14ac:dyDescent="0.2">
      <c r="A82" t="str">
        <v>Abraham Gonzales</v>
      </c>
      <c r="B82">
        <v>46185</v>
      </c>
      <c r="C82" t="str">
        <v>Richard Xiong</v>
      </c>
      <c r="D82" t="str">
        <v>Harvest</v>
      </c>
      <c r="E82" t="str">
        <v>101</v>
      </c>
      <c r="F82" t="str">
        <v>Udder Remover</v>
      </c>
      <c r="G82" t="str">
        <v>Strain</v>
      </c>
      <c r="H82" t="str">
        <v>RT - Wrist</v>
      </c>
      <c r="I82" t="str">
        <v>FA</v>
      </c>
      <c r="J82" t="str">
        <v>No</v>
      </c>
      <c r="K82">
        <v>2026</v>
      </c>
      <c r="L82" t="str">
        <v>June</v>
      </c>
      <c r="X82">
        <v>1</v>
      </c>
    </row>
    <row r="83" spans="1:24" x14ac:dyDescent="0.2">
      <c r="A83" t="str">
        <v>Jose Lopez</v>
      </c>
      <c r="B83">
        <v>46185</v>
      </c>
      <c r="C83" t="str">
        <v>Richard Xiong</v>
      </c>
      <c r="D83" t="str">
        <v>Harvest</v>
      </c>
      <c r="E83" t="str">
        <v>101</v>
      </c>
      <c r="F83" t="str">
        <v>Udder Remover</v>
      </c>
      <c r="G83" t="str">
        <v>Strain</v>
      </c>
      <c r="H83" t="str">
        <v>Lower Back</v>
      </c>
      <c r="I83" t="str">
        <v>FA</v>
      </c>
      <c r="J83" t="str">
        <v>No</v>
      </c>
      <c r="K83">
        <v>2026</v>
      </c>
      <c r="L83" t="str">
        <v>June</v>
      </c>
      <c r="X83">
        <v>1</v>
      </c>
    </row>
    <row r="84" spans="1:24" x14ac:dyDescent="0.2">
      <c r="A84" t="str">
        <v>Ricardo Lopez</v>
      </c>
      <c r="B84">
        <v>46184</v>
      </c>
      <c r="C84" t="str">
        <v>Alex Vargas</v>
      </c>
      <c r="D84" t="str">
        <v>Harvest</v>
      </c>
      <c r="E84" t="str">
        <v>102</v>
      </c>
      <c r="F84" t="str">
        <v>Eartagger</v>
      </c>
      <c r="G84" t="str">
        <v>Strain</v>
      </c>
      <c r="H84" t="str">
        <v>RT - Shoulder</v>
      </c>
      <c r="I84" t="str">
        <v>FA</v>
      </c>
      <c r="J84" t="str">
        <v>No</v>
      </c>
      <c r="K84">
        <v>2026</v>
      </c>
      <c r="L84" t="str">
        <v>June</v>
      </c>
      <c r="X84">
        <v>1</v>
      </c>
    </row>
    <row r="85" spans="1:24" x14ac:dyDescent="0.2">
      <c r="A85" t="str">
        <v>Justin Briggs</v>
      </c>
      <c r="B85">
        <v>46183</v>
      </c>
      <c r="C85" t="str">
        <v>Richard Xiong</v>
      </c>
      <c r="D85" t="str">
        <v>Harvest</v>
      </c>
      <c r="E85" t="str">
        <v>101</v>
      </c>
      <c r="F85" t="str">
        <v>Lowrator</v>
      </c>
      <c r="G85" t="str">
        <v>Strain</v>
      </c>
      <c r="H85" t="str">
        <v xml:space="preserve">LT - Shoulder &amp; Shoulder Blade. </v>
      </c>
      <c r="I85" t="str">
        <v>FA</v>
      </c>
      <c r="J85" t="str">
        <v>No</v>
      </c>
      <c r="K85">
        <v>2026</v>
      </c>
      <c r="L85" t="str">
        <v>June</v>
      </c>
      <c r="X85">
        <v>1</v>
      </c>
    </row>
    <row r="86" spans="1:24" x14ac:dyDescent="0.2">
      <c r="A86" t="str">
        <v>Jesus Bustos</v>
      </c>
      <c r="B86">
        <v>46183</v>
      </c>
      <c r="C86" t="str">
        <v>Juan Ramirez</v>
      </c>
      <c r="D86" t="str">
        <v>Fabrication</v>
      </c>
      <c r="E86" t="str">
        <v>410</v>
      </c>
      <c r="F86" t="str">
        <v>Tender Puller</v>
      </c>
      <c r="G86" t="str">
        <v>Strain</v>
      </c>
      <c r="H86" t="str">
        <v>LT - Forearm</v>
      </c>
      <c r="I86" t="str">
        <v>FA</v>
      </c>
      <c r="J86" t="str">
        <v>No</v>
      </c>
      <c r="K86">
        <v>2026</v>
      </c>
      <c r="L86" t="str">
        <v>June</v>
      </c>
      <c r="X86">
        <v>1</v>
      </c>
    </row>
    <row r="87" spans="1:24" x14ac:dyDescent="0.2">
      <c r="A87" t="str">
        <v>Eduardo Contreras</v>
      </c>
      <c r="B87">
        <v>46183</v>
      </c>
      <c r="C87" t="str">
        <v>Alex Vargas</v>
      </c>
      <c r="D87" t="str">
        <v>Harvest</v>
      </c>
      <c r="E87" t="str">
        <v>102</v>
      </c>
      <c r="F87" t="str">
        <v>Wax Papper Remover</v>
      </c>
      <c r="G87" t="str">
        <v>Rash</v>
      </c>
      <c r="H87" t="str">
        <v>LT - Wrist, Back of Neck, &amp; Nose</v>
      </c>
      <c r="I87" t="str">
        <v>FA</v>
      </c>
      <c r="J87" t="str">
        <v>No</v>
      </c>
      <c r="K87">
        <v>2026</v>
      </c>
      <c r="L87" t="str">
        <v>June</v>
      </c>
      <c r="X87">
        <v>1</v>
      </c>
    </row>
    <row r="88" spans="1:24" x14ac:dyDescent="0.2">
      <c r="A88" t="str">
        <v>Rosalba Aseguero</v>
      </c>
      <c r="B88">
        <v>46182</v>
      </c>
      <c r="C88" t="str">
        <v>Alex Vargas</v>
      </c>
      <c r="D88" t="str">
        <v>Harvest</v>
      </c>
      <c r="E88" t="str">
        <v>102</v>
      </c>
      <c r="F88" t="str">
        <v>2nd Hock Cutter</v>
      </c>
      <c r="G88" t="str">
        <v>Burn</v>
      </c>
      <c r="H88" t="str">
        <v>RT - Forearm &amp; Bilateral Facial (L &amp; R)</v>
      </c>
      <c r="I88" t="str">
        <v>FA</v>
      </c>
      <c r="J88" t="str">
        <v>No</v>
      </c>
      <c r="K88">
        <v>2026</v>
      </c>
      <c r="L88" t="str">
        <v>June</v>
      </c>
      <c r="X88">
        <v>1</v>
      </c>
    </row>
    <row r="89" spans="1:24" x14ac:dyDescent="0.2">
      <c r="A89" t="str">
        <v>Luis Perez</v>
      </c>
      <c r="B89">
        <v>46182</v>
      </c>
      <c r="C89" t="str">
        <v>Richard Xiong</v>
      </c>
      <c r="D89" t="str">
        <v>Harvest</v>
      </c>
      <c r="E89" t="str">
        <v>101</v>
      </c>
      <c r="F89" t="str">
        <v>1st Gutter</v>
      </c>
      <c r="G89" t="str">
        <v>Strain</v>
      </c>
      <c r="H89" t="str">
        <v>Lower Back</v>
      </c>
      <c r="I89" t="str">
        <v>FA</v>
      </c>
      <c r="J89" t="str">
        <v>No</v>
      </c>
      <c r="K89">
        <v>2026</v>
      </c>
      <c r="L89" t="str">
        <v>June</v>
      </c>
      <c r="X89">
        <v>1</v>
      </c>
    </row>
    <row r="90" spans="1:24" x14ac:dyDescent="0.2">
      <c r="A90" t="str">
        <v>Brian Camacho</v>
      </c>
      <c r="B90">
        <v>46181</v>
      </c>
      <c r="C90" t="str">
        <v>Clara Salazar</v>
      </c>
      <c r="D90" t="str">
        <v>Outside Clean Up</v>
      </c>
      <c r="E90" t="str">
        <v>Outside Clean Up</v>
      </c>
      <c r="F90" t="str">
        <v>Outside Clean Up</v>
      </c>
      <c r="G90" t="str">
        <v>Slip, Trip, &amp; Fall</v>
      </c>
      <c r="H90" t="str">
        <v>RT - Lower Back &amp; Pinky</v>
      </c>
      <c r="I90" t="str">
        <v>RECORDABLE</v>
      </c>
      <c r="J90" t="str">
        <v>Yes</v>
      </c>
      <c r="K90">
        <v>2026</v>
      </c>
      <c r="L90" t="str">
        <v>June</v>
      </c>
      <c r="X90">
        <v>1</v>
      </c>
    </row>
    <row r="91" spans="1:24" x14ac:dyDescent="0.2">
      <c r="A91" t="str">
        <v>Jesse De La Torre</v>
      </c>
      <c r="B91">
        <v>46181</v>
      </c>
      <c r="C91" t="str">
        <v>Diego Soria</v>
      </c>
      <c r="D91" t="str">
        <v>Fabrication</v>
      </c>
      <c r="E91" t="str">
        <v>405</v>
      </c>
      <c r="F91" t="str">
        <v xml:space="preserve">Chine Saw </v>
      </c>
      <c r="G91" t="str">
        <v>Contact Stess</v>
      </c>
      <c r="H91" t="str">
        <v>LT - Middle, Ring, &amp; Pinky Finger &amp; RT - Ring Finger</v>
      </c>
      <c r="I91" t="str">
        <v>FA</v>
      </c>
      <c r="J91" t="str">
        <v>No</v>
      </c>
      <c r="K91">
        <v>2026</v>
      </c>
      <c r="L91" t="str">
        <v>June</v>
      </c>
      <c r="X91">
        <v>1</v>
      </c>
    </row>
    <row r="92" spans="1:24" x14ac:dyDescent="0.2">
      <c r="A92" t="str">
        <v>Luis Flores</v>
      </c>
      <c r="B92">
        <v>46178</v>
      </c>
      <c r="C92" t="str">
        <v>Juan Ramirez</v>
      </c>
      <c r="D92" t="str">
        <v>Fabrication</v>
      </c>
      <c r="E92" t="str">
        <v>410</v>
      </c>
      <c r="F92" t="str">
        <v>Saw Helper</v>
      </c>
      <c r="G92" t="str">
        <v>Puncture</v>
      </c>
      <c r="H92" t="str">
        <v>LT - Palm</v>
      </c>
      <c r="I92" t="str">
        <v>FA</v>
      </c>
      <c r="J92" t="str">
        <v>No</v>
      </c>
      <c r="K92">
        <v>2026</v>
      </c>
      <c r="L92" t="str">
        <v>June</v>
      </c>
      <c r="X92">
        <v>1</v>
      </c>
    </row>
    <row r="93" spans="1:24" x14ac:dyDescent="0.2">
      <c r="A93" t="str">
        <v>Manpreet Singh</v>
      </c>
      <c r="B93">
        <v>46177</v>
      </c>
      <c r="C93" t="str">
        <v>Ovidio Sanchez</v>
      </c>
      <c r="D93" t="str">
        <v>Fabrication</v>
      </c>
      <c r="E93" t="str">
        <v>400</v>
      </c>
      <c r="F93" t="str">
        <v>Wing Dropper</v>
      </c>
      <c r="G93" t="str">
        <v>Strain</v>
      </c>
      <c r="H93" t="str">
        <v>RT - Shoulder</v>
      </c>
      <c r="I93" t="str">
        <v>FA</v>
      </c>
      <c r="J93" t="str">
        <v>No</v>
      </c>
      <c r="K93">
        <v>2026</v>
      </c>
      <c r="L93" t="str">
        <v>June</v>
      </c>
      <c r="X93">
        <v>1</v>
      </c>
    </row>
    <row r="94" spans="1:24" x14ac:dyDescent="0.2">
      <c r="A94" t="str">
        <v>Ismael Martinez</v>
      </c>
      <c r="B94">
        <v>46177</v>
      </c>
      <c r="C94" t="str">
        <v>Chadu Moua</v>
      </c>
      <c r="D94" t="str">
        <v>Fabrication</v>
      </c>
      <c r="E94" t="str">
        <v>429</v>
      </c>
      <c r="F94" t="str">
        <v xml:space="preserve">X-Ray Op. </v>
      </c>
      <c r="G94" t="str">
        <v xml:space="preserve">Crush Injury </v>
      </c>
      <c r="H94" t="str">
        <v>LT - Ring Finger</v>
      </c>
      <c r="I94" t="str">
        <v>FA</v>
      </c>
      <c r="J94" t="str">
        <v>No</v>
      </c>
      <c r="K94">
        <v>2026</v>
      </c>
      <c r="L94" t="str">
        <v>June</v>
      </c>
      <c r="X94">
        <v>1</v>
      </c>
    </row>
    <row r="95" spans="1:24" x14ac:dyDescent="0.2">
      <c r="A95" t="str">
        <v>Sandra Arrendondo</v>
      </c>
      <c r="B95">
        <v>46176</v>
      </c>
      <c r="C95" t="str">
        <v>Ovidio Sanchez</v>
      </c>
      <c r="D95" t="str">
        <v>Fabrication</v>
      </c>
      <c r="E95" t="str">
        <v>400</v>
      </c>
      <c r="F95" t="str">
        <v>Fajitas</v>
      </c>
      <c r="G95" t="str">
        <v>Slip, Trip, &amp; Fall</v>
      </c>
      <c r="H95" t="str">
        <v>LT - Knee, Hip, Elbow</v>
      </c>
      <c r="I95" t="str">
        <v>FA</v>
      </c>
      <c r="J95" t="str">
        <v>No</v>
      </c>
      <c r="K95">
        <v>2026</v>
      </c>
      <c r="L95" t="str">
        <v>June</v>
      </c>
      <c r="X95">
        <v>1</v>
      </c>
    </row>
    <row r="96" spans="1:24" x14ac:dyDescent="0.2">
      <c r="A96" t="str">
        <v>Juan Espinoza</v>
      </c>
      <c r="B96">
        <v>46176</v>
      </c>
      <c r="C96" t="str">
        <v>Richard Xiong</v>
      </c>
      <c r="D96" t="str">
        <v>Harvest</v>
      </c>
      <c r="E96" t="str">
        <v>101</v>
      </c>
      <c r="F96" t="str">
        <v>2nd Hang Off</v>
      </c>
      <c r="G96" t="str">
        <v>Burn</v>
      </c>
      <c r="H96" t="str">
        <v>RT - Pinky</v>
      </c>
      <c r="I96" t="str">
        <v>FA</v>
      </c>
      <c r="J96" t="str">
        <v>No</v>
      </c>
      <c r="K96">
        <v>2026</v>
      </c>
      <c r="L96" t="str">
        <v>June</v>
      </c>
      <c r="X96">
        <v>1</v>
      </c>
    </row>
    <row r="97" spans="1:24" x14ac:dyDescent="0.2">
      <c r="A97" t="str">
        <v>Salvador Gutierez</v>
      </c>
      <c r="B97">
        <v>46175</v>
      </c>
      <c r="C97" t="str">
        <v>Francisco Tapia</v>
      </c>
      <c r="D97" t="str">
        <v>Loading Dock</v>
      </c>
      <c r="E97" t="str">
        <v>Loading Dock</v>
      </c>
      <c r="F97" t="str">
        <v>Forklift Op</v>
      </c>
      <c r="G97" t="str">
        <v>Slip, Trip, &amp; Fall</v>
      </c>
      <c r="H97" t="str">
        <v xml:space="preserve">LT - Shoulder, Hip, &amp; Cheek. </v>
      </c>
      <c r="I97" t="str">
        <v>FA</v>
      </c>
      <c r="J97" t="str">
        <v>No</v>
      </c>
      <c r="K97">
        <v>2026</v>
      </c>
      <c r="L97" t="str">
        <v>June</v>
      </c>
      <c r="X97">
        <v>1</v>
      </c>
    </row>
    <row r="98" spans="1:24" x14ac:dyDescent="0.2">
      <c r="A98" t="str">
        <v>Alejandro Pantoja</v>
      </c>
      <c r="B98">
        <v>46175</v>
      </c>
      <c r="C98" t="str">
        <v>Michael Orozco</v>
      </c>
      <c r="D98" t="str">
        <v>Harvest</v>
      </c>
      <c r="E98" t="str">
        <v>105</v>
      </c>
      <c r="F98" t="str">
        <v>Hang Heart &amp; Liver</v>
      </c>
      <c r="G98" t="str">
        <v>Puncture</v>
      </c>
      <c r="H98" t="str">
        <v>RT - Middle Finger</v>
      </c>
      <c r="I98" t="str">
        <v>FA</v>
      </c>
      <c r="J98" t="str">
        <v>No</v>
      </c>
      <c r="K98">
        <v>2026</v>
      </c>
      <c r="L98" t="str">
        <v>June</v>
      </c>
      <c r="X98">
        <v>1</v>
      </c>
    </row>
    <row r="99" spans="1:24" x14ac:dyDescent="0.2">
      <c r="A99" t="str">
        <v>Oshmar Hernandez</v>
      </c>
      <c r="B99">
        <v>46175</v>
      </c>
      <c r="C99" t="str">
        <v>Michael Orozco</v>
      </c>
      <c r="D99" t="str">
        <v>Harvest</v>
      </c>
      <c r="E99" t="str">
        <v>105</v>
      </c>
      <c r="F99" t="str">
        <v>NA</v>
      </c>
      <c r="G99" t="str">
        <v>Rash</v>
      </c>
      <c r="H99" t="str">
        <v>LT - Middle &amp; Ring Finger</v>
      </c>
      <c r="I99" t="str">
        <v>RPO</v>
      </c>
      <c r="J99" t="str">
        <v>No</v>
      </c>
      <c r="K99">
        <v>2026</v>
      </c>
      <c r="L99" t="str">
        <v>June</v>
      </c>
      <c r="X99">
        <v>1</v>
      </c>
    </row>
    <row r="100" spans="1:24" x14ac:dyDescent="0.2">
      <c r="A100" t="str">
        <v>Eduardo Contreras</v>
      </c>
      <c r="B100">
        <v>46174</v>
      </c>
      <c r="C100" t="str">
        <v>Alex Vargas</v>
      </c>
      <c r="D100" t="str">
        <v>Harvest</v>
      </c>
      <c r="E100" t="str">
        <v>102</v>
      </c>
      <c r="F100" t="str">
        <v>Wax Papper Remover</v>
      </c>
      <c r="G100" t="str">
        <v>Slip, Trip, &amp; Fall</v>
      </c>
      <c r="H100" t="str">
        <v>Butt &amp; Lower Back (All)</v>
      </c>
      <c r="I100" t="str">
        <v>RPO</v>
      </c>
      <c r="J100" t="str">
        <v>No</v>
      </c>
      <c r="K100">
        <v>2026</v>
      </c>
      <c r="L100" t="str">
        <v>June</v>
      </c>
      <c r="X100">
        <v>1</v>
      </c>
    </row>
    <row r="101" spans="1:24" x14ac:dyDescent="0.2">
      <c r="A101" t="str">
        <v>Baljit Kaur</v>
      </c>
      <c r="B101">
        <v>46171</v>
      </c>
      <c r="C101" t="str">
        <v>Elizabeth Neufeld</v>
      </c>
      <c r="D101" t="str">
        <v>Fabrication</v>
      </c>
      <c r="E101" t="str">
        <v>420</v>
      </c>
      <c r="F101" t="str">
        <v>Trimmer - Upgrade</v>
      </c>
      <c r="G101" t="str">
        <v>Slip, Trip, &amp; Fall</v>
      </c>
      <c r="H101" t="str">
        <v>RT - Knee &amp; Elbow</v>
      </c>
      <c r="I101" t="str">
        <v>FA</v>
      </c>
      <c r="J101" t="str">
        <v>No</v>
      </c>
      <c r="K101">
        <v>2026</v>
      </c>
      <c r="L101" t="str">
        <v>May</v>
      </c>
      <c r="X101">
        <v>1</v>
      </c>
    </row>
    <row r="102" spans="1:24" x14ac:dyDescent="0.2">
      <c r="A102" t="str">
        <v>Paul Estrada</v>
      </c>
      <c r="B102">
        <v>46171</v>
      </c>
      <c r="C102" t="str">
        <v>Marilyn Herrera</v>
      </c>
      <c r="D102" t="str">
        <v>Corrals</v>
      </c>
      <c r="E102" t="str">
        <v>100</v>
      </c>
      <c r="F102" t="str">
        <v>Cattle Pusher</v>
      </c>
      <c r="G102" t="str">
        <v>Slip, Trip, &amp; Fall</v>
      </c>
      <c r="H102" t="str">
        <v>RT - Ankle &amp; Wrist</v>
      </c>
      <c r="I102" t="str">
        <v>FA</v>
      </c>
      <c r="J102" t="str">
        <v>No</v>
      </c>
      <c r="K102">
        <v>2026</v>
      </c>
      <c r="L102" t="str">
        <v>May</v>
      </c>
      <c r="X102">
        <v>1</v>
      </c>
    </row>
    <row r="103" spans="1:24" x14ac:dyDescent="0.2">
      <c r="A103" t="str">
        <v>Diego Prciado</v>
      </c>
      <c r="B103">
        <v>46171</v>
      </c>
      <c r="C103" t="str">
        <v>Michael Orozco</v>
      </c>
      <c r="D103" t="str">
        <v>Harvest</v>
      </c>
      <c r="E103" t="str">
        <v>105</v>
      </c>
      <c r="F103" t="str">
        <v>Gutter</v>
      </c>
      <c r="G103" t="str">
        <v>Rash</v>
      </c>
      <c r="H103" t="str">
        <v>LT - Upper Back, Mid Back, &amp; Lower Back</v>
      </c>
      <c r="I103" t="str">
        <v>FA</v>
      </c>
      <c r="J103" t="str">
        <v>No</v>
      </c>
      <c r="K103">
        <v>2026</v>
      </c>
      <c r="L103" t="str">
        <v>May</v>
      </c>
      <c r="X103">
        <v>1</v>
      </c>
    </row>
    <row r="104" spans="1:24" x14ac:dyDescent="0.2">
      <c r="A104" t="str">
        <v>Ricardo Lopez</v>
      </c>
      <c r="B104">
        <v>46171</v>
      </c>
      <c r="C104" t="str">
        <v>Alex Vargas</v>
      </c>
      <c r="D104" t="str">
        <v>Harvest</v>
      </c>
      <c r="E104" t="str">
        <v>102</v>
      </c>
      <c r="F104" t="str">
        <v>Eartagger</v>
      </c>
      <c r="G104" t="str">
        <v>Contact Stess</v>
      </c>
      <c r="H104" t="str">
        <v>RT - Foot (Toes)</v>
      </c>
      <c r="I104" t="str">
        <v>FA</v>
      </c>
      <c r="J104" t="str">
        <v>No</v>
      </c>
      <c r="K104">
        <v>2026</v>
      </c>
      <c r="L104" t="str">
        <v>May</v>
      </c>
      <c r="X104">
        <v>1</v>
      </c>
    </row>
    <row r="105" spans="1:24" x14ac:dyDescent="0.2">
      <c r="A105" t="str">
        <v>Ricardo Lopez</v>
      </c>
      <c r="B105">
        <v>46171</v>
      </c>
      <c r="C105" t="str">
        <v>Alex Vargas</v>
      </c>
      <c r="D105" t="str">
        <v>Harvest</v>
      </c>
      <c r="E105" t="str">
        <v>102</v>
      </c>
      <c r="F105" t="str">
        <v>Eartagger</v>
      </c>
      <c r="G105" t="str">
        <v>Contact Stess</v>
      </c>
      <c r="H105" t="str">
        <v>RT - Middle Finger</v>
      </c>
      <c r="I105" t="str">
        <v>FA</v>
      </c>
      <c r="J105" t="str">
        <v>No</v>
      </c>
      <c r="K105">
        <v>2026</v>
      </c>
      <c r="L105" t="str">
        <v>May</v>
      </c>
      <c r="X105">
        <v>1</v>
      </c>
    </row>
    <row r="106" spans="1:24" x14ac:dyDescent="0.2">
      <c r="A106" t="str">
        <v>Baljit Kaur</v>
      </c>
      <c r="B106">
        <v>46171</v>
      </c>
      <c r="C106" t="str">
        <v>Elizabeth Neufeld</v>
      </c>
      <c r="D106" t="str">
        <v>Fabrication</v>
      </c>
      <c r="E106" t="str">
        <v>420</v>
      </c>
      <c r="F106" t="str">
        <v>Trimmer - Upgrade</v>
      </c>
      <c r="G106" t="str">
        <v>Strain</v>
      </c>
      <c r="H106" t="str">
        <v>RT - Hand</v>
      </c>
      <c r="I106" t="str">
        <v>FA</v>
      </c>
      <c r="J106" t="str">
        <v>No</v>
      </c>
      <c r="K106">
        <v>2026</v>
      </c>
      <c r="L106" t="str">
        <v>May</v>
      </c>
      <c r="X106">
        <v>1</v>
      </c>
    </row>
    <row r="107" spans="1:24" x14ac:dyDescent="0.2">
      <c r="A107" t="str">
        <v>Daniel Verduzco</v>
      </c>
      <c r="B107">
        <v>46170</v>
      </c>
      <c r="C107" t="str">
        <v>Samuel Sierra</v>
      </c>
      <c r="D107" t="str">
        <v>Harvest</v>
      </c>
      <c r="E107" t="str">
        <v>NA</v>
      </c>
      <c r="F107" t="str">
        <v>NA</v>
      </c>
      <c r="G107" t="str">
        <v>Abrasion</v>
      </c>
      <c r="H107" t="str">
        <v>RT - Hand</v>
      </c>
      <c r="I107" t="str">
        <v>FA</v>
      </c>
      <c r="J107" t="str">
        <v>No</v>
      </c>
      <c r="K107">
        <v>2026</v>
      </c>
      <c r="L107" t="str">
        <v>May</v>
      </c>
      <c r="X107">
        <v>1</v>
      </c>
    </row>
    <row r="108" spans="1:24" x14ac:dyDescent="0.2">
      <c r="A108" t="str">
        <v>Ralph Gonzalez</v>
      </c>
      <c r="B108">
        <v>46169</v>
      </c>
      <c r="C108" t="str">
        <v>Samuel Sierra</v>
      </c>
      <c r="D108" t="str">
        <v>Harvest</v>
      </c>
      <c r="E108" t="str">
        <v>107</v>
      </c>
      <c r="F108" t="str">
        <v xml:space="preserve">Chisler </v>
      </c>
      <c r="G108" t="str">
        <v>Strain</v>
      </c>
      <c r="H108" t="str">
        <v>RT - Foot</v>
      </c>
      <c r="I108" t="str">
        <v>RPO</v>
      </c>
      <c r="J108" t="str">
        <v>No</v>
      </c>
      <c r="K108">
        <v>2026</v>
      </c>
      <c r="L108" t="str">
        <v>May</v>
      </c>
      <c r="X108">
        <v>1</v>
      </c>
    </row>
    <row r="109" spans="1:24" x14ac:dyDescent="0.2">
      <c r="A109" t="str">
        <v>Gerardo Ibarra</v>
      </c>
      <c r="B109">
        <v>46168</v>
      </c>
      <c r="C109" t="str">
        <v>Ovidio Sanchez</v>
      </c>
      <c r="D109" t="str">
        <v>Fabrication</v>
      </c>
      <c r="E109" t="str">
        <v>400</v>
      </c>
      <c r="F109" t="str">
        <v>Knuckle Puller</v>
      </c>
      <c r="G109" t="str">
        <v>Strain</v>
      </c>
      <c r="H109" t="str">
        <v>RT - Shoulder</v>
      </c>
      <c r="I109" t="str">
        <v>FA</v>
      </c>
      <c r="J109" t="str">
        <v>No</v>
      </c>
      <c r="K109">
        <v>2026</v>
      </c>
      <c r="L109" t="str">
        <v>May</v>
      </c>
      <c r="X109">
        <v>1</v>
      </c>
    </row>
    <row r="110" spans="1:24" x14ac:dyDescent="0.2">
      <c r="A110" t="str">
        <v>Michael Rocha</v>
      </c>
      <c r="B110">
        <v>46164</v>
      </c>
      <c r="C110" t="str">
        <v>Ovidio Sanchez</v>
      </c>
      <c r="D110" t="str">
        <v>Fabrication</v>
      </c>
      <c r="E110" t="str">
        <v>400</v>
      </c>
      <c r="F110" t="str">
        <v>Clod Puller</v>
      </c>
      <c r="G110" t="str">
        <v xml:space="preserve">Foreign Object </v>
      </c>
      <c r="H110" t="str">
        <v xml:space="preserve">RT - Eye </v>
      </c>
      <c r="I110" t="str">
        <v>FA</v>
      </c>
      <c r="J110" t="str">
        <v>No</v>
      </c>
      <c r="K110">
        <v>2026</v>
      </c>
      <c r="L110" t="str">
        <v>May</v>
      </c>
      <c r="X110">
        <v>1</v>
      </c>
    </row>
    <row r="111" spans="1:24" x14ac:dyDescent="0.2">
      <c r="A111" t="str">
        <v>Eduardo Peres</v>
      </c>
      <c r="B111">
        <v>46163</v>
      </c>
      <c r="C111" t="str">
        <v>Ovidio Sanchez</v>
      </c>
      <c r="D111" t="str">
        <v>Fabrication</v>
      </c>
      <c r="E111" t="str">
        <v>400</v>
      </c>
      <c r="F111" t="str">
        <v>Brisket Puller</v>
      </c>
      <c r="G111" t="str">
        <v>Slip, Trip, &amp; Fall</v>
      </c>
      <c r="H111" t="str">
        <v>NA</v>
      </c>
      <c r="I111" t="str">
        <v>RPO</v>
      </c>
      <c r="J111" t="str">
        <v>No</v>
      </c>
      <c r="K111">
        <v>2026</v>
      </c>
      <c r="L111" t="str">
        <v>May</v>
      </c>
      <c r="X111">
        <v>1</v>
      </c>
    </row>
    <row r="112" spans="1:24" x14ac:dyDescent="0.2">
      <c r="A112" t="str">
        <v>Saul Flores</v>
      </c>
      <c r="B112">
        <v>46161</v>
      </c>
      <c r="C112" t="str">
        <v>Juan Rodriguez</v>
      </c>
      <c r="D112" t="str">
        <v>Fabrication</v>
      </c>
      <c r="E112" t="str">
        <v>415</v>
      </c>
      <c r="F112" t="str">
        <v>NA</v>
      </c>
      <c r="G112" t="str">
        <v>Slip, Trip, &amp; Fall</v>
      </c>
      <c r="H112" t="str">
        <v>NA</v>
      </c>
      <c r="I112" t="str">
        <v>RPO</v>
      </c>
      <c r="J112" t="str">
        <v>No</v>
      </c>
      <c r="K112">
        <v>2026</v>
      </c>
      <c r="L112" t="str">
        <v>May</v>
      </c>
      <c r="X112">
        <v>1</v>
      </c>
    </row>
    <row r="113" spans="1:24" x14ac:dyDescent="0.2">
      <c r="A113" t="str">
        <v>Adrian Chaidez</v>
      </c>
      <c r="B113">
        <v>46156</v>
      </c>
      <c r="C113" t="str">
        <v>Juan Ramirez</v>
      </c>
      <c r="D113" t="str">
        <v>Fabrication</v>
      </c>
      <c r="E113" t="str">
        <v>410</v>
      </c>
      <c r="F113" t="str">
        <v>Round Dropper</v>
      </c>
      <c r="G113" t="str">
        <v>Strain</v>
      </c>
      <c r="H113" t="str">
        <v>RT - Shoulder</v>
      </c>
      <c r="I113" t="str">
        <v>FA</v>
      </c>
      <c r="J113" t="str">
        <v>No</v>
      </c>
      <c r="K113">
        <v>2026</v>
      </c>
      <c r="L113" t="str">
        <v>May</v>
      </c>
      <c r="X113">
        <v>1</v>
      </c>
    </row>
    <row r="114" spans="1:24" x14ac:dyDescent="0.2">
      <c r="A114" t="str">
        <v>Daniel Verduzco</v>
      </c>
      <c r="B114">
        <v>46155</v>
      </c>
      <c r="C114" t="str">
        <v>Samuel Sierra</v>
      </c>
      <c r="D114" t="str">
        <v>Harvest</v>
      </c>
      <c r="E114" t="str">
        <v>109</v>
      </c>
      <c r="F114" t="str">
        <v>Intestine Stripper</v>
      </c>
      <c r="G114" t="str">
        <v>Strain</v>
      </c>
      <c r="H114" t="str">
        <v>LT - Shoulder</v>
      </c>
      <c r="I114" t="str">
        <v>FA</v>
      </c>
      <c r="J114" t="str">
        <v>No</v>
      </c>
      <c r="K114">
        <v>2026</v>
      </c>
      <c r="L114" t="str">
        <v>May</v>
      </c>
      <c r="X114">
        <v>1</v>
      </c>
    </row>
    <row r="115" spans="1:24" x14ac:dyDescent="0.2">
      <c r="A115" t="str">
        <v>Joseph Gomez</v>
      </c>
      <c r="B115">
        <v>46155</v>
      </c>
      <c r="C115" t="str">
        <v>Richard Xiong</v>
      </c>
      <c r="D115" t="str">
        <v>Harvest</v>
      </c>
      <c r="E115" t="str">
        <v>101</v>
      </c>
      <c r="F115" t="str">
        <v>Shackler</v>
      </c>
      <c r="G115" t="str">
        <v>Struck by Against Object</v>
      </c>
      <c r="H115" t="str">
        <v>RT - Elbow</v>
      </c>
      <c r="I115" t="str">
        <v>FA</v>
      </c>
      <c r="J115" t="str">
        <v>No</v>
      </c>
      <c r="K115">
        <v>2026</v>
      </c>
      <c r="L115" t="str">
        <v>May</v>
      </c>
      <c r="X115">
        <v>1</v>
      </c>
    </row>
    <row r="116" spans="1:24" x14ac:dyDescent="0.2">
      <c r="A116" t="str">
        <v>Eden Segoviano</v>
      </c>
      <c r="B116">
        <v>46155</v>
      </c>
      <c r="C116" t="str">
        <v>Diego Soria</v>
      </c>
      <c r="D116" t="str">
        <v>Fabrication</v>
      </c>
      <c r="E116" t="str">
        <v>405</v>
      </c>
      <c r="F116" t="str">
        <v>Rib Bonner</v>
      </c>
      <c r="G116" t="str">
        <v>Puncture</v>
      </c>
      <c r="H116" t="str">
        <v>RT - Thumb</v>
      </c>
      <c r="I116" t="str">
        <v>FA</v>
      </c>
      <c r="J116" t="str">
        <v>No</v>
      </c>
      <c r="K116">
        <v>2026</v>
      </c>
      <c r="L116" t="str">
        <v>May</v>
      </c>
      <c r="X116">
        <v>1</v>
      </c>
    </row>
    <row r="117" spans="1:24" x14ac:dyDescent="0.2">
      <c r="A117" t="str">
        <v>Karina Torres</v>
      </c>
      <c r="B117">
        <v>46155</v>
      </c>
      <c r="C117" t="str">
        <v>Samuel Sierra</v>
      </c>
      <c r="D117" t="str">
        <v>Harvest</v>
      </c>
      <c r="E117" t="str">
        <v>109</v>
      </c>
      <c r="F117" t="str">
        <v>Kidney Remover</v>
      </c>
      <c r="G117" t="str">
        <v xml:space="preserve">Crush Injury </v>
      </c>
      <c r="H117" t="str">
        <v>LT - Ring Finger</v>
      </c>
      <c r="I117" t="str">
        <v>RECORDABLE</v>
      </c>
      <c r="J117" t="str">
        <v>Yes</v>
      </c>
      <c r="K117">
        <v>2026</v>
      </c>
      <c r="L117" t="str">
        <v>May</v>
      </c>
      <c r="X117">
        <v>1</v>
      </c>
    </row>
    <row r="118" spans="1:24" x14ac:dyDescent="0.2">
      <c r="A118" t="str">
        <v>Bernardo Gonzalez</v>
      </c>
      <c r="B118">
        <v>46154</v>
      </c>
      <c r="C118" t="str">
        <v>Juan Ramirez</v>
      </c>
      <c r="D118" t="str">
        <v>Fabrication</v>
      </c>
      <c r="E118" t="str">
        <v>410</v>
      </c>
      <c r="F118" t="str">
        <v>Loin Puller</v>
      </c>
      <c r="G118" t="str">
        <v>Strain</v>
      </c>
      <c r="H118" t="str">
        <v>LT - Side Chest</v>
      </c>
      <c r="I118" t="str">
        <v>FA</v>
      </c>
      <c r="J118" t="str">
        <v>No</v>
      </c>
      <c r="K118">
        <v>2026</v>
      </c>
      <c r="L118" t="str">
        <v>May</v>
      </c>
      <c r="X118">
        <v>1</v>
      </c>
    </row>
    <row r="119" spans="1:24" x14ac:dyDescent="0.2">
      <c r="A119" t="str">
        <v>Manpreet Singh</v>
      </c>
      <c r="B119">
        <v>46154</v>
      </c>
      <c r="C119" t="str">
        <v>Ovidio Sanchez</v>
      </c>
      <c r="D119" t="str">
        <v>Fabrication</v>
      </c>
      <c r="E119" t="str">
        <v>400</v>
      </c>
      <c r="F119" t="str">
        <v>Wing Dropper</v>
      </c>
      <c r="G119" t="str">
        <v>Contact Stess</v>
      </c>
      <c r="H119" t="str">
        <v>LT - Index Finger</v>
      </c>
      <c r="I119" t="str">
        <v>FA</v>
      </c>
      <c r="J119" t="str">
        <v>No</v>
      </c>
      <c r="K119">
        <v>2026</v>
      </c>
      <c r="L119" t="str">
        <v>May</v>
      </c>
      <c r="X119">
        <v>1</v>
      </c>
    </row>
    <row r="120" spans="1:24" x14ac:dyDescent="0.2">
      <c r="A120" t="str">
        <v>Manpreet Singh</v>
      </c>
      <c r="B120">
        <v>46150</v>
      </c>
      <c r="C120" t="str">
        <v>Ovidio Sanchez</v>
      </c>
      <c r="D120" t="str">
        <v>Fabrication</v>
      </c>
      <c r="E120" t="str">
        <v>400</v>
      </c>
      <c r="F120" t="str">
        <v>Wing Dropper</v>
      </c>
      <c r="G120" t="str">
        <v>Puncture</v>
      </c>
      <c r="H120" t="str">
        <v>RT - Palm</v>
      </c>
      <c r="I120" t="str">
        <v>FA</v>
      </c>
      <c r="J120" t="str">
        <v>No</v>
      </c>
      <c r="K120">
        <v>2026</v>
      </c>
      <c r="L120" t="str">
        <v>May</v>
      </c>
      <c r="X120">
        <v>1</v>
      </c>
    </row>
    <row r="121" spans="1:24" x14ac:dyDescent="0.2">
      <c r="A121" t="str">
        <v>Angel Garcia</v>
      </c>
      <c r="B121">
        <v>46150</v>
      </c>
      <c r="C121" t="str">
        <v>Christian Lopez</v>
      </c>
      <c r="D121" t="str">
        <v>Harvest</v>
      </c>
      <c r="E121" t="str">
        <v>109</v>
      </c>
      <c r="F121" t="str">
        <v>Intestine Stripper</v>
      </c>
      <c r="G121" t="str">
        <v>Burn</v>
      </c>
      <c r="H121" t="str">
        <v>RT - Wrist</v>
      </c>
      <c r="I121" t="str">
        <v>FA</v>
      </c>
      <c r="J121" t="str">
        <v>No</v>
      </c>
      <c r="K121">
        <v>2026</v>
      </c>
      <c r="L121" t="str">
        <v>May</v>
      </c>
      <c r="X121">
        <v>1</v>
      </c>
    </row>
    <row r="122" spans="1:24" x14ac:dyDescent="0.2">
      <c r="A122" t="str">
        <v>Jose R. Medina</v>
      </c>
      <c r="B122">
        <v>46149</v>
      </c>
      <c r="C122" t="str">
        <v>Kamran Tavagar</v>
      </c>
      <c r="D122" t="str">
        <v>Maintenance</v>
      </c>
      <c r="E122" t="str">
        <v>Utilities</v>
      </c>
      <c r="F122" t="str">
        <v>Electrician</v>
      </c>
      <c r="G122" t="str">
        <v>Electric Shock</v>
      </c>
      <c r="H122" t="str">
        <v>LT - Index Finger</v>
      </c>
      <c r="I122" t="str">
        <v>FA</v>
      </c>
      <c r="J122" t="str">
        <v>No</v>
      </c>
      <c r="K122">
        <v>2026</v>
      </c>
      <c r="L122" t="str">
        <v>May</v>
      </c>
      <c r="X122">
        <v>1</v>
      </c>
    </row>
    <row r="123" spans="1:24" x14ac:dyDescent="0.2">
      <c r="A123" t="str">
        <v>Gabriela Martinez</v>
      </c>
      <c r="B123">
        <v>46148</v>
      </c>
      <c r="C123" t="str">
        <v>Samuel Sierra</v>
      </c>
      <c r="D123" t="str">
        <v>Harvest</v>
      </c>
      <c r="E123" t="str">
        <v>102</v>
      </c>
      <c r="F123" t="str">
        <v>Paper Knock Hole</v>
      </c>
      <c r="G123" t="str">
        <v>Slip, Trip, &amp; Fall</v>
      </c>
      <c r="H123" t="str">
        <v>LT - Shoulder</v>
      </c>
      <c r="I123" t="str">
        <v>FA</v>
      </c>
      <c r="J123" t="str">
        <v>No</v>
      </c>
      <c r="K123">
        <v>2026</v>
      </c>
      <c r="L123" t="str">
        <v>May</v>
      </c>
      <c r="X123">
        <v>1</v>
      </c>
    </row>
    <row r="124" spans="1:24" x14ac:dyDescent="0.2">
      <c r="A124" t="str">
        <v>Angel Garcia</v>
      </c>
      <c r="B124">
        <v>46147</v>
      </c>
      <c r="C124" t="str">
        <v>Christian Lopez</v>
      </c>
      <c r="D124" t="str">
        <v>Harvest</v>
      </c>
      <c r="E124" t="str">
        <v>109</v>
      </c>
      <c r="F124" t="str">
        <v>Intestine Stripper</v>
      </c>
      <c r="G124" t="str">
        <v>Strain</v>
      </c>
      <c r="H124" t="str">
        <v>Lower Back &amp; Both Sides</v>
      </c>
      <c r="I124" t="str">
        <v>FA</v>
      </c>
      <c r="J124" t="str">
        <v>No</v>
      </c>
      <c r="K124">
        <v>2026</v>
      </c>
      <c r="L124" t="str">
        <v>May</v>
      </c>
      <c r="X124">
        <v>1</v>
      </c>
    </row>
    <row r="125" spans="1:24" x14ac:dyDescent="0.2">
      <c r="A125" t="str">
        <v>Juan Maravilla</v>
      </c>
      <c r="B125">
        <v>46143</v>
      </c>
      <c r="C125" t="str">
        <v>Valerena Begay</v>
      </c>
      <c r="D125" t="str">
        <v>Fabrication</v>
      </c>
      <c r="E125" t="str">
        <v>FSQA</v>
      </c>
      <c r="F125" t="str">
        <v>FSQA Lab Tech</v>
      </c>
      <c r="G125" t="str">
        <v>Slip, Trip, &amp; Fall</v>
      </c>
      <c r="H125" t="str">
        <v>NA</v>
      </c>
      <c r="I125" t="str">
        <v>RPO</v>
      </c>
      <c r="J125" t="str">
        <v>No</v>
      </c>
      <c r="K125">
        <v>2026</v>
      </c>
      <c r="L125" t="str">
        <v>May</v>
      </c>
      <c r="X125">
        <v>1</v>
      </c>
    </row>
    <row r="126" spans="1:24" x14ac:dyDescent="0.2">
      <c r="A126" t="str">
        <v>Mapreet Singn</v>
      </c>
      <c r="B126">
        <v>46141</v>
      </c>
      <c r="C126" t="str">
        <v>Ovidio Sanchez</v>
      </c>
      <c r="D126" t="str">
        <v>Fabrication</v>
      </c>
      <c r="E126" t="str">
        <v>400</v>
      </c>
      <c r="F126" t="str">
        <v>Wing Dropper</v>
      </c>
      <c r="G126" t="str">
        <v>Contact Stess</v>
      </c>
      <c r="H126" t="str">
        <v>RT - Middle Finger</v>
      </c>
      <c r="I126" t="str">
        <v>FA</v>
      </c>
      <c r="J126" t="str">
        <v>No</v>
      </c>
      <c r="K126">
        <v>2026</v>
      </c>
      <c r="L126" t="str">
        <v>April</v>
      </c>
      <c r="X126">
        <v>1</v>
      </c>
    </row>
    <row r="127" spans="1:24" x14ac:dyDescent="0.2">
      <c r="A127" t="str">
        <v>Moises Flores</v>
      </c>
      <c r="B127">
        <v>46141</v>
      </c>
      <c r="C127" t="str">
        <v>Juan Ramirez</v>
      </c>
      <c r="D127" t="str">
        <v>Fabrication</v>
      </c>
      <c r="E127" t="str">
        <v>410</v>
      </c>
      <c r="F127" t="str">
        <v>Tender Puller</v>
      </c>
      <c r="G127" t="str">
        <v>Puncture</v>
      </c>
      <c r="H127" t="str">
        <v>LT - Palm</v>
      </c>
      <c r="I127" t="str">
        <v>RPO</v>
      </c>
      <c r="J127" t="str">
        <v>No</v>
      </c>
      <c r="K127">
        <v>2026</v>
      </c>
      <c r="L127" t="str">
        <v>April</v>
      </c>
      <c r="X127">
        <v>1</v>
      </c>
    </row>
    <row r="128" spans="1:24" x14ac:dyDescent="0.2">
      <c r="A128" t="str">
        <v>Maury Gillian</v>
      </c>
      <c r="B128">
        <v>46140</v>
      </c>
      <c r="C128" t="str">
        <v>Elizabeth Neufeld</v>
      </c>
      <c r="D128" t="str">
        <v>Fabrication</v>
      </c>
      <c r="E128" t="str">
        <v>420</v>
      </c>
      <c r="F128" t="str">
        <v>Trimmer Top Butt</v>
      </c>
      <c r="G128" t="str">
        <v>Strain</v>
      </c>
      <c r="H128" t="str">
        <v>Lower Back &amp; Both Sides</v>
      </c>
      <c r="I128" t="str">
        <v>FA</v>
      </c>
      <c r="J128" t="str">
        <v>No</v>
      </c>
      <c r="K128">
        <v>2026</v>
      </c>
      <c r="L128" t="str">
        <v>April</v>
      </c>
      <c r="X128">
        <v>1</v>
      </c>
    </row>
    <row r="129" spans="1:24" x14ac:dyDescent="0.2">
      <c r="A129" t="str">
        <v>Cesar Mendoza</v>
      </c>
      <c r="B129">
        <v>46136</v>
      </c>
      <c r="C129" t="str">
        <v>Ovidio Sanchez</v>
      </c>
      <c r="D129" t="str">
        <v>Fabrication</v>
      </c>
      <c r="E129" t="str">
        <v>400</v>
      </c>
      <c r="F129" t="str">
        <v>Brisket Dropper</v>
      </c>
      <c r="G129" t="str">
        <v>Strain</v>
      </c>
      <c r="H129" t="str">
        <v>RT - Shoulder &amp; Index Finger</v>
      </c>
      <c r="I129" t="str">
        <v>FA</v>
      </c>
      <c r="J129" t="str">
        <v>No</v>
      </c>
      <c r="K129">
        <v>2026</v>
      </c>
      <c r="L129" t="str">
        <v>April</v>
      </c>
      <c r="X129">
        <v>1</v>
      </c>
    </row>
    <row r="130" spans="1:24" x14ac:dyDescent="0.2">
      <c r="A130" t="str">
        <v>Jesus Bustos</v>
      </c>
      <c r="B130">
        <v>46136</v>
      </c>
      <c r="C130" t="str">
        <v>Juan Ramirez</v>
      </c>
      <c r="D130" t="str">
        <v>Fabrication</v>
      </c>
      <c r="E130" t="str">
        <v>410</v>
      </c>
      <c r="F130" t="str">
        <v>Tednderloin Puller</v>
      </c>
      <c r="G130" t="str">
        <v>Puncture</v>
      </c>
      <c r="H130" t="str">
        <v>RT - Index Finger</v>
      </c>
      <c r="I130" t="str">
        <v>FA</v>
      </c>
      <c r="J130" t="str">
        <v>No</v>
      </c>
      <c r="K130">
        <v>2026</v>
      </c>
      <c r="L130" t="str">
        <v>April</v>
      </c>
      <c r="X130">
        <v>1</v>
      </c>
    </row>
    <row r="131" spans="1:24" x14ac:dyDescent="0.2">
      <c r="A131" t="str">
        <v>Adrian Chaidez</v>
      </c>
      <c r="B131">
        <v>46136</v>
      </c>
      <c r="C131" t="str">
        <v>Juan Ramirez</v>
      </c>
      <c r="D131" t="str">
        <v>Fabrication</v>
      </c>
      <c r="E131" t="str">
        <v>410</v>
      </c>
      <c r="F131" t="str">
        <v>NA</v>
      </c>
      <c r="G131" t="str">
        <v>Abrasion</v>
      </c>
      <c r="H131" t="str">
        <v xml:space="preserve">RT - Palm  </v>
      </c>
      <c r="I131" t="str">
        <v>FA</v>
      </c>
      <c r="J131" t="str">
        <v>No</v>
      </c>
      <c r="K131">
        <v>2026</v>
      </c>
      <c r="L131" t="str">
        <v>April</v>
      </c>
      <c r="X131">
        <v>1</v>
      </c>
    </row>
    <row r="132" spans="1:24" x14ac:dyDescent="0.2">
      <c r="A132" t="str">
        <v>James Entrocaso</v>
      </c>
      <c r="B132">
        <v>46135</v>
      </c>
      <c r="C132" t="str">
        <v>Ovidio Sanchez</v>
      </c>
      <c r="D132" t="str">
        <v>Fabrication</v>
      </c>
      <c r="E132" t="str">
        <v>400</v>
      </c>
      <c r="F132" t="str">
        <v>Knife Room Lead</v>
      </c>
      <c r="G132" t="str">
        <v>Puncture</v>
      </c>
      <c r="H132" t="str">
        <v>LT - Pinky Finger</v>
      </c>
      <c r="I132" t="str">
        <v>FA</v>
      </c>
      <c r="J132" t="str">
        <v>No</v>
      </c>
      <c r="K132">
        <v>2026</v>
      </c>
      <c r="L132" t="str">
        <v>April</v>
      </c>
      <c r="X132">
        <v>1</v>
      </c>
    </row>
    <row r="133" spans="1:24" x14ac:dyDescent="0.2">
      <c r="A133" t="str">
        <v>Brando Gonzalez</v>
      </c>
      <c r="B133">
        <v>46135</v>
      </c>
      <c r="C133" t="str">
        <v>Diego Soria</v>
      </c>
      <c r="D133" t="str">
        <v>Fabrication</v>
      </c>
      <c r="E133" t="str">
        <v>405</v>
      </c>
      <c r="F133" t="str">
        <v>NA</v>
      </c>
      <c r="G133" t="str">
        <v>Slip, Trip, &amp; Fall</v>
      </c>
      <c r="H133" t="str">
        <v>Upper Butt - LT Shinn</v>
      </c>
      <c r="I133" t="str">
        <v>FA</v>
      </c>
      <c r="J133" t="str">
        <v>No</v>
      </c>
      <c r="K133">
        <v>2026</v>
      </c>
      <c r="L133" t="str">
        <v>April</v>
      </c>
      <c r="X133">
        <v>1</v>
      </c>
    </row>
    <row r="134" spans="1:24" x14ac:dyDescent="0.2">
      <c r="A134" t="str">
        <v>Jhondri Madariaga</v>
      </c>
      <c r="B134">
        <v>46135</v>
      </c>
      <c r="C134" t="str">
        <v>Chadu Moua</v>
      </c>
      <c r="D134" t="str">
        <v>Fabrication</v>
      </c>
      <c r="E134" t="str">
        <v>429</v>
      </c>
      <c r="F134" t="str">
        <v>Bone Saw</v>
      </c>
      <c r="G134" t="str">
        <v>Strain</v>
      </c>
      <c r="H134" t="str">
        <v>LT - Shoulder Blade, Shoulder, Upper Arm, Forearm, Hand + LT Upper Back, Center Mid Back, and Center Lower Back.</v>
      </c>
      <c r="I134" t="str">
        <v>FA</v>
      </c>
      <c r="J134" t="str">
        <v>No</v>
      </c>
      <c r="K134">
        <v>2026</v>
      </c>
      <c r="L134" t="str">
        <v>April</v>
      </c>
      <c r="X134">
        <v>1</v>
      </c>
    </row>
    <row r="135" spans="1:24" x14ac:dyDescent="0.2">
      <c r="A135" t="str">
        <v>Sergio De Jesus</v>
      </c>
      <c r="B135">
        <v>46134</v>
      </c>
      <c r="C135" t="str">
        <v>Chadu Moua</v>
      </c>
      <c r="D135" t="str">
        <v>Fabrication</v>
      </c>
      <c r="E135" t="str">
        <v>NA</v>
      </c>
      <c r="F135" t="str">
        <v>NA</v>
      </c>
      <c r="G135" t="str">
        <v xml:space="preserve">Crush Injury </v>
      </c>
      <c r="H135" t="str">
        <v>RT - Thumb</v>
      </c>
      <c r="I135" t="str">
        <v>FA</v>
      </c>
      <c r="J135" t="str">
        <v>No</v>
      </c>
      <c r="K135">
        <v>2026</v>
      </c>
      <c r="L135" t="str">
        <v>April</v>
      </c>
      <c r="X135">
        <v>1</v>
      </c>
    </row>
    <row r="136" spans="1:24" x14ac:dyDescent="0.2">
      <c r="A136" t="str">
        <v>Gabriel Garcia</v>
      </c>
      <c r="B136">
        <v>46134</v>
      </c>
      <c r="C136" t="str">
        <v>Chadu Moua</v>
      </c>
      <c r="D136" t="str">
        <v>Fabrication</v>
      </c>
      <c r="E136" t="str">
        <v>429</v>
      </c>
      <c r="F136" t="str">
        <v>NA</v>
      </c>
      <c r="G136" t="str">
        <v xml:space="preserve">Reaction </v>
      </c>
      <c r="H136" t="str">
        <v>Both Eyes</v>
      </c>
      <c r="I136" t="str">
        <v>FA</v>
      </c>
      <c r="J136" t="str">
        <v>No</v>
      </c>
      <c r="K136">
        <v>2026</v>
      </c>
      <c r="L136" t="str">
        <v>April</v>
      </c>
      <c r="X136">
        <v>1</v>
      </c>
    </row>
    <row r="137" spans="1:24" x14ac:dyDescent="0.2">
      <c r="A137" t="str">
        <v>Natividad Galicia</v>
      </c>
      <c r="B137">
        <v>46134</v>
      </c>
      <c r="C137" t="str">
        <v>Ray Mascorro</v>
      </c>
      <c r="D137" t="str">
        <v>Harvest</v>
      </c>
      <c r="E137" t="str">
        <v>103</v>
      </c>
      <c r="F137" t="str">
        <v>Air Knife Sharpener</v>
      </c>
      <c r="G137" t="str">
        <v>Puncture</v>
      </c>
      <c r="H137" t="str">
        <v>LT - Foot</v>
      </c>
      <c r="I137" t="str">
        <v>FA</v>
      </c>
      <c r="J137" t="str">
        <v>No</v>
      </c>
      <c r="K137">
        <v>2026</v>
      </c>
      <c r="L137" t="str">
        <v>April</v>
      </c>
      <c r="X137">
        <v>1</v>
      </c>
    </row>
    <row r="138" spans="1:24" x14ac:dyDescent="0.2">
      <c r="A138" t="str">
        <v>Jonathan Ramirez</v>
      </c>
      <c r="B138">
        <v>46134</v>
      </c>
      <c r="C138" t="str">
        <v>Ovidio Sanchez</v>
      </c>
      <c r="D138" t="str">
        <v>Fabrication</v>
      </c>
      <c r="E138" t="str">
        <v>400</v>
      </c>
      <c r="F138" t="str">
        <v>Brisket Boner</v>
      </c>
      <c r="G138" t="str">
        <v>Puncture</v>
      </c>
      <c r="H138" t="str">
        <v>RT - Hand</v>
      </c>
      <c r="I138" t="str">
        <v>FA</v>
      </c>
      <c r="J138" t="str">
        <v>No</v>
      </c>
      <c r="K138">
        <v>2026</v>
      </c>
      <c r="L138" t="str">
        <v>April</v>
      </c>
      <c r="X138">
        <v>1</v>
      </c>
    </row>
    <row r="139" spans="1:24" x14ac:dyDescent="0.2">
      <c r="A139" t="str">
        <v>Rosalba Oseguera Mendez</v>
      </c>
      <c r="B139">
        <v>46134</v>
      </c>
      <c r="C139" t="str">
        <v>Samuel Sierra</v>
      </c>
      <c r="D139" t="str">
        <v>Harvest</v>
      </c>
      <c r="E139" t="str">
        <v>102</v>
      </c>
      <c r="F139" t="str">
        <v>2nd Hock Cutter</v>
      </c>
      <c r="G139" t="str">
        <v>Strain</v>
      </c>
      <c r="H139" t="str">
        <v>LT - Wrist</v>
      </c>
      <c r="I139" t="str">
        <v>FA</v>
      </c>
      <c r="J139" t="str">
        <v>No</v>
      </c>
      <c r="K139">
        <v>2026</v>
      </c>
      <c r="L139" t="str">
        <v>April</v>
      </c>
      <c r="X139">
        <v>1</v>
      </c>
    </row>
    <row r="140" spans="1:24" x14ac:dyDescent="0.2">
      <c r="A140" t="str">
        <v>Francisco Lopez</v>
      </c>
      <c r="B140">
        <v>46134</v>
      </c>
      <c r="C140" t="str">
        <v>Chadu Moua</v>
      </c>
      <c r="D140" t="str">
        <v>Fabrication</v>
      </c>
      <c r="E140" t="str">
        <v>429</v>
      </c>
      <c r="F140" t="str">
        <v>Six Shooter</v>
      </c>
      <c r="G140" t="str">
        <v>Strain</v>
      </c>
      <c r="H140" t="str">
        <v>RT - Shoulder</v>
      </c>
      <c r="I140" t="str">
        <v>FA</v>
      </c>
      <c r="J140" t="str">
        <v>No</v>
      </c>
      <c r="K140">
        <v>2026</v>
      </c>
      <c r="L140" t="str">
        <v>April</v>
      </c>
      <c r="X140">
        <v>1</v>
      </c>
    </row>
    <row r="141" spans="1:24" x14ac:dyDescent="0.2">
      <c r="A141" t="str">
        <v>Honorina Lopez</v>
      </c>
      <c r="B141">
        <v>46133</v>
      </c>
      <c r="C141" t="str">
        <v>Christian Lopez</v>
      </c>
      <c r="D141" t="str">
        <v>Harvest</v>
      </c>
      <c r="E141" t="str">
        <v>109</v>
      </c>
      <c r="F141" t="str">
        <v>Ox Tail Packer</v>
      </c>
      <c r="G141" t="str">
        <v>Puncture</v>
      </c>
      <c r="H141" t="str">
        <v>RT - Middle Finger</v>
      </c>
      <c r="I141" t="str">
        <v>FA</v>
      </c>
      <c r="J141" t="str">
        <v>No</v>
      </c>
      <c r="K141">
        <v>2026</v>
      </c>
      <c r="L141" t="str">
        <v>April</v>
      </c>
      <c r="X141">
        <v>1</v>
      </c>
    </row>
    <row r="142" spans="1:24" x14ac:dyDescent="0.2">
      <c r="A142" t="str">
        <v>Jose Miranda</v>
      </c>
      <c r="B142">
        <v>46133</v>
      </c>
      <c r="C142" t="str">
        <v>Juan Rodriguez</v>
      </c>
      <c r="D142" t="str">
        <v>Fabrication</v>
      </c>
      <c r="E142" t="str">
        <v>415</v>
      </c>
      <c r="F142" t="str">
        <v xml:space="preserve">Whizzard Knife Op. </v>
      </c>
      <c r="G142" t="str">
        <v>Puncture</v>
      </c>
      <c r="H142" t="str">
        <v>RT - Index Finger</v>
      </c>
      <c r="I142" t="str">
        <v>FA</v>
      </c>
      <c r="J142" t="str">
        <v>No</v>
      </c>
      <c r="K142">
        <v>2026</v>
      </c>
      <c r="L142" t="str">
        <v>April</v>
      </c>
      <c r="X142">
        <v>1</v>
      </c>
    </row>
    <row r="143" spans="1:24" x14ac:dyDescent="0.2">
      <c r="A143" t="str">
        <v>Juan Rodriguez</v>
      </c>
      <c r="B143">
        <v>46129</v>
      </c>
      <c r="C143" t="str">
        <v>Juan Rodriguez</v>
      </c>
      <c r="D143" t="str">
        <v>Fabrication</v>
      </c>
      <c r="E143" t="str">
        <v>415</v>
      </c>
      <c r="F143" t="str">
        <v>Chuck Roller</v>
      </c>
      <c r="G143" t="str">
        <v>Strain</v>
      </c>
      <c r="H143" t="str">
        <v>LT - Wrist</v>
      </c>
      <c r="I143" t="str">
        <v>FA</v>
      </c>
      <c r="J143" t="str">
        <v>No</v>
      </c>
      <c r="K143">
        <v>2026</v>
      </c>
      <c r="L143" t="str">
        <v>April</v>
      </c>
      <c r="X143">
        <v>1</v>
      </c>
    </row>
    <row r="144" spans="1:24" x14ac:dyDescent="0.2">
      <c r="A144" t="str">
        <v>Jose Barajas</v>
      </c>
      <c r="B144">
        <v>46129</v>
      </c>
      <c r="C144" t="str">
        <v>Juan Ramirez</v>
      </c>
      <c r="D144" t="str">
        <v>Fabrication</v>
      </c>
      <c r="E144" t="str">
        <v>410</v>
      </c>
      <c r="F144" t="str">
        <v>Sorter</v>
      </c>
      <c r="G144" t="str">
        <v xml:space="preserve">Foreign Object </v>
      </c>
      <c r="H144" t="str">
        <v>Both - Eyes</v>
      </c>
      <c r="I144" t="str">
        <v>FA</v>
      </c>
      <c r="J144" t="str">
        <v>No</v>
      </c>
      <c r="K144">
        <v>2026</v>
      </c>
      <c r="L144" t="str">
        <v>April</v>
      </c>
      <c r="X144">
        <v>1</v>
      </c>
    </row>
    <row r="145" spans="1:24" x14ac:dyDescent="0.2">
      <c r="A145" t="str">
        <v>Guilbert Beltran</v>
      </c>
      <c r="B145">
        <v>46129</v>
      </c>
      <c r="C145" t="str">
        <v>Samuel Sierra</v>
      </c>
      <c r="D145" t="str">
        <v>Harvest</v>
      </c>
      <c r="E145" t="str">
        <v>102</v>
      </c>
      <c r="F145" t="str">
        <v>Front Mark Pattern</v>
      </c>
      <c r="G145" t="str">
        <v>Strain</v>
      </c>
      <c r="H145" t="str">
        <v>RT - Hand</v>
      </c>
      <c r="I145" t="str">
        <v>FA</v>
      </c>
      <c r="J145" t="str">
        <v>No</v>
      </c>
      <c r="K145">
        <v>2026</v>
      </c>
      <c r="L145" t="str">
        <v>April</v>
      </c>
      <c r="X145">
        <v>1</v>
      </c>
    </row>
    <row r="146" spans="1:24" x14ac:dyDescent="0.2">
      <c r="A146" t="str">
        <v>Ismael Martinez</v>
      </c>
      <c r="B146">
        <v>46128</v>
      </c>
      <c r="C146" t="str">
        <v>Chadu Moua</v>
      </c>
      <c r="D146" t="str">
        <v>Fabrication</v>
      </c>
      <c r="E146" t="str">
        <v>429</v>
      </c>
      <c r="F146" t="str">
        <v xml:space="preserve">X-Ray Op. </v>
      </c>
      <c r="G146" t="str">
        <v>Strain</v>
      </c>
      <c r="H146" t="str">
        <v>Both - Hands</v>
      </c>
      <c r="I146" t="str">
        <v>FA</v>
      </c>
      <c r="J146" t="str">
        <v>No</v>
      </c>
      <c r="K146">
        <v>2026</v>
      </c>
      <c r="L146" t="str">
        <v>April</v>
      </c>
      <c r="X146">
        <v>1</v>
      </c>
    </row>
    <row r="147" spans="1:24" x14ac:dyDescent="0.2">
      <c r="A147" t="str">
        <v>Michael Rocha</v>
      </c>
      <c r="B147">
        <v>46127</v>
      </c>
      <c r="C147" t="str">
        <v>Ovidio Sanchez</v>
      </c>
      <c r="D147" t="str">
        <v>Fabrication</v>
      </c>
      <c r="E147" t="str">
        <v>400</v>
      </c>
      <c r="F147" t="str">
        <v>Clod Puller</v>
      </c>
      <c r="G147" t="str">
        <v xml:space="preserve">Foreign Object </v>
      </c>
      <c r="H147" t="str">
        <v>LT - Eye</v>
      </c>
      <c r="I147" t="str">
        <v>FA</v>
      </c>
      <c r="J147" t="str">
        <v>No</v>
      </c>
      <c r="K147">
        <v>2026</v>
      </c>
      <c r="L147" t="str">
        <v>April</v>
      </c>
      <c r="X147">
        <v>1</v>
      </c>
    </row>
    <row r="148" spans="1:24" x14ac:dyDescent="0.2">
      <c r="A148" t="str">
        <v>Noe Frage Ruiz</v>
      </c>
      <c r="B148">
        <v>46126</v>
      </c>
      <c r="C148" t="str">
        <v>Juan Ramirez</v>
      </c>
      <c r="D148" t="str">
        <v>Fabrication</v>
      </c>
      <c r="E148" t="str">
        <v>410</v>
      </c>
      <c r="F148" t="str">
        <v>Tender Puller</v>
      </c>
      <c r="G148" t="str">
        <v>Strain</v>
      </c>
      <c r="H148" t="str">
        <v>LT - Shoulder</v>
      </c>
      <c r="I148" t="str">
        <v>FA</v>
      </c>
      <c r="J148" t="str">
        <v>No</v>
      </c>
      <c r="K148">
        <v>2026</v>
      </c>
      <c r="L148" t="str">
        <v>April</v>
      </c>
      <c r="X148">
        <v>1</v>
      </c>
    </row>
    <row r="149" spans="1:24" x14ac:dyDescent="0.2">
      <c r="A149" t="str">
        <v>Jesus Valadez</v>
      </c>
      <c r="B149">
        <v>46126</v>
      </c>
      <c r="C149" t="str">
        <v>Diego Soria</v>
      </c>
      <c r="D149" t="str">
        <v>Fabrication</v>
      </c>
      <c r="E149" t="str">
        <v>405</v>
      </c>
      <c r="F149" t="str">
        <v>Plate Boner</v>
      </c>
      <c r="G149" t="str">
        <v>Puncture</v>
      </c>
      <c r="H149" t="str">
        <v>LT - Ring Finger</v>
      </c>
      <c r="I149" t="str">
        <v>FA</v>
      </c>
      <c r="J149" t="str">
        <v>No</v>
      </c>
      <c r="K149">
        <v>2026</v>
      </c>
      <c r="L149" t="str">
        <v>April</v>
      </c>
      <c r="X149">
        <v>1</v>
      </c>
    </row>
    <row r="150" spans="1:24" x14ac:dyDescent="0.2">
      <c r="A150" t="str">
        <v>Edalia Lopez</v>
      </c>
      <c r="B150">
        <v>46126</v>
      </c>
      <c r="C150" t="str">
        <v>Christian Lopez</v>
      </c>
      <c r="D150" t="str">
        <v>Harvest</v>
      </c>
      <c r="E150" t="str">
        <v>107</v>
      </c>
      <c r="F150" t="str">
        <v>Head Trimmer</v>
      </c>
      <c r="G150" t="str">
        <v>Burn</v>
      </c>
      <c r="H150" t="str">
        <v>Neck</v>
      </c>
      <c r="I150" t="str">
        <v>FA</v>
      </c>
      <c r="J150" t="str">
        <v>No</v>
      </c>
      <c r="K150">
        <v>2026</v>
      </c>
      <c r="L150" t="str">
        <v>April</v>
      </c>
      <c r="X150">
        <v>1</v>
      </c>
    </row>
    <row r="151" spans="1:24" x14ac:dyDescent="0.2">
      <c r="A151" t="str">
        <v>Rosangela Rodriguez</v>
      </c>
      <c r="B151">
        <v>46126</v>
      </c>
      <c r="C151" t="str">
        <v>Chadu Moua</v>
      </c>
      <c r="D151" t="str">
        <v>Fabrication</v>
      </c>
      <c r="E151" t="str">
        <v>429</v>
      </c>
      <c r="F151" t="str">
        <v xml:space="preserve">X-Ray Op. </v>
      </c>
      <c r="G151" t="str">
        <v>Abrasion</v>
      </c>
      <c r="H151" t="str">
        <v>LT - Thumb</v>
      </c>
      <c r="I151" t="str">
        <v>RPO</v>
      </c>
      <c r="J151" t="str">
        <v>No</v>
      </c>
      <c r="K151">
        <v>2026</v>
      </c>
      <c r="L151" t="str">
        <v>April</v>
      </c>
      <c r="X151">
        <v>1</v>
      </c>
    </row>
    <row r="152" spans="1:24" x14ac:dyDescent="0.2">
      <c r="A152" t="str">
        <v>Frank Padilla</v>
      </c>
      <c r="B152">
        <v>46126</v>
      </c>
      <c r="C152" t="str">
        <v>Ovidio Sanchez</v>
      </c>
      <c r="D152" t="str">
        <v>Fabrication</v>
      </c>
      <c r="E152" t="str">
        <v>400</v>
      </c>
      <c r="F152" t="str">
        <v>Brisket Boner</v>
      </c>
      <c r="G152" t="str">
        <v>Puncture</v>
      </c>
      <c r="H152" t="str">
        <v>RT - Hand</v>
      </c>
      <c r="I152" t="str">
        <v>FA</v>
      </c>
      <c r="J152" t="str">
        <v>No</v>
      </c>
      <c r="K152">
        <v>2026</v>
      </c>
      <c r="L152" t="str">
        <v>April</v>
      </c>
      <c r="X152">
        <v>1</v>
      </c>
    </row>
    <row r="153" spans="1:24" x14ac:dyDescent="0.2">
      <c r="A153" t="str">
        <v>Rafael Piceno</v>
      </c>
      <c r="B153">
        <v>46122</v>
      </c>
      <c r="C153" t="str">
        <v>Chadu Moua</v>
      </c>
      <c r="D153" t="str">
        <v>Fabrication</v>
      </c>
      <c r="E153" t="str">
        <v>429</v>
      </c>
      <c r="F153" t="str">
        <v xml:space="preserve">Pallet Jack Op. </v>
      </c>
      <c r="G153" t="str">
        <v>Slip, Trip, &amp; Fall</v>
      </c>
      <c r="H153" t="str">
        <v xml:space="preserve">RT - Rib </v>
      </c>
      <c r="I153" t="str">
        <v>FA</v>
      </c>
      <c r="J153" t="str">
        <v>No</v>
      </c>
      <c r="K153">
        <v>2026</v>
      </c>
      <c r="L153" t="str">
        <v>April</v>
      </c>
      <c r="X153">
        <v>1</v>
      </c>
    </row>
    <row r="154" spans="1:24" x14ac:dyDescent="0.2">
      <c r="A154" t="str">
        <v>Omar Chavez</v>
      </c>
      <c r="B154">
        <v>46122</v>
      </c>
      <c r="C154" t="str">
        <v>Richard Xiong</v>
      </c>
      <c r="D154" t="str">
        <v>Harvest</v>
      </c>
      <c r="E154" t="str">
        <v>101</v>
      </c>
      <c r="F154" t="str">
        <v>2nd Top Flanker</v>
      </c>
      <c r="G154" t="str">
        <v>Struck By Cattle</v>
      </c>
      <c r="H154" t="str">
        <v>LT - Hand - Nose - &amp; Neck</v>
      </c>
      <c r="I154" t="str">
        <v>FA</v>
      </c>
      <c r="J154" t="str">
        <v>No</v>
      </c>
      <c r="K154">
        <v>2026</v>
      </c>
      <c r="L154" t="str">
        <v>April</v>
      </c>
      <c r="X154">
        <v>1</v>
      </c>
    </row>
    <row r="155" spans="1:24" x14ac:dyDescent="0.2">
      <c r="A155" t="str">
        <v xml:space="preserve">Morgan Branning </v>
      </c>
      <c r="B155">
        <v>46122</v>
      </c>
      <c r="C155" t="str">
        <v>Michael Orozco</v>
      </c>
      <c r="D155" t="str">
        <v>Harvest</v>
      </c>
      <c r="E155" t="str">
        <v>104</v>
      </c>
      <c r="F155" t="str">
        <v>Gullet Bagger</v>
      </c>
      <c r="G155" t="str">
        <v>Awkward Posture</v>
      </c>
      <c r="H155" t="str">
        <v xml:space="preserve">RT - Ankle </v>
      </c>
      <c r="I155" t="str">
        <v>FA</v>
      </c>
      <c r="J155" t="str">
        <v>No</v>
      </c>
      <c r="K155">
        <v>2026</v>
      </c>
      <c r="L155" t="str">
        <v>April</v>
      </c>
      <c r="X155">
        <v>1</v>
      </c>
    </row>
    <row r="156" spans="1:24" x14ac:dyDescent="0.2">
      <c r="A156" t="str">
        <v>Jesus Bustos</v>
      </c>
      <c r="B156">
        <v>46121</v>
      </c>
      <c r="C156" t="str">
        <v>Juan Ramirez</v>
      </c>
      <c r="D156" t="str">
        <v>Fabrication</v>
      </c>
      <c r="E156" t="str">
        <v>410</v>
      </c>
      <c r="F156" t="str">
        <v>Loin Tail Puller</v>
      </c>
      <c r="G156" t="str">
        <v>Sprain</v>
      </c>
      <c r="H156" t="str">
        <v>LT - Ring Finger</v>
      </c>
      <c r="I156" t="str">
        <v>FA</v>
      </c>
      <c r="J156" t="str">
        <v>No</v>
      </c>
      <c r="K156">
        <v>2026</v>
      </c>
      <c r="L156" t="str">
        <v>April</v>
      </c>
      <c r="X156">
        <v>1</v>
      </c>
    </row>
    <row r="157" spans="1:24" x14ac:dyDescent="0.2">
      <c r="A157" t="str">
        <v>Joseph Gomez</v>
      </c>
      <c r="B157">
        <v>46121</v>
      </c>
      <c r="C157" t="str">
        <v>Richard Xiong</v>
      </c>
      <c r="D157" t="str">
        <v>Harvest</v>
      </c>
      <c r="E157" t="str">
        <v>101</v>
      </c>
      <c r="F157" t="str">
        <v>Shackler</v>
      </c>
      <c r="G157" t="str">
        <v xml:space="preserve">Foreign Object </v>
      </c>
      <c r="H157" t="str">
        <v>LT - Eye</v>
      </c>
      <c r="I157" t="str">
        <v>FA</v>
      </c>
      <c r="J157" t="str">
        <v>No</v>
      </c>
      <c r="K157">
        <v>2026</v>
      </c>
      <c r="L157" t="str">
        <v>April</v>
      </c>
      <c r="X157">
        <v>1</v>
      </c>
    </row>
    <row r="158" spans="1:24" x14ac:dyDescent="0.2">
      <c r="A158" t="str">
        <v>Angel Garcia</v>
      </c>
      <c r="B158">
        <v>46121</v>
      </c>
      <c r="C158" t="str">
        <v>Christian Lopez</v>
      </c>
      <c r="D158" t="str">
        <v>Harvest</v>
      </c>
      <c r="E158" t="str">
        <v>109</v>
      </c>
      <c r="F158" t="str">
        <v>Intestine Stripper</v>
      </c>
      <c r="G158" t="str">
        <v>Rash</v>
      </c>
      <c r="H158" t="str">
        <v>LT - Upper Arm</v>
      </c>
      <c r="I158" t="str">
        <v>FA</v>
      </c>
      <c r="J158" t="str">
        <v>No</v>
      </c>
      <c r="K158">
        <v>2026</v>
      </c>
      <c r="L158" t="str">
        <v>April</v>
      </c>
      <c r="X158">
        <v>1</v>
      </c>
    </row>
    <row r="159" spans="1:24" x14ac:dyDescent="0.2">
      <c r="A159" t="str">
        <v>Hector Raya</v>
      </c>
      <c r="B159">
        <v>46121</v>
      </c>
      <c r="C159" t="str">
        <v>Juan Rodriguez</v>
      </c>
      <c r="D159" t="str">
        <v>Fabrication</v>
      </c>
      <c r="E159" t="str">
        <v>415</v>
      </c>
      <c r="F159" t="str">
        <v xml:space="preserve">Deffect Trimmer </v>
      </c>
      <c r="G159" t="str">
        <v>Strain</v>
      </c>
      <c r="H159" t="str">
        <v>LT - Middle &amp; Index Finger</v>
      </c>
      <c r="I159" t="str">
        <v>FA</v>
      </c>
      <c r="J159" t="str">
        <v>No</v>
      </c>
      <c r="K159">
        <v>2026</v>
      </c>
      <c r="L159" t="str">
        <v>April</v>
      </c>
      <c r="X159">
        <v>1</v>
      </c>
    </row>
    <row r="160" spans="1:24" x14ac:dyDescent="0.2">
      <c r="A160" t="str">
        <v>Jesus Bustos</v>
      </c>
      <c r="B160">
        <v>46121</v>
      </c>
      <c r="C160" t="str">
        <v>Juan Rodriguez</v>
      </c>
      <c r="D160" t="str">
        <v>Fabrication</v>
      </c>
      <c r="E160" t="str">
        <v>410</v>
      </c>
      <c r="F160" t="str">
        <v>Tender Puller</v>
      </c>
      <c r="G160" t="str">
        <v>Strain</v>
      </c>
      <c r="H160" t="str">
        <v>LT - Hand</v>
      </c>
      <c r="I160" t="str">
        <v>FA</v>
      </c>
      <c r="J160" t="str">
        <v>No</v>
      </c>
      <c r="K160">
        <v>2026</v>
      </c>
      <c r="L160" t="str">
        <v>April</v>
      </c>
      <c r="X160">
        <v>1</v>
      </c>
    </row>
    <row r="161" spans="1:24" x14ac:dyDescent="0.2">
      <c r="A161" t="str">
        <v>Gladys Lugan</v>
      </c>
      <c r="B161">
        <v>46120</v>
      </c>
      <c r="C161" t="str">
        <v>Rutilio Rodriguez</v>
      </c>
      <c r="D161" t="str">
        <v>Harvest</v>
      </c>
      <c r="E161" t="str">
        <v>106</v>
      </c>
      <c r="F161" t="str">
        <v>Tail and Kidney Remober</v>
      </c>
      <c r="G161" t="str">
        <v>Struck by - against object</v>
      </c>
      <c r="H161" t="str">
        <v>RT - Upper Arm &amp; Elbow</v>
      </c>
      <c r="I161" t="str">
        <v>FA</v>
      </c>
      <c r="J161" t="str">
        <v>No</v>
      </c>
      <c r="K161">
        <v>2026</v>
      </c>
      <c r="L161" t="str">
        <v>April</v>
      </c>
      <c r="X161">
        <v>1</v>
      </c>
    </row>
    <row r="162" spans="1:24" x14ac:dyDescent="0.2">
      <c r="A162" t="str">
        <v>Jesus Olazava</v>
      </c>
      <c r="B162">
        <v>46120</v>
      </c>
      <c r="C162" t="str">
        <v>Rene Canas</v>
      </c>
      <c r="D162" t="str">
        <v>FSQA</v>
      </c>
      <c r="E162" t="str">
        <v>Fab FSQA</v>
      </c>
      <c r="F162" t="str">
        <v>QA Tech</v>
      </c>
      <c r="G162" t="str">
        <v>Laceration</v>
      </c>
      <c r="H162" t="str">
        <v>RT - Index Finger</v>
      </c>
      <c r="I162" t="str">
        <v>FA</v>
      </c>
      <c r="J162" t="str">
        <v>No</v>
      </c>
      <c r="K162">
        <v>2026</v>
      </c>
      <c r="L162" t="str">
        <v>April</v>
      </c>
      <c r="X162">
        <v>1</v>
      </c>
    </row>
    <row r="163" spans="1:24" x14ac:dyDescent="0.2">
      <c r="A163" t="str">
        <v>Enrique Ramos</v>
      </c>
      <c r="B163">
        <v>46120</v>
      </c>
      <c r="C163" t="str">
        <v>Diego Soria</v>
      </c>
      <c r="D163" t="str">
        <v>Fabrication</v>
      </c>
      <c r="E163" t="str">
        <v>405</v>
      </c>
      <c r="F163" t="str">
        <v>Short Rib Bonner</v>
      </c>
      <c r="G163" t="str">
        <v>Puncture</v>
      </c>
      <c r="H163" t="str">
        <v>RT - Middle Finger</v>
      </c>
      <c r="I163" t="str">
        <v>FA</v>
      </c>
      <c r="J163" t="str">
        <v>No</v>
      </c>
      <c r="K163">
        <v>2026</v>
      </c>
      <c r="L163" t="str">
        <v>April</v>
      </c>
      <c r="X163">
        <v>1</v>
      </c>
    </row>
    <row r="164" spans="1:24" x14ac:dyDescent="0.2">
      <c r="A164" t="str">
        <v>Ana Mendoza</v>
      </c>
      <c r="B164">
        <v>46120</v>
      </c>
      <c r="C164" t="str">
        <v>Elizabeth Neufeld</v>
      </c>
      <c r="D164" t="str">
        <v>Fabrication</v>
      </c>
      <c r="E164" t="str">
        <v>420</v>
      </c>
      <c r="F164" t="str">
        <v>Trimmer</v>
      </c>
      <c r="G164" t="str">
        <v>Contact Stess</v>
      </c>
      <c r="H164" t="str">
        <v>LT - Pinky Finger</v>
      </c>
      <c r="I164" t="str">
        <v>FA</v>
      </c>
      <c r="J164" t="str">
        <v>No</v>
      </c>
      <c r="K164">
        <v>2026</v>
      </c>
      <c r="L164" t="str">
        <v>April</v>
      </c>
      <c r="X164">
        <v>1</v>
      </c>
    </row>
    <row r="165" spans="1:24" x14ac:dyDescent="0.2">
      <c r="A165" t="str">
        <v>Jesse De La Torre</v>
      </c>
      <c r="B165">
        <v>46120</v>
      </c>
      <c r="C165" t="str">
        <v>Diego Soria</v>
      </c>
      <c r="D165" t="str">
        <v>Fabrication</v>
      </c>
      <c r="E165" t="str">
        <v>405</v>
      </c>
      <c r="F165" t="str">
        <v xml:space="preserve">Chine Saw </v>
      </c>
      <c r="G165" t="str">
        <v>Rash</v>
      </c>
      <c r="H165" t="str">
        <v>Both - Middle Fingers</v>
      </c>
      <c r="I165" t="str">
        <v>FA</v>
      </c>
      <c r="J165" t="str">
        <v>No</v>
      </c>
      <c r="K165">
        <v>2026</v>
      </c>
      <c r="L165" t="str">
        <v>April</v>
      </c>
      <c r="X165">
        <v>1</v>
      </c>
    </row>
    <row r="166" spans="1:24" x14ac:dyDescent="0.2">
      <c r="A166" t="str">
        <v>Samantha Guzman</v>
      </c>
      <c r="B166">
        <v>46119</v>
      </c>
      <c r="C166" t="str">
        <v>Jesus Avila</v>
      </c>
      <c r="D166" t="str">
        <v>Warehouse</v>
      </c>
      <c r="E166" t="str">
        <v>Warehouse</v>
      </c>
      <c r="F166" t="str">
        <v xml:space="preserve">Lead </v>
      </c>
      <c r="G166" t="str">
        <v>Struck by - against object</v>
      </c>
      <c r="H166" t="str">
        <v>LT - Middle Finger</v>
      </c>
      <c r="I166" t="str">
        <v>RPO</v>
      </c>
      <c r="J166" t="str">
        <v>No</v>
      </c>
      <c r="K166">
        <v>2026</v>
      </c>
      <c r="L166" t="str">
        <v>April</v>
      </c>
      <c r="X166">
        <v>1</v>
      </c>
    </row>
    <row r="167" spans="1:24" x14ac:dyDescent="0.2">
      <c r="A167" t="str">
        <v>Juan Vazquez</v>
      </c>
      <c r="B167">
        <v>46119</v>
      </c>
      <c r="C167" t="str">
        <v>Elizabeth Neufeld</v>
      </c>
      <c r="D167" t="str">
        <v>Fabrication</v>
      </c>
      <c r="E167" t="str">
        <v>420</v>
      </c>
      <c r="F167" t="str">
        <v>Strip Trimmer</v>
      </c>
      <c r="G167" t="str">
        <v>Struck by - against object</v>
      </c>
      <c r="H167" t="str">
        <v>LT - eye</v>
      </c>
      <c r="I167" t="str">
        <v>RPO</v>
      </c>
      <c r="J167" t="str">
        <v>No</v>
      </c>
      <c r="K167">
        <v>2026</v>
      </c>
      <c r="L167" t="str">
        <v>April</v>
      </c>
      <c r="X167">
        <v>1</v>
      </c>
    </row>
    <row r="168" spans="1:24" x14ac:dyDescent="0.2">
      <c r="A168" t="str">
        <v>Juan Lugardo</v>
      </c>
      <c r="B168">
        <v>46115</v>
      </c>
      <c r="C168" t="str">
        <v>Ray Mascorro</v>
      </c>
      <c r="D168" t="str">
        <v>Harvest</v>
      </c>
      <c r="E168" t="str">
        <v>103</v>
      </c>
      <c r="F168" t="str">
        <v>Knife Sharpner</v>
      </c>
      <c r="G168" t="str">
        <v>Puncture</v>
      </c>
      <c r="H168" t="str">
        <v>LT - Palm</v>
      </c>
      <c r="I168" t="str">
        <v>RECORDABLE</v>
      </c>
      <c r="J168" t="str">
        <v>Yes</v>
      </c>
      <c r="K168">
        <v>2026</v>
      </c>
      <c r="L168" t="str">
        <v>April</v>
      </c>
      <c r="X168">
        <v>1</v>
      </c>
    </row>
    <row r="169" spans="1:24" x14ac:dyDescent="0.2">
      <c r="A169" t="str">
        <v>Guadalupe Barajas</v>
      </c>
      <c r="B169">
        <v>46115</v>
      </c>
      <c r="C169" t="str">
        <v>Juan Ramirez</v>
      </c>
      <c r="D169" t="str">
        <v>Fabrication</v>
      </c>
      <c r="E169" t="str">
        <v>410</v>
      </c>
      <c r="F169" t="str">
        <v>Product Sorter</v>
      </c>
      <c r="G169" t="str">
        <v>Strain</v>
      </c>
      <c r="H169" t="str">
        <v>LT - Shoulder &amp; Neck</v>
      </c>
      <c r="I169" t="str">
        <v>FA</v>
      </c>
      <c r="J169" t="str">
        <v>No</v>
      </c>
      <c r="K169">
        <v>2026</v>
      </c>
      <c r="L169" t="str">
        <v>April</v>
      </c>
      <c r="X169">
        <v>1</v>
      </c>
    </row>
    <row r="170" spans="1:24" x14ac:dyDescent="0.2">
      <c r="A170" t="str">
        <v>Samuel Cruz</v>
      </c>
      <c r="B170">
        <v>46115</v>
      </c>
      <c r="C170" t="str">
        <v>Juan Rodriguez</v>
      </c>
      <c r="D170" t="str">
        <v>Fabrication</v>
      </c>
      <c r="E170" t="str">
        <v>415</v>
      </c>
      <c r="F170" t="str">
        <v xml:space="preserve">Chuck Boner </v>
      </c>
      <c r="G170" t="str">
        <v>Strain</v>
      </c>
      <c r="H170" t="str">
        <v>Both - Forearms</v>
      </c>
      <c r="I170" t="str">
        <v>FA</v>
      </c>
      <c r="J170" t="str">
        <v>No</v>
      </c>
      <c r="K170">
        <v>2026</v>
      </c>
      <c r="L170" t="str">
        <v>April</v>
      </c>
      <c r="X170">
        <v>1</v>
      </c>
    </row>
    <row r="171" spans="1:24" x14ac:dyDescent="0.2">
      <c r="A171" t="str">
        <v>Samuel Cruz</v>
      </c>
      <c r="B171">
        <v>46114</v>
      </c>
      <c r="C171" t="str">
        <v>Juan Rodriguez</v>
      </c>
      <c r="D171" t="str">
        <v>Fabrication</v>
      </c>
      <c r="E171" t="str">
        <v>415</v>
      </c>
      <c r="F171" t="str">
        <v xml:space="preserve">Chuck Boner </v>
      </c>
      <c r="G171" t="str">
        <v>Abrasion</v>
      </c>
      <c r="H171" t="str">
        <v>LT - Nose</v>
      </c>
      <c r="I171" t="str">
        <v>FA</v>
      </c>
      <c r="J171" t="str">
        <v>No</v>
      </c>
      <c r="K171">
        <v>2026</v>
      </c>
      <c r="L171" t="str">
        <v>April</v>
      </c>
      <c r="X171">
        <v>1</v>
      </c>
    </row>
    <row r="172" spans="1:24" x14ac:dyDescent="0.2">
      <c r="A172" t="str">
        <v>Yvonne Matinez</v>
      </c>
      <c r="B172">
        <v>46113</v>
      </c>
      <c r="C172" t="str">
        <v>Elizabeth Neufeld</v>
      </c>
      <c r="D172" t="str">
        <v>Fabrication</v>
      </c>
      <c r="E172" t="str">
        <v>420</v>
      </c>
      <c r="F172" t="str">
        <v>Whizzard Knife Op.</v>
      </c>
      <c r="G172" t="str">
        <v>NA - Stress</v>
      </c>
      <c r="H172" t="str">
        <v>NA</v>
      </c>
      <c r="I172" t="str">
        <v>RPO</v>
      </c>
      <c r="J172" t="str">
        <v>No</v>
      </c>
      <c r="K172">
        <v>2026</v>
      </c>
      <c r="L172" t="str">
        <v>April</v>
      </c>
      <c r="X172">
        <v>1</v>
      </c>
    </row>
    <row r="173" spans="1:24" x14ac:dyDescent="0.2">
      <c r="A173" t="str">
        <v>Saul Flores</v>
      </c>
      <c r="B173">
        <v>46113</v>
      </c>
      <c r="C173" t="str">
        <v>Juan Rodriguez</v>
      </c>
      <c r="D173" t="str">
        <v>Fabrication</v>
      </c>
      <c r="E173" t="str">
        <v>415</v>
      </c>
      <c r="F173" t="str">
        <v xml:space="preserve">Whizzard Knife Op. </v>
      </c>
      <c r="G173" t="str">
        <v>Strain</v>
      </c>
      <c r="H173" t="str">
        <v>RT - Palm &amp; Shoulder</v>
      </c>
      <c r="I173" t="str">
        <v>FA</v>
      </c>
      <c r="J173" t="str">
        <v>No</v>
      </c>
      <c r="K173">
        <v>2026</v>
      </c>
      <c r="L173" t="str">
        <v>April</v>
      </c>
      <c r="X173">
        <v>1</v>
      </c>
    </row>
    <row r="174" spans="1:24" x14ac:dyDescent="0.2">
      <c r="A174" t="str">
        <v>Jorge Maldonado</v>
      </c>
      <c r="B174">
        <v>46112</v>
      </c>
      <c r="C174" t="str">
        <v>Diego Soria</v>
      </c>
      <c r="D174" t="str">
        <v>Fabrication</v>
      </c>
      <c r="E174" t="str">
        <v>405</v>
      </c>
      <c r="F174" t="str">
        <v xml:space="preserve">Lead  </v>
      </c>
      <c r="G174" t="str">
        <v>Puncture</v>
      </c>
      <c r="H174" t="str">
        <v>RT - Index Finger</v>
      </c>
      <c r="I174" t="str">
        <v>FA</v>
      </c>
      <c r="J174" t="str">
        <v>No</v>
      </c>
      <c r="K174">
        <v>2026</v>
      </c>
      <c r="L174" t="str">
        <v>March</v>
      </c>
      <c r="X174">
        <v>1</v>
      </c>
    </row>
    <row r="175" spans="1:24" x14ac:dyDescent="0.2">
      <c r="A175" t="str">
        <v>Rogelio Mendoza</v>
      </c>
      <c r="B175">
        <v>46112</v>
      </c>
      <c r="C175" t="str">
        <v>Osbaldo Gutierrez</v>
      </c>
      <c r="D175" t="str">
        <v>Maintenance</v>
      </c>
      <c r="E175" t="str">
        <v>Maintenance</v>
      </c>
      <c r="F175" t="str">
        <v>Harvest Maintenance</v>
      </c>
      <c r="G175" t="str">
        <v>Strain</v>
      </c>
      <c r="H175" t="str">
        <v xml:space="preserve">Obdimen </v>
      </c>
      <c r="I175" t="str">
        <v>FA</v>
      </c>
      <c r="J175" t="str">
        <v>No</v>
      </c>
      <c r="K175">
        <v>2026</v>
      </c>
      <c r="L175" t="str">
        <v>March</v>
      </c>
      <c r="X175">
        <v>1</v>
      </c>
    </row>
    <row r="176" spans="1:24" x14ac:dyDescent="0.2">
      <c r="A176" t="str">
        <v>Edgar Hernandez</v>
      </c>
      <c r="B176">
        <v>46111</v>
      </c>
      <c r="C176" t="str">
        <v>Samuel Sierra</v>
      </c>
      <c r="D176" t="str">
        <v>Harvest</v>
      </c>
      <c r="E176" t="str">
        <v>102</v>
      </c>
      <c r="F176" t="str">
        <v>Tail Notch</v>
      </c>
      <c r="G176" t="str">
        <v>Strain</v>
      </c>
      <c r="H176" t="str">
        <v>RT - Wrist</v>
      </c>
      <c r="I176" t="str">
        <v>FA</v>
      </c>
      <c r="J176" t="str">
        <v>No</v>
      </c>
      <c r="K176">
        <v>2026</v>
      </c>
      <c r="L176" t="str">
        <v>March</v>
      </c>
      <c r="X176">
        <v>1</v>
      </c>
    </row>
    <row r="177" spans="1:24" x14ac:dyDescent="0.2">
      <c r="A177" t="str">
        <v>Isreal Cruz Hernandez</v>
      </c>
      <c r="B177">
        <v>46108</v>
      </c>
      <c r="C177" t="str">
        <v>Christian Lopez</v>
      </c>
      <c r="D177" t="str">
        <v>Harvest</v>
      </c>
      <c r="E177" t="str">
        <v>107</v>
      </c>
      <c r="F177" t="str">
        <v>Split Lips</v>
      </c>
      <c r="G177" t="str">
        <v>Laceration</v>
      </c>
      <c r="H177" t="str">
        <v>RT - Pinky Finger</v>
      </c>
      <c r="I177" t="str">
        <v>FA</v>
      </c>
      <c r="J177" t="str">
        <v>No</v>
      </c>
      <c r="K177">
        <v>2026</v>
      </c>
      <c r="L177" t="str">
        <v>March</v>
      </c>
      <c r="X177">
        <v>1</v>
      </c>
    </row>
    <row r="178" spans="1:24" x14ac:dyDescent="0.2">
      <c r="A178" t="str">
        <v>RA Thach</v>
      </c>
      <c r="B178">
        <v>46108</v>
      </c>
      <c r="C178" t="str">
        <v>Juan Ramirez</v>
      </c>
      <c r="D178" t="str">
        <v>Fabrication</v>
      </c>
      <c r="E178" t="str">
        <v>410</v>
      </c>
      <c r="F178" t="str">
        <v>Tender Puller</v>
      </c>
      <c r="G178" t="str">
        <v>Strain</v>
      </c>
      <c r="H178" t="str">
        <v>LT - Wrist</v>
      </c>
      <c r="I178" t="str">
        <v>FA</v>
      </c>
      <c r="J178" t="str">
        <v>No</v>
      </c>
      <c r="K178">
        <v>2026</v>
      </c>
      <c r="L178" t="str">
        <v>March</v>
      </c>
      <c r="X178">
        <v>1</v>
      </c>
    </row>
    <row r="179" spans="1:24" x14ac:dyDescent="0.2">
      <c r="A179" t="str">
        <v>Mayra Solarte</v>
      </c>
      <c r="B179">
        <v>46105</v>
      </c>
      <c r="C179" t="str">
        <v>Samuel Sierra</v>
      </c>
      <c r="D179" t="str">
        <v>Harvest</v>
      </c>
      <c r="E179" t="str">
        <v>102</v>
      </c>
      <c r="F179" t="str">
        <v xml:space="preserve">Whizzard Kinfe Op. </v>
      </c>
      <c r="G179" t="str">
        <v>Strain</v>
      </c>
      <c r="H179" t="str">
        <v>RT - Elbow &amp; Forearm</v>
      </c>
      <c r="I179" t="str">
        <v>FA</v>
      </c>
      <c r="J179" t="str">
        <v>No</v>
      </c>
      <c r="K179">
        <v>2026</v>
      </c>
      <c r="L179" t="str">
        <v>March</v>
      </c>
      <c r="X179">
        <v>1</v>
      </c>
    </row>
    <row r="180" spans="1:24" x14ac:dyDescent="0.2">
      <c r="A180" t="str">
        <v>Jesus Topete</v>
      </c>
      <c r="B180">
        <v>46104</v>
      </c>
      <c r="C180" t="str">
        <v>Ovidio Sanchez</v>
      </c>
      <c r="D180" t="str">
        <v>Fabrication</v>
      </c>
      <c r="E180" t="str">
        <v>400</v>
      </c>
      <c r="F180" t="str">
        <v>PAA Sprayer</v>
      </c>
      <c r="G180" t="str">
        <v>Strain</v>
      </c>
      <c r="H180" t="str">
        <v>LT - Wrist</v>
      </c>
      <c r="I180" t="str">
        <v>FA</v>
      </c>
      <c r="J180" t="str">
        <v>No</v>
      </c>
      <c r="K180">
        <v>2026</v>
      </c>
      <c r="L180" t="str">
        <v>March</v>
      </c>
      <c r="X180">
        <v>1</v>
      </c>
    </row>
    <row r="181" spans="1:24" x14ac:dyDescent="0.2">
      <c r="A181" t="str">
        <v>Saul Flores</v>
      </c>
      <c r="B181">
        <v>46101</v>
      </c>
      <c r="C181" t="str">
        <v>Juan Rodriguez</v>
      </c>
      <c r="D181" t="str">
        <v>Fabrication</v>
      </c>
      <c r="E181" t="str">
        <v>415</v>
      </c>
      <c r="F181" t="str">
        <v xml:space="preserve">Whizzard Knife Op. </v>
      </c>
      <c r="G181" t="str">
        <v xml:space="preserve">Strain </v>
      </c>
      <c r="H181" t="str">
        <v>RT - Wrist, Elbow, &amp; Forearm</v>
      </c>
      <c r="I181" t="str">
        <v>FA</v>
      </c>
      <c r="J181" t="str">
        <v>No</v>
      </c>
      <c r="K181">
        <v>2026</v>
      </c>
      <c r="L181" t="str">
        <v>March</v>
      </c>
      <c r="X181">
        <v>1</v>
      </c>
    </row>
    <row r="182" spans="1:24" x14ac:dyDescent="0.2">
      <c r="A182" t="str">
        <v>Alan Aranda</v>
      </c>
      <c r="B182">
        <v>46101</v>
      </c>
      <c r="C182" t="str">
        <v>Elizabeth Neufeld</v>
      </c>
      <c r="D182" t="str">
        <v>Fabrication</v>
      </c>
      <c r="E182" t="str">
        <v>420</v>
      </c>
      <c r="F182" t="str">
        <v>Strip Bonner</v>
      </c>
      <c r="G182" t="str">
        <v>Slip, Trip, &amp; Fall</v>
      </c>
      <c r="H182" t="str">
        <v xml:space="preserve">RT - Ankle </v>
      </c>
      <c r="I182" t="str">
        <v>FA</v>
      </c>
      <c r="J182" t="str">
        <v>No</v>
      </c>
      <c r="K182">
        <v>2026</v>
      </c>
      <c r="L182" t="str">
        <v>March</v>
      </c>
      <c r="X182">
        <v>1</v>
      </c>
    </row>
    <row r="183" spans="1:24" x14ac:dyDescent="0.2">
      <c r="A183" t="str">
        <v>Xeng Vuew</v>
      </c>
      <c r="B183">
        <v>46101</v>
      </c>
      <c r="C183" t="str">
        <v>Samuel Sierra</v>
      </c>
      <c r="D183" t="str">
        <v>Harvest</v>
      </c>
      <c r="E183" t="str">
        <v>109</v>
      </c>
      <c r="F183" t="str">
        <v>Intestine Stripper</v>
      </c>
      <c r="G183" t="str">
        <v>Rash</v>
      </c>
      <c r="H183" t="str">
        <v xml:space="preserve">LT - Upper Arm, Ribs &amp; Both Inner Thighs. </v>
      </c>
      <c r="I183" t="str">
        <v>FA</v>
      </c>
      <c r="J183" t="str">
        <v>No</v>
      </c>
      <c r="K183">
        <v>2026</v>
      </c>
      <c r="L183" t="str">
        <v>March</v>
      </c>
      <c r="X183">
        <v>1</v>
      </c>
    </row>
    <row r="184" spans="1:24" x14ac:dyDescent="0.2">
      <c r="A184" t="str">
        <v>China Bonner</v>
      </c>
      <c r="B184">
        <v>46100</v>
      </c>
      <c r="C184" t="str">
        <v>Elizabeth Neufeld</v>
      </c>
      <c r="D184" t="str">
        <v>Fabrication</v>
      </c>
      <c r="E184" t="str">
        <v>420</v>
      </c>
      <c r="F184" t="str">
        <v>Top Trimmer</v>
      </c>
      <c r="G184" t="str">
        <v xml:space="preserve">Foreign Object </v>
      </c>
      <c r="H184" t="str">
        <v>RT - Eye</v>
      </c>
      <c r="I184" t="str">
        <v>FA</v>
      </c>
      <c r="J184" t="str">
        <v>No</v>
      </c>
      <c r="K184">
        <v>2026</v>
      </c>
      <c r="L184" t="str">
        <v>March</v>
      </c>
      <c r="X184">
        <v>1</v>
      </c>
    </row>
    <row r="185" spans="1:24" x14ac:dyDescent="0.2">
      <c r="A185" t="str">
        <v>Edgar Guttierez</v>
      </c>
      <c r="B185">
        <v>46100</v>
      </c>
      <c r="C185" t="str">
        <v>Diego Soria</v>
      </c>
      <c r="D185" t="str">
        <v>Fabrication</v>
      </c>
      <c r="E185" t="str">
        <v>405</v>
      </c>
      <c r="F185" t="str">
        <v>Plate Boner</v>
      </c>
      <c r="G185" t="str">
        <v>Puncture</v>
      </c>
      <c r="H185" t="str">
        <v>LT - Mid Back</v>
      </c>
      <c r="I185" t="str">
        <v>FA</v>
      </c>
      <c r="J185" t="str">
        <v>No</v>
      </c>
      <c r="K185">
        <v>2026</v>
      </c>
      <c r="L185" t="str">
        <v>March</v>
      </c>
      <c r="X185">
        <v>1</v>
      </c>
    </row>
    <row r="186" spans="1:24" x14ac:dyDescent="0.2">
      <c r="A186" t="str">
        <v xml:space="preserve">Jesus Bernal </v>
      </c>
      <c r="B186">
        <v>46100</v>
      </c>
      <c r="C186" t="str">
        <v>Marilyn Herrera</v>
      </c>
      <c r="D186" t="str">
        <v>Harvest</v>
      </c>
      <c r="E186" t="str">
        <v>100</v>
      </c>
      <c r="F186" t="str">
        <v>Cattle Pusher</v>
      </c>
      <c r="G186" t="str">
        <v xml:space="preserve">Foreign Object </v>
      </c>
      <c r="H186" t="str">
        <v>RT - Eye</v>
      </c>
      <c r="I186" t="str">
        <v>FA</v>
      </c>
      <c r="J186" t="str">
        <v>No</v>
      </c>
      <c r="K186">
        <v>2026</v>
      </c>
      <c r="L186" t="str">
        <v>March</v>
      </c>
      <c r="X186">
        <v>1</v>
      </c>
    </row>
    <row r="187" spans="1:24" x14ac:dyDescent="0.2">
      <c r="A187" t="str">
        <v>Cesar Castellanos</v>
      </c>
      <c r="B187">
        <v>46100</v>
      </c>
      <c r="C187" t="str">
        <v>Marilyn Herrera</v>
      </c>
      <c r="D187" t="str">
        <v>Harvest</v>
      </c>
      <c r="E187" t="str">
        <v>100</v>
      </c>
      <c r="F187" t="str">
        <v>Cattle Pusher</v>
      </c>
      <c r="G187" t="str">
        <v>Struck By Cattle</v>
      </c>
      <c r="H187" t="str">
        <v>RT - Tight</v>
      </c>
      <c r="I187" t="str">
        <v>FA</v>
      </c>
      <c r="J187" t="str">
        <v>No</v>
      </c>
      <c r="K187">
        <v>2026</v>
      </c>
      <c r="L187" t="str">
        <v>March</v>
      </c>
      <c r="X187">
        <v>1</v>
      </c>
    </row>
    <row r="188" spans="1:24" x14ac:dyDescent="0.2">
      <c r="A188" t="str">
        <v>Griselda Floran</v>
      </c>
      <c r="B188">
        <v>46100</v>
      </c>
      <c r="C188" t="str">
        <v>Samuel Sierra</v>
      </c>
      <c r="D188" t="str">
        <v>Harvest</v>
      </c>
      <c r="E188" t="str">
        <v>109</v>
      </c>
      <c r="F188" t="str">
        <v>Intestine Stripper</v>
      </c>
      <c r="G188" t="str">
        <v>Rash</v>
      </c>
      <c r="H188" t="str">
        <v>LT - Index Finger</v>
      </c>
      <c r="I188" t="str">
        <v>FA</v>
      </c>
      <c r="J188" t="str">
        <v>No</v>
      </c>
      <c r="K188">
        <v>2026</v>
      </c>
      <c r="L188" t="str">
        <v>March</v>
      </c>
      <c r="X188">
        <v>1</v>
      </c>
    </row>
    <row r="189" spans="1:24" x14ac:dyDescent="0.2">
      <c r="A189" t="str">
        <v>Jhondri Madariaga</v>
      </c>
      <c r="B189">
        <v>46098</v>
      </c>
      <c r="C189" t="str">
        <v>Chadu Moua</v>
      </c>
      <c r="D189" t="str">
        <v>Fabrication</v>
      </c>
      <c r="E189" t="str">
        <v>429</v>
      </c>
      <c r="F189" t="str">
        <v>Bone Saw</v>
      </c>
      <c r="G189" t="str">
        <v>Struck by equipment</v>
      </c>
      <c r="H189" t="str">
        <v>RT - Index Finger</v>
      </c>
      <c r="I189" t="str">
        <v>FA</v>
      </c>
      <c r="J189" t="str">
        <v>No</v>
      </c>
      <c r="K189">
        <v>2026</v>
      </c>
      <c r="L189" t="str">
        <v>March</v>
      </c>
      <c r="X189">
        <v>1</v>
      </c>
    </row>
    <row r="190" spans="1:24" x14ac:dyDescent="0.2">
      <c r="A190" t="str">
        <v>Kristy Davila</v>
      </c>
      <c r="B190">
        <v>46094</v>
      </c>
      <c r="C190" t="str">
        <v>Elizabeth Neufeld</v>
      </c>
      <c r="D190" t="str">
        <v>Fabrication</v>
      </c>
      <c r="E190" t="str">
        <v>420</v>
      </c>
      <c r="F190" t="str">
        <v>Flat Trimmer</v>
      </c>
      <c r="G190" t="str">
        <v>Contact Stess</v>
      </c>
      <c r="H190" t="str">
        <v>LT - Hand</v>
      </c>
      <c r="I190" t="str">
        <v>RPO</v>
      </c>
      <c r="J190" t="str">
        <v>No</v>
      </c>
      <c r="K190">
        <v>2026</v>
      </c>
      <c r="L190" t="str">
        <v>March</v>
      </c>
      <c r="X190">
        <v>1</v>
      </c>
    </row>
    <row r="191" spans="1:24" x14ac:dyDescent="0.2">
      <c r="A191" t="str">
        <v>Karen Vance</v>
      </c>
      <c r="B191">
        <v>46092</v>
      </c>
      <c r="C191" t="str">
        <v>Jonathan Hernandez</v>
      </c>
      <c r="D191" t="str">
        <v>Maintenance</v>
      </c>
      <c r="E191" t="str">
        <v>Maintenance</v>
      </c>
      <c r="F191" t="str">
        <v>Maintenance Clerk</v>
      </c>
      <c r="G191" t="str">
        <v>Slip, Trip, &amp; Fall</v>
      </c>
      <c r="H191" t="str">
        <v>RT - Foearm, Hip, Knee</v>
      </c>
      <c r="I191" t="str">
        <v>FA</v>
      </c>
      <c r="J191" t="str">
        <v>No</v>
      </c>
      <c r="K191">
        <v>2026</v>
      </c>
      <c r="L191" t="str">
        <v>March</v>
      </c>
      <c r="X191">
        <v>1</v>
      </c>
    </row>
    <row r="192" spans="1:24" x14ac:dyDescent="0.2">
      <c r="A192" t="str">
        <v>Samuel Cruz</v>
      </c>
      <c r="B192">
        <v>46091</v>
      </c>
      <c r="C192" t="str">
        <v>Juan Rodriguez</v>
      </c>
      <c r="D192" t="str">
        <v>Fabrication</v>
      </c>
      <c r="E192" t="str">
        <v>405</v>
      </c>
      <c r="F192" t="str">
        <v xml:space="preserve">Chuck Boner </v>
      </c>
      <c r="G192" t="str">
        <v>Struck by Against Object</v>
      </c>
      <c r="H192" t="str">
        <v>LT - Ear</v>
      </c>
      <c r="I192" t="str">
        <v>FA</v>
      </c>
      <c r="J192" t="str">
        <v>No</v>
      </c>
      <c r="K192">
        <v>2026</v>
      </c>
      <c r="L192" t="str">
        <v>March</v>
      </c>
      <c r="X192">
        <v>1</v>
      </c>
    </row>
    <row r="193" spans="1:24" x14ac:dyDescent="0.2">
      <c r="A193" t="str">
        <v>Kathrine Montez</v>
      </c>
      <c r="B193">
        <v>46087</v>
      </c>
      <c r="C193" t="str">
        <v>Samuel Sierra</v>
      </c>
      <c r="D193" t="str">
        <v>Harvest</v>
      </c>
      <c r="E193" t="str">
        <v>107</v>
      </c>
      <c r="F193" t="str">
        <v>Pack Off</v>
      </c>
      <c r="G193" t="str">
        <v xml:space="preserve">Crush Injury </v>
      </c>
      <c r="H193" t="str">
        <v>LT - Index Finger</v>
      </c>
      <c r="I193" t="str">
        <v>FA</v>
      </c>
      <c r="J193" t="str">
        <v>No</v>
      </c>
      <c r="K193">
        <v>2026</v>
      </c>
      <c r="L193" t="str">
        <v>March</v>
      </c>
      <c r="X193">
        <v>1</v>
      </c>
    </row>
    <row r="194" spans="1:24" x14ac:dyDescent="0.2">
      <c r="A194" t="str">
        <v>Armando Gonzalez</v>
      </c>
      <c r="B194">
        <v>46087</v>
      </c>
      <c r="C194" t="str">
        <v>Juan Ramirez</v>
      </c>
      <c r="D194" t="str">
        <v>Fabrication</v>
      </c>
      <c r="E194" t="str">
        <v>410</v>
      </c>
      <c r="F194" t="str">
        <v>Round Dropper</v>
      </c>
      <c r="G194" t="str">
        <v>Strain</v>
      </c>
      <c r="H194" t="str">
        <v>RT - Wrist</v>
      </c>
      <c r="I194" t="str">
        <v>FA</v>
      </c>
      <c r="J194" t="str">
        <v>No</v>
      </c>
      <c r="K194">
        <v>2026</v>
      </c>
      <c r="L194" t="str">
        <v>March</v>
      </c>
      <c r="X194">
        <v>1</v>
      </c>
    </row>
    <row r="195" spans="1:24" x14ac:dyDescent="0.2">
      <c r="A195" t="str">
        <v>Braulio Torres</v>
      </c>
      <c r="B195">
        <v>46087</v>
      </c>
      <c r="C195" t="str">
        <v>Marilyn Herrera</v>
      </c>
      <c r="D195" t="str">
        <v>Corrals</v>
      </c>
      <c r="E195" t="str">
        <v>100</v>
      </c>
      <c r="F195" t="str">
        <v>Herdsman</v>
      </c>
      <c r="G195" t="str">
        <v xml:space="preserve">Foreign Object </v>
      </c>
      <c r="H195" t="str">
        <v>LT - Eye</v>
      </c>
      <c r="I195" t="str">
        <v>FA</v>
      </c>
      <c r="J195" t="str">
        <v>No</v>
      </c>
      <c r="K195">
        <v>2026</v>
      </c>
      <c r="L195" t="str">
        <v>March</v>
      </c>
      <c r="X195">
        <v>1</v>
      </c>
    </row>
    <row r="196" spans="1:24" x14ac:dyDescent="0.2">
      <c r="A196" t="str">
        <v>Israel Cruz Hernandez</v>
      </c>
      <c r="B196">
        <v>46087</v>
      </c>
      <c r="C196" t="str">
        <v>Samuel Sierra</v>
      </c>
      <c r="D196" t="str">
        <v>Harvest</v>
      </c>
      <c r="E196" t="str">
        <v>107</v>
      </c>
      <c r="F196" t="str">
        <v>Lip Opener</v>
      </c>
      <c r="G196" t="str">
        <v>Strain</v>
      </c>
      <c r="H196" t="str">
        <v xml:space="preserve">RT - Wrist  </v>
      </c>
      <c r="I196" t="str">
        <v>FA</v>
      </c>
      <c r="J196" t="str">
        <v>No</v>
      </c>
      <c r="K196">
        <v>2026</v>
      </c>
      <c r="L196" t="str">
        <v>March</v>
      </c>
      <c r="X196">
        <v>1</v>
      </c>
    </row>
    <row r="197" spans="1:24" x14ac:dyDescent="0.2">
      <c r="A197" t="str">
        <v>German Cerda</v>
      </c>
      <c r="B197">
        <v>46086</v>
      </c>
      <c r="C197" t="str">
        <v>Diego Soria</v>
      </c>
      <c r="D197" t="str">
        <v>Fabrication</v>
      </c>
      <c r="E197" t="str">
        <v>405</v>
      </c>
      <c r="F197" t="str">
        <v>Plate Boner</v>
      </c>
      <c r="G197" t="str">
        <v>Strain</v>
      </c>
      <c r="H197" t="str">
        <v>Back of Neck</v>
      </c>
      <c r="I197" t="str">
        <v>FA</v>
      </c>
      <c r="J197" t="str">
        <v>No</v>
      </c>
      <c r="K197">
        <v>2026</v>
      </c>
      <c r="L197" t="str">
        <v>March</v>
      </c>
      <c r="X197">
        <v>1</v>
      </c>
    </row>
    <row r="198" spans="1:24" x14ac:dyDescent="0.2">
      <c r="A198" t="str">
        <v>Chadu Moua</v>
      </c>
      <c r="B198">
        <v>46086</v>
      </c>
      <c r="C198" t="str">
        <v>David Zavala</v>
      </c>
      <c r="D198" t="str">
        <v>Fabrication</v>
      </c>
      <c r="E198" t="str">
        <v>429</v>
      </c>
      <c r="F198" t="str">
        <v>Supervisor</v>
      </c>
      <c r="G198" t="str">
        <v>Struck by Against Object</v>
      </c>
      <c r="H198" t="str">
        <v>LT - Index Finger &amp; RT - Thumb</v>
      </c>
      <c r="I198" t="str">
        <v>FA</v>
      </c>
      <c r="J198" t="str">
        <v>No</v>
      </c>
      <c r="K198">
        <v>2026</v>
      </c>
      <c r="L198" t="str">
        <v>March</v>
      </c>
      <c r="X198">
        <v>1</v>
      </c>
    </row>
    <row r="199" spans="1:24" x14ac:dyDescent="0.2">
      <c r="A199" t="str">
        <v>Juan Herrera</v>
      </c>
      <c r="B199">
        <v>46085</v>
      </c>
      <c r="C199" t="str">
        <v>Elizabeth Neufeld</v>
      </c>
      <c r="D199" t="str">
        <v>Fabrication</v>
      </c>
      <c r="E199" t="str">
        <v>420</v>
      </c>
      <c r="F199" t="str">
        <v>Flap Meat Trimmer</v>
      </c>
      <c r="G199" t="str">
        <v>Contact Stess</v>
      </c>
      <c r="H199" t="str">
        <v>RT - Pinky Finger</v>
      </c>
      <c r="I199" t="str">
        <v>FA</v>
      </c>
      <c r="J199" t="str">
        <v>No</v>
      </c>
      <c r="K199">
        <v>2026</v>
      </c>
      <c r="L199" t="str">
        <v>March</v>
      </c>
      <c r="X199">
        <v>1</v>
      </c>
    </row>
    <row r="200" spans="1:24" x14ac:dyDescent="0.2">
      <c r="A200" t="str">
        <v>Juan Dominguez</v>
      </c>
      <c r="B200">
        <v>46085</v>
      </c>
      <c r="C200" t="str">
        <v>Christian Lopez</v>
      </c>
      <c r="D200" t="str">
        <v>Harvest</v>
      </c>
      <c r="E200" t="str">
        <v>106</v>
      </c>
      <c r="F200" t="str">
        <v>106 - Roamer</v>
      </c>
      <c r="G200" t="str">
        <v>Laceration</v>
      </c>
      <c r="H200" t="str">
        <v>RT - Ring Finger</v>
      </c>
      <c r="I200" t="str">
        <v>FA</v>
      </c>
      <c r="J200" t="str">
        <v>No</v>
      </c>
      <c r="K200">
        <v>2026</v>
      </c>
      <c r="L200" t="str">
        <v>March</v>
      </c>
      <c r="X200">
        <v>1</v>
      </c>
    </row>
    <row r="201" spans="1:24" x14ac:dyDescent="0.2">
      <c r="A201" t="str">
        <v>Jesus Morales</v>
      </c>
      <c r="B201">
        <v>46085</v>
      </c>
      <c r="C201" t="str">
        <v>Marilyn Herrera</v>
      </c>
      <c r="D201" t="str">
        <v>Corrals</v>
      </c>
      <c r="E201" t="str">
        <v>100</v>
      </c>
      <c r="F201" t="str">
        <v>Herdsman</v>
      </c>
      <c r="G201" t="str">
        <v xml:space="preserve">Crush Injury </v>
      </c>
      <c r="H201" t="str">
        <v>RT - Pinky Finger</v>
      </c>
      <c r="I201" t="str">
        <v>RECORDABLE</v>
      </c>
      <c r="J201" t="str">
        <v>Yes</v>
      </c>
      <c r="K201">
        <v>2026</v>
      </c>
      <c r="L201" t="str">
        <v>March</v>
      </c>
      <c r="X201">
        <v>1</v>
      </c>
    </row>
    <row r="202" spans="1:24" x14ac:dyDescent="0.2">
      <c r="A202" t="str">
        <v>Karson Lowe</v>
      </c>
      <c r="B202">
        <v>46085</v>
      </c>
      <c r="C202" t="str">
        <v>Michael Orozco</v>
      </c>
      <c r="D202" t="str">
        <v>Harvest</v>
      </c>
      <c r="E202" t="str">
        <v>104</v>
      </c>
      <c r="F202" t="str">
        <v>Head Chain Trimmer</v>
      </c>
      <c r="G202" t="str">
        <v>Strain</v>
      </c>
      <c r="H202" t="str">
        <v>RT - Pinky Finger &amp; LT - Middle Finger - Hand</v>
      </c>
      <c r="I202" t="str">
        <v>FA</v>
      </c>
      <c r="J202" t="str">
        <v>No</v>
      </c>
      <c r="K202">
        <v>2026</v>
      </c>
      <c r="L202" t="str">
        <v>March</v>
      </c>
      <c r="X202">
        <v>1</v>
      </c>
    </row>
    <row r="203" spans="1:24" x14ac:dyDescent="0.2">
      <c r="A203" t="str">
        <v>Maria Sanchez</v>
      </c>
      <c r="B203">
        <v>46084</v>
      </c>
      <c r="C203" t="str">
        <v>Ovidio Sanchez</v>
      </c>
      <c r="D203" t="str">
        <v>Fabrication</v>
      </c>
      <c r="E203" t="str">
        <v>400</v>
      </c>
      <c r="F203" t="str">
        <v>Clean Up</v>
      </c>
      <c r="G203" t="str">
        <v>Strain</v>
      </c>
      <c r="H203" t="str">
        <v>LT - Shoulder - Upper Arm - Forearm</v>
      </c>
      <c r="I203" t="str">
        <v>FA</v>
      </c>
      <c r="J203" t="str">
        <v>No</v>
      </c>
      <c r="K203">
        <v>2026</v>
      </c>
      <c r="L203" t="str">
        <v>March</v>
      </c>
      <c r="X203">
        <v>1</v>
      </c>
    </row>
    <row r="204" spans="1:24" x14ac:dyDescent="0.2">
      <c r="A204" t="str">
        <v>Guadalupe Fuentes</v>
      </c>
      <c r="B204">
        <v>46083</v>
      </c>
      <c r="C204" t="str">
        <v>Rutilio Rodriguez</v>
      </c>
      <c r="D204" t="str">
        <v>Harvest</v>
      </c>
      <c r="E204" t="str">
        <v>102</v>
      </c>
      <c r="F204" t="str">
        <v>Paper Knock Hole</v>
      </c>
      <c r="G204" t="str">
        <v>Strain</v>
      </c>
      <c r="H204" t="str">
        <v>RT - Thumb</v>
      </c>
      <c r="I204" t="str">
        <v>FA</v>
      </c>
      <c r="J204" t="str">
        <v>No</v>
      </c>
      <c r="K204">
        <v>2026</v>
      </c>
      <c r="L204" t="str">
        <v>March</v>
      </c>
      <c r="X204">
        <v>1</v>
      </c>
    </row>
    <row r="205" spans="1:24" x14ac:dyDescent="0.2">
      <c r="A205" t="str">
        <v>Kristy Davila</v>
      </c>
      <c r="B205">
        <v>46080</v>
      </c>
      <c r="C205" t="str">
        <v>Elizabeth Neufeld</v>
      </c>
      <c r="D205" t="str">
        <v>Fabrication</v>
      </c>
      <c r="E205" t="str">
        <v>420</v>
      </c>
      <c r="F205" t="str">
        <v>Flat Trimmer</v>
      </c>
      <c r="G205" t="str">
        <v>Strain</v>
      </c>
      <c r="H205" t="str">
        <v xml:space="preserve">RT - Shoulder </v>
      </c>
      <c r="I205" t="str">
        <v>FA</v>
      </c>
      <c r="J205" t="str">
        <v>No</v>
      </c>
      <c r="K205">
        <v>2026</v>
      </c>
      <c r="L205" t="str">
        <v>February</v>
      </c>
      <c r="X205">
        <v>1</v>
      </c>
    </row>
    <row r="206" spans="1:24" x14ac:dyDescent="0.2">
      <c r="A206" t="str">
        <v>Devron Gassaway</v>
      </c>
      <c r="B206">
        <v>46080</v>
      </c>
      <c r="C206" t="str">
        <v>Chadu Moua</v>
      </c>
      <c r="D206" t="str">
        <v>Fabrication</v>
      </c>
      <c r="E206" t="str">
        <v>429</v>
      </c>
      <c r="F206" t="str">
        <v>Scale Operator</v>
      </c>
      <c r="G206" t="str">
        <v>Slip, Trip, &amp; Fall</v>
      </c>
      <c r="H206" t="str">
        <v>LT - Knee</v>
      </c>
      <c r="I206" t="str">
        <v>FA</v>
      </c>
      <c r="J206" t="str">
        <v>No</v>
      </c>
      <c r="K206">
        <v>2026</v>
      </c>
      <c r="L206" t="str">
        <v>February</v>
      </c>
      <c r="X206">
        <v>1</v>
      </c>
    </row>
    <row r="207" spans="1:24" x14ac:dyDescent="0.2">
      <c r="A207" t="str">
        <v>Jesus Bustos</v>
      </c>
      <c r="B207">
        <v>46080</v>
      </c>
      <c r="C207" t="str">
        <v>Juan Ramirez</v>
      </c>
      <c r="D207" t="str">
        <v>Fabrication</v>
      </c>
      <c r="E207" t="str">
        <v>410</v>
      </c>
      <c r="F207" t="str">
        <v>Tender Puller</v>
      </c>
      <c r="G207" t="str">
        <v>Strain</v>
      </c>
      <c r="H207" t="str">
        <v>LT - Hand</v>
      </c>
      <c r="I207" t="str">
        <v>FA</v>
      </c>
      <c r="J207" t="str">
        <v>No</v>
      </c>
      <c r="K207">
        <v>2026</v>
      </c>
      <c r="L207" t="str">
        <v>February</v>
      </c>
      <c r="X207">
        <v>1</v>
      </c>
    </row>
    <row r="208" spans="1:24" x14ac:dyDescent="0.2">
      <c r="A208" t="str">
        <v>Valeria Vasquez</v>
      </c>
      <c r="B208">
        <v>46079</v>
      </c>
      <c r="C208" t="str">
        <v>Rutilio Rodriguez</v>
      </c>
      <c r="D208" t="str">
        <v>Harvest</v>
      </c>
      <c r="E208" t="str">
        <v>102</v>
      </c>
      <c r="F208" t="str">
        <v>Tendon Collector</v>
      </c>
      <c r="G208" t="str">
        <v>Strain</v>
      </c>
      <c r="H208" t="str">
        <v xml:space="preserve">LT - Shoulder </v>
      </c>
      <c r="I208" t="str">
        <v>FA</v>
      </c>
      <c r="J208" t="str">
        <v>No</v>
      </c>
      <c r="K208">
        <v>2026</v>
      </c>
      <c r="L208" t="str">
        <v>February</v>
      </c>
      <c r="X208">
        <v>1</v>
      </c>
    </row>
    <row r="209" spans="1:24" x14ac:dyDescent="0.2">
      <c r="A209" t="str">
        <v>Quiroz Sanchez</v>
      </c>
      <c r="B209">
        <v>46079</v>
      </c>
      <c r="C209" t="str">
        <v>Christian Lopez</v>
      </c>
      <c r="D209" t="str">
        <v>Harvest</v>
      </c>
      <c r="E209" t="str">
        <v>106</v>
      </c>
      <c r="F209" t="str">
        <v xml:space="preserve">Saw Operator </v>
      </c>
      <c r="G209" t="str">
        <v>Inhalation / Reaction</v>
      </c>
      <c r="H209" t="str">
        <v>Chest &amp; Nose</v>
      </c>
      <c r="I209" t="str">
        <v>RPO</v>
      </c>
      <c r="J209" t="str">
        <v>No</v>
      </c>
      <c r="K209">
        <v>2026</v>
      </c>
      <c r="L209" t="str">
        <v>February</v>
      </c>
      <c r="X209">
        <v>1</v>
      </c>
    </row>
    <row r="210" spans="1:24" x14ac:dyDescent="0.2">
      <c r="A210" t="str">
        <v>Jose Ramirez</v>
      </c>
      <c r="B210">
        <v>46078</v>
      </c>
      <c r="C210" t="str">
        <v>Christian Lopez</v>
      </c>
      <c r="D210" t="str">
        <v>Harvest</v>
      </c>
      <c r="E210" t="str">
        <v>106</v>
      </c>
      <c r="F210" t="str">
        <v>Lugger</v>
      </c>
      <c r="G210" t="str">
        <v>Abrasion</v>
      </c>
      <c r="H210" t="str">
        <v>LT - Forearm</v>
      </c>
      <c r="I210" t="str">
        <v>FA</v>
      </c>
      <c r="J210" t="str">
        <v>No</v>
      </c>
      <c r="K210">
        <v>2026</v>
      </c>
      <c r="L210" t="str">
        <v>February</v>
      </c>
      <c r="X210">
        <v>1</v>
      </c>
    </row>
    <row r="211" spans="1:24" x14ac:dyDescent="0.2">
      <c r="A211" t="str">
        <v>Marquiz Gassaway</v>
      </c>
      <c r="B211">
        <v>46078</v>
      </c>
      <c r="C211" t="str">
        <v>Christian Lopez</v>
      </c>
      <c r="D211" t="str">
        <v>Harvest</v>
      </c>
      <c r="E211" t="str">
        <v>106</v>
      </c>
      <c r="F211" t="str">
        <v>Lactic Acid Sprayer</v>
      </c>
      <c r="G211" t="str">
        <v>Rash</v>
      </c>
      <c r="H211" t="str">
        <v>Both Upper Arms &amp; Shoulders</v>
      </c>
      <c r="I211" t="str">
        <v>FA</v>
      </c>
      <c r="J211" t="str">
        <v>No</v>
      </c>
      <c r="K211">
        <v>2026</v>
      </c>
      <c r="L211" t="str">
        <v>February</v>
      </c>
      <c r="X211">
        <v>1</v>
      </c>
    </row>
    <row r="212" spans="1:24" x14ac:dyDescent="0.2">
      <c r="A212" t="str">
        <v>Oscar Torres</v>
      </c>
      <c r="B212">
        <v>46078</v>
      </c>
      <c r="C212" t="str">
        <v>Elizabeth Neufeld</v>
      </c>
      <c r="D212" t="str">
        <v>Fabrication</v>
      </c>
      <c r="E212" t="str">
        <v>420</v>
      </c>
      <c r="F212" t="str">
        <v>NA</v>
      </c>
      <c r="G212" t="str">
        <v>Strain</v>
      </c>
      <c r="H212" t="str">
        <v>NA</v>
      </c>
      <c r="I212" t="str">
        <v>RPO</v>
      </c>
      <c r="J212" t="str">
        <v>No</v>
      </c>
      <c r="K212">
        <v>2026</v>
      </c>
      <c r="L212" t="str">
        <v>February</v>
      </c>
      <c r="X212">
        <v>1</v>
      </c>
    </row>
    <row r="213" spans="1:24" x14ac:dyDescent="0.2">
      <c r="A213" t="str">
        <v>Joaquin Diaz</v>
      </c>
      <c r="B213">
        <v>46077</v>
      </c>
      <c r="C213" t="str">
        <v>Christian Lopez</v>
      </c>
      <c r="D213" t="str">
        <v>Harvest</v>
      </c>
      <c r="E213" t="str">
        <v>106</v>
      </c>
      <c r="F213" t="str">
        <v>SRM Removal</v>
      </c>
      <c r="G213" t="str">
        <v>Burn</v>
      </c>
      <c r="H213" t="str">
        <v>LT - Middle Finger</v>
      </c>
      <c r="I213" t="str">
        <v>FA</v>
      </c>
      <c r="J213" t="str">
        <v>No</v>
      </c>
      <c r="K213">
        <v>2026</v>
      </c>
      <c r="L213" t="str">
        <v>February</v>
      </c>
      <c r="X213">
        <v>1</v>
      </c>
    </row>
    <row r="214" spans="1:24" x14ac:dyDescent="0.2">
      <c r="A214" t="str">
        <v>Martel Sanchez</v>
      </c>
      <c r="B214">
        <v>46076</v>
      </c>
      <c r="C214" t="str">
        <v>Diego Soria</v>
      </c>
      <c r="D214" t="str">
        <v>Fabrication</v>
      </c>
      <c r="E214" t="str">
        <v>405</v>
      </c>
      <c r="F214" t="str">
        <v>Whizzard Knife Op.</v>
      </c>
      <c r="G214" t="str">
        <v>Puncture</v>
      </c>
      <c r="H214" t="str">
        <v xml:space="preserve">RT - Hand </v>
      </c>
      <c r="I214" t="str">
        <v>FA</v>
      </c>
      <c r="J214" t="str">
        <v>No</v>
      </c>
      <c r="K214">
        <v>2026</v>
      </c>
      <c r="L214" t="str">
        <v>February</v>
      </c>
      <c r="X214">
        <v>1</v>
      </c>
    </row>
    <row r="215" spans="1:24" x14ac:dyDescent="0.2">
      <c r="A215" t="str">
        <v>Fermin Martinez</v>
      </c>
      <c r="B215">
        <v>46076</v>
      </c>
      <c r="C215" t="str">
        <v>Elizabeth Neufeld</v>
      </c>
      <c r="D215" t="str">
        <v>Fabrication</v>
      </c>
      <c r="E215" t="str">
        <v>420</v>
      </c>
      <c r="F215" t="str">
        <v>Sirloin Trimmer</v>
      </c>
      <c r="G215" t="str">
        <v>Strain</v>
      </c>
      <c r="H215" t="str">
        <v>LT - Elbow</v>
      </c>
      <c r="I215" t="str">
        <v>FA</v>
      </c>
      <c r="J215" t="str">
        <v>No</v>
      </c>
      <c r="K215">
        <v>2026</v>
      </c>
      <c r="L215" t="str">
        <v>February</v>
      </c>
      <c r="X215">
        <v>1</v>
      </c>
    </row>
    <row r="216" spans="1:24" x14ac:dyDescent="0.2">
      <c r="A216" t="str">
        <v>Jesus Avila</v>
      </c>
      <c r="B216">
        <v>46076</v>
      </c>
      <c r="C216" t="str">
        <v>Rosia Rosas</v>
      </c>
      <c r="D216" t="str">
        <v>Warehouse</v>
      </c>
      <c r="E216" t="str">
        <v>Warehouse</v>
      </c>
      <c r="F216" t="str">
        <v>Warehouse Supervisor</v>
      </c>
      <c r="G216" t="str">
        <v>Inhalation / Reaction</v>
      </c>
      <c r="H216" t="str">
        <v>Eyes - Cranial - Inhalation</v>
      </c>
      <c r="I216" t="str">
        <v>FA</v>
      </c>
      <c r="J216" t="str">
        <v>No</v>
      </c>
      <c r="K216">
        <v>2026</v>
      </c>
      <c r="L216" t="str">
        <v>February</v>
      </c>
      <c r="X216">
        <v>1</v>
      </c>
    </row>
    <row r="217" spans="1:24" x14ac:dyDescent="0.2">
      <c r="A217" t="str">
        <v>Imelda Ranger</v>
      </c>
      <c r="B217">
        <v>46076</v>
      </c>
      <c r="C217" t="str">
        <v>Jesus Avila</v>
      </c>
      <c r="D217" t="str">
        <v>Warehouse</v>
      </c>
      <c r="E217" t="str">
        <v>Warehouse</v>
      </c>
      <c r="F217" t="str">
        <v>Purchasing Agent</v>
      </c>
      <c r="G217" t="str">
        <v>Inhalation / Reaction</v>
      </c>
      <c r="H217" t="str">
        <v>Eyes - Cranial - Inhalation</v>
      </c>
      <c r="I217" t="str">
        <v>FA</v>
      </c>
      <c r="J217" t="str">
        <v>No</v>
      </c>
      <c r="K217">
        <v>2026</v>
      </c>
      <c r="L217" t="str">
        <v>February</v>
      </c>
      <c r="X217">
        <v>1</v>
      </c>
    </row>
    <row r="218" spans="1:24" x14ac:dyDescent="0.2">
      <c r="A218" t="str">
        <v>Hilary Coberly</v>
      </c>
      <c r="B218">
        <v>46076</v>
      </c>
      <c r="C218" t="str">
        <v>Jesus Avila</v>
      </c>
      <c r="D218" t="str">
        <v>Warehouse</v>
      </c>
      <c r="E218" t="str">
        <v>Warehouse</v>
      </c>
      <c r="F218" t="str">
        <v>Purchasing Agent</v>
      </c>
      <c r="G218" t="str">
        <v>Inhalation / Reaction</v>
      </c>
      <c r="H218" t="str">
        <v xml:space="preserve">Eyes - Cranial - Inhalation </v>
      </c>
      <c r="I218" t="str">
        <v>FA</v>
      </c>
      <c r="J218" t="str">
        <v>No</v>
      </c>
      <c r="K218">
        <v>2026</v>
      </c>
      <c r="L218" t="str">
        <v>February</v>
      </c>
      <c r="X218">
        <v>1</v>
      </c>
    </row>
    <row r="219" spans="1:24" x14ac:dyDescent="0.2">
      <c r="A219" t="str">
        <v>Adam Valdiva</v>
      </c>
      <c r="B219">
        <v>46076</v>
      </c>
      <c r="C219" t="str">
        <v>Jesus Avila</v>
      </c>
      <c r="D219" t="str">
        <v>Warehouse</v>
      </c>
      <c r="E219" t="str">
        <v>Warehouse</v>
      </c>
      <c r="F219" t="str">
        <v>Purchasing Agent</v>
      </c>
      <c r="G219" t="str">
        <v>Inhalation / Reaction</v>
      </c>
      <c r="H219" t="str">
        <v>Eyes - Cranial - Inhalation</v>
      </c>
      <c r="I219" t="str">
        <v>RPO</v>
      </c>
      <c r="J219" t="str">
        <v>No</v>
      </c>
      <c r="K219">
        <v>2026</v>
      </c>
      <c r="L219" t="str">
        <v>February</v>
      </c>
      <c r="X219">
        <v>1</v>
      </c>
    </row>
    <row r="220" spans="1:24" x14ac:dyDescent="0.2">
      <c r="A220" t="str">
        <v>Moises Bahera</v>
      </c>
      <c r="B220">
        <v>46076</v>
      </c>
      <c r="C220" t="str">
        <v>Jesus Avila</v>
      </c>
      <c r="D220" t="str">
        <v>Warehouse</v>
      </c>
      <c r="E220" t="str">
        <v>Warehouse</v>
      </c>
      <c r="F220" t="str">
        <v>Lead Forklift</v>
      </c>
      <c r="G220" t="str">
        <v>Inhalation / Reaction</v>
      </c>
      <c r="H220" t="str">
        <v>Eyes - Cranial - Inhalation</v>
      </c>
      <c r="I220" t="str">
        <v>RPO</v>
      </c>
      <c r="J220" t="str">
        <v>No</v>
      </c>
      <c r="K220">
        <v>2026</v>
      </c>
      <c r="L220" t="str">
        <v>February</v>
      </c>
      <c r="X220">
        <v>1</v>
      </c>
    </row>
    <row r="221" spans="1:24" x14ac:dyDescent="0.2">
      <c r="A221" t="str">
        <v>Edalia Lopez</v>
      </c>
      <c r="B221">
        <v>46073</v>
      </c>
      <c r="C221" t="str">
        <v>Samuel Sierra</v>
      </c>
      <c r="D221" t="str">
        <v>Harvest</v>
      </c>
      <c r="E221" t="str">
        <v>107</v>
      </c>
      <c r="F221" t="str">
        <v>Whizzard Op Head Table</v>
      </c>
      <c r="G221" t="str">
        <v>Abrasion</v>
      </c>
      <c r="H221" t="str">
        <v>RT - Index Finger</v>
      </c>
      <c r="I221" t="str">
        <v>FA</v>
      </c>
      <c r="J221" t="str">
        <v>No</v>
      </c>
      <c r="K221">
        <v>2026</v>
      </c>
      <c r="L221" t="str">
        <v>February</v>
      </c>
      <c r="X221">
        <v>1</v>
      </c>
    </row>
    <row r="222" spans="1:24" x14ac:dyDescent="0.2">
      <c r="A222" t="str">
        <v>Magalie Cadet</v>
      </c>
      <c r="B222">
        <v>46072</v>
      </c>
      <c r="C222" t="str">
        <v>Rutilio Rodriguez</v>
      </c>
      <c r="D222" t="str">
        <v>Harvest</v>
      </c>
      <c r="E222" t="str">
        <v>102</v>
      </c>
      <c r="F222" t="str">
        <v>Head Flush</v>
      </c>
      <c r="G222" t="str">
        <v>Strain</v>
      </c>
      <c r="H222" t="str">
        <v>RT - Thumb - Forearm</v>
      </c>
      <c r="I222" t="str">
        <v>FA</v>
      </c>
      <c r="J222" t="str">
        <v>No</v>
      </c>
      <c r="K222">
        <v>2026</v>
      </c>
      <c r="L222" t="str">
        <v>February</v>
      </c>
      <c r="X222">
        <v>1</v>
      </c>
    </row>
    <row r="223" spans="1:24" x14ac:dyDescent="0.2">
      <c r="A223" t="str">
        <v>Honorina Lopez</v>
      </c>
      <c r="B223">
        <v>46072</v>
      </c>
      <c r="C223" t="str">
        <v>Samuel Sierra</v>
      </c>
      <c r="D223" t="str">
        <v>Harvest</v>
      </c>
      <c r="E223" t="str">
        <v>109</v>
      </c>
      <c r="F223" t="str">
        <v>Tail Pack Off</v>
      </c>
      <c r="G223" t="str">
        <v>Struck By-Against Object</v>
      </c>
      <c r="H223" t="str">
        <v>LT - Hand</v>
      </c>
      <c r="I223" t="str">
        <v>FA</v>
      </c>
      <c r="J223" t="str">
        <v>No</v>
      </c>
      <c r="K223">
        <v>2026</v>
      </c>
      <c r="L223" t="str">
        <v>February</v>
      </c>
      <c r="X223">
        <v>1</v>
      </c>
    </row>
    <row r="224" spans="1:24" x14ac:dyDescent="0.2">
      <c r="A224" t="str">
        <v>Adrian Chaidez</v>
      </c>
      <c r="B224">
        <v>46071</v>
      </c>
      <c r="C224" t="str">
        <v>Juan Ramirez</v>
      </c>
      <c r="D224" t="str">
        <v>Fabrication</v>
      </c>
      <c r="E224" t="str">
        <v>410</v>
      </c>
      <c r="F224" t="str">
        <v>Round Dropper</v>
      </c>
      <c r="G224" t="str">
        <v>Strain</v>
      </c>
      <c r="H224" t="str">
        <v>RT - Wrist</v>
      </c>
      <c r="I224" t="str">
        <v>FA</v>
      </c>
      <c r="J224" t="str">
        <v>No</v>
      </c>
      <c r="K224">
        <v>2026</v>
      </c>
      <c r="L224" t="str">
        <v>February</v>
      </c>
      <c r="X224">
        <v>1</v>
      </c>
    </row>
    <row r="225" spans="1:24" x14ac:dyDescent="0.2">
      <c r="A225" t="str">
        <v>Cesar Castellanos</v>
      </c>
      <c r="B225">
        <v>46071</v>
      </c>
      <c r="C225" t="str">
        <v>Marilyn Herrera</v>
      </c>
      <c r="D225" t="str">
        <v>Corrals</v>
      </c>
      <c r="E225" t="str">
        <v>100</v>
      </c>
      <c r="F225" t="str">
        <v>Cattle Pusher</v>
      </c>
      <c r="G225" t="str">
        <v>Struck By Cattle</v>
      </c>
      <c r="H225" t="str">
        <v xml:space="preserve">RT - Ankle </v>
      </c>
      <c r="I225" t="str">
        <v>FA</v>
      </c>
      <c r="J225" t="str">
        <v>No</v>
      </c>
      <c r="K225">
        <v>2026</v>
      </c>
      <c r="L225" t="str">
        <v>February</v>
      </c>
      <c r="X225">
        <v>1</v>
      </c>
    </row>
    <row r="226" spans="1:24" x14ac:dyDescent="0.2">
      <c r="A226" t="str">
        <v>Aaron Slorio</v>
      </c>
      <c r="B226">
        <v>46071</v>
      </c>
      <c r="C226" t="str">
        <v>Michael Orozco</v>
      </c>
      <c r="D226" t="str">
        <v>Harvest</v>
      </c>
      <c r="E226" t="str">
        <v>105</v>
      </c>
      <c r="F226" t="str">
        <v>Pre Gutter</v>
      </c>
      <c r="G226" t="str">
        <v>Rash</v>
      </c>
      <c r="H226" t="str">
        <v>LT - Forearm</v>
      </c>
      <c r="I226" t="str">
        <v>FA</v>
      </c>
      <c r="J226" t="str">
        <v>No</v>
      </c>
      <c r="K226">
        <v>2026</v>
      </c>
      <c r="L226" t="str">
        <v>February</v>
      </c>
      <c r="X226">
        <v>1</v>
      </c>
    </row>
    <row r="227" spans="1:24" x14ac:dyDescent="0.2">
      <c r="A227" t="str">
        <v>Joseph Gomez</v>
      </c>
      <c r="B227">
        <v>46071</v>
      </c>
      <c r="C227" t="str">
        <v>Richard Xiong</v>
      </c>
      <c r="D227" t="str">
        <v>Harvest</v>
      </c>
      <c r="E227" t="str">
        <v>101</v>
      </c>
      <c r="F227" t="str">
        <v>Shackler</v>
      </c>
      <c r="G227" t="str">
        <v>Struck By Cattle</v>
      </c>
      <c r="H227" t="str">
        <v>RT - Hand</v>
      </c>
      <c r="I227" t="str">
        <v>FA</v>
      </c>
      <c r="J227" t="str">
        <v>No</v>
      </c>
      <c r="K227">
        <v>2026</v>
      </c>
      <c r="L227" t="str">
        <v>February</v>
      </c>
      <c r="X227">
        <v>1</v>
      </c>
    </row>
    <row r="228" spans="1:24" x14ac:dyDescent="0.2">
      <c r="A228" t="str">
        <v>Jose Lopez</v>
      </c>
      <c r="B228">
        <v>46070</v>
      </c>
      <c r="C228" t="str">
        <v>Marilyn Herrera</v>
      </c>
      <c r="D228" t="str">
        <v>Corrals</v>
      </c>
      <c r="E228" t="str">
        <v>100</v>
      </c>
      <c r="F228" t="str">
        <v>100 - Roamer</v>
      </c>
      <c r="G228" t="str">
        <v>Struck By Cattle</v>
      </c>
      <c r="H228" t="str">
        <v>LT - Thumb</v>
      </c>
      <c r="I228" t="str">
        <v>FA</v>
      </c>
      <c r="J228" t="str">
        <v>No</v>
      </c>
      <c r="K228">
        <v>2026</v>
      </c>
      <c r="L228" t="str">
        <v>February</v>
      </c>
      <c r="X228">
        <v>1</v>
      </c>
    </row>
    <row r="229" spans="1:24" x14ac:dyDescent="0.2">
      <c r="A229" t="str">
        <v>Raul Trejo</v>
      </c>
      <c r="B229">
        <v>46070</v>
      </c>
      <c r="C229" t="str">
        <v>Erwin Vega</v>
      </c>
      <c r="D229" t="str">
        <v>Fabrication</v>
      </c>
      <c r="E229" t="str">
        <v>Coolers</v>
      </c>
      <c r="F229" t="str">
        <v>Cooler Cordinator</v>
      </c>
      <c r="G229" t="str">
        <v>Rash</v>
      </c>
      <c r="H229" t="str">
        <v>LT - Thumb</v>
      </c>
      <c r="I229" t="str">
        <v>FA</v>
      </c>
      <c r="J229" t="str">
        <v>No</v>
      </c>
      <c r="K229">
        <v>2026</v>
      </c>
      <c r="L229" t="str">
        <v>February</v>
      </c>
      <c r="X229">
        <v>1</v>
      </c>
    </row>
    <row r="230" spans="1:24" x14ac:dyDescent="0.2">
      <c r="A230" t="str">
        <v>Daniel Ortega</v>
      </c>
      <c r="B230">
        <v>46069</v>
      </c>
      <c r="C230" t="str">
        <v>Rutilio Rodriguez</v>
      </c>
      <c r="D230" t="str">
        <v>Harvest</v>
      </c>
      <c r="E230" t="str">
        <v>102</v>
      </c>
      <c r="F230" t="str">
        <v>Lowbacker</v>
      </c>
      <c r="G230" t="str">
        <v>Struck by Equipment</v>
      </c>
      <c r="H230" t="str">
        <v>NA</v>
      </c>
      <c r="I230" t="str">
        <v>RPO</v>
      </c>
      <c r="J230" t="str">
        <v>No</v>
      </c>
      <c r="K230">
        <v>2026</v>
      </c>
      <c r="L230" t="str">
        <v>February</v>
      </c>
      <c r="X230">
        <v>1</v>
      </c>
    </row>
    <row r="231" spans="1:24" x14ac:dyDescent="0.2">
      <c r="A231" t="str">
        <v>China Bonner</v>
      </c>
      <c r="B231">
        <v>46066</v>
      </c>
      <c r="C231" t="str">
        <v>Elizabeth Neufeld</v>
      </c>
      <c r="D231" t="str">
        <v>Fabrication</v>
      </c>
      <c r="E231" t="str">
        <v>420</v>
      </c>
      <c r="F231" t="str">
        <v xml:space="preserve">Whizzard Knife Op. </v>
      </c>
      <c r="G231" t="str">
        <v>Strain</v>
      </c>
      <c r="H231" t="str">
        <v>RT - Wrist &amp; Forearm</v>
      </c>
      <c r="I231" t="str">
        <v>FA</v>
      </c>
      <c r="J231" t="str">
        <v>No</v>
      </c>
      <c r="K231">
        <v>2026</v>
      </c>
      <c r="L231" t="str">
        <v>February</v>
      </c>
      <c r="X231">
        <v>1</v>
      </c>
    </row>
    <row r="232" spans="1:24" x14ac:dyDescent="0.2">
      <c r="A232" t="str">
        <v xml:space="preserve">Po Thao </v>
      </c>
      <c r="B232">
        <v>46066</v>
      </c>
      <c r="C232" t="str">
        <v>Samuel Sierra</v>
      </c>
      <c r="D232" t="str">
        <v>Harvest</v>
      </c>
      <c r="E232" t="str">
        <v>109</v>
      </c>
      <c r="F232" t="str">
        <v xml:space="preserve">Pack Off  </v>
      </c>
      <c r="G232" t="str">
        <v>Laceration</v>
      </c>
      <c r="H232" t="str">
        <v>LT - Middle Finger</v>
      </c>
      <c r="I232" t="str">
        <v>FA</v>
      </c>
      <c r="J232" t="str">
        <v>No</v>
      </c>
      <c r="K232">
        <v>2026</v>
      </c>
      <c r="L232" t="str">
        <v>February</v>
      </c>
      <c r="X232">
        <v>1</v>
      </c>
    </row>
    <row r="233" spans="1:24" x14ac:dyDescent="0.2">
      <c r="A233" t="str">
        <v>Esmeralda Avalos Vazquez</v>
      </c>
      <c r="B233">
        <v>46066</v>
      </c>
      <c r="C233" t="str">
        <v>Christian Lopez</v>
      </c>
      <c r="D233" t="str">
        <v>Harvest</v>
      </c>
      <c r="E233" t="str">
        <v>106</v>
      </c>
      <c r="F233" t="str">
        <v>Spinal Cord Remover</v>
      </c>
      <c r="G233" t="str">
        <v>Strain</v>
      </c>
      <c r="H233" t="str">
        <v>RT - Wrist</v>
      </c>
      <c r="I233" t="str">
        <v>FA</v>
      </c>
      <c r="J233" t="str">
        <v>No</v>
      </c>
      <c r="K233">
        <v>2026</v>
      </c>
      <c r="L233" t="str">
        <v>February</v>
      </c>
      <c r="X233">
        <v>1</v>
      </c>
    </row>
    <row r="234" spans="1:24" x14ac:dyDescent="0.2">
      <c r="A234" t="str">
        <v>Daniel Vega</v>
      </c>
      <c r="B234">
        <v>46065</v>
      </c>
      <c r="C234" t="str">
        <v>Maria Garcia</v>
      </c>
      <c r="D234" t="str">
        <v>Fabrication</v>
      </c>
      <c r="E234" t="str">
        <v>445</v>
      </c>
      <c r="F234" t="str">
        <v>Pack Off Lead</v>
      </c>
      <c r="G234" t="str">
        <v xml:space="preserve">Foreign Object </v>
      </c>
      <c r="H234" t="str">
        <v>RT - Eye</v>
      </c>
      <c r="I234" t="str">
        <v>FA</v>
      </c>
      <c r="J234" t="str">
        <v>No</v>
      </c>
      <c r="K234">
        <v>2026</v>
      </c>
      <c r="L234" t="str">
        <v>February</v>
      </c>
      <c r="X234">
        <v>1</v>
      </c>
    </row>
    <row r="235" spans="1:24" x14ac:dyDescent="0.2">
      <c r="A235" t="str">
        <v>Chrisofer Diaz</v>
      </c>
      <c r="B235">
        <v>46065</v>
      </c>
      <c r="C235" t="str">
        <v>Francisco Tapia</v>
      </c>
      <c r="D235" t="str">
        <v>Loading Dock</v>
      </c>
      <c r="E235" t="str">
        <v>Loading Dock</v>
      </c>
      <c r="F235" t="str">
        <v>Palletizer</v>
      </c>
      <c r="G235" t="str">
        <v>Strain</v>
      </c>
      <c r="H235" t="str">
        <v xml:space="preserve">RT - Upper Arm </v>
      </c>
      <c r="I235" t="str">
        <v>FA</v>
      </c>
      <c r="J235" t="str">
        <v>No</v>
      </c>
      <c r="K235">
        <v>2026</v>
      </c>
      <c r="L235" t="str">
        <v>February</v>
      </c>
      <c r="X235">
        <v>1</v>
      </c>
    </row>
    <row r="236" spans="1:24" x14ac:dyDescent="0.2">
      <c r="A236" t="str">
        <v>Servando Valencia</v>
      </c>
      <c r="B236">
        <v>46063</v>
      </c>
      <c r="C236" t="str">
        <v>Rayomond Corrales</v>
      </c>
      <c r="D236" t="str">
        <v>Maintenance</v>
      </c>
      <c r="E236" t="str">
        <v>Maintenance</v>
      </c>
      <c r="F236" t="str">
        <v xml:space="preserve">Maintenance </v>
      </c>
      <c r="G236" t="str">
        <v>Laceration</v>
      </c>
      <c r="H236" t="str">
        <v>RT - Thumb</v>
      </c>
      <c r="I236" t="str">
        <v>FA</v>
      </c>
      <c r="J236" t="str">
        <v>No</v>
      </c>
      <c r="K236">
        <v>2026</v>
      </c>
      <c r="L236" t="str">
        <v>February</v>
      </c>
      <c r="X236">
        <v>1</v>
      </c>
    </row>
    <row r="237" spans="1:24" x14ac:dyDescent="0.2">
      <c r="A237" t="str">
        <v>Joseph Munt</v>
      </c>
      <c r="B237">
        <v>46063</v>
      </c>
      <c r="C237" t="str">
        <v>Erwin Vega</v>
      </c>
      <c r="D237" t="str">
        <v>Fabrication</v>
      </c>
      <c r="E237" t="str">
        <v>Coolers</v>
      </c>
      <c r="F237" t="str">
        <v>Carcass Pusher</v>
      </c>
      <c r="G237" t="str">
        <v>Puncture</v>
      </c>
      <c r="H237" t="str">
        <v>LT - Wrist</v>
      </c>
      <c r="I237" t="str">
        <v>FA</v>
      </c>
      <c r="J237" t="str">
        <v>No</v>
      </c>
      <c r="K237">
        <v>2026</v>
      </c>
      <c r="L237" t="str">
        <v>February</v>
      </c>
      <c r="X237">
        <v>1</v>
      </c>
    </row>
    <row r="238" spans="1:24" x14ac:dyDescent="0.2">
      <c r="A238" t="str">
        <v>Arsenio Leyva</v>
      </c>
      <c r="B238">
        <v>46063</v>
      </c>
      <c r="C238" t="str">
        <v>Rutilio Rodriguez</v>
      </c>
      <c r="D238" t="str">
        <v>Harvest</v>
      </c>
      <c r="E238" t="str">
        <v>101</v>
      </c>
      <c r="F238" t="str">
        <v>Pre - Udder</v>
      </c>
      <c r="G238" t="str">
        <v>Strain</v>
      </c>
      <c r="H238" t="str">
        <v>RT - Forearm</v>
      </c>
      <c r="I238" t="str">
        <v>FA</v>
      </c>
      <c r="J238" t="str">
        <v>No</v>
      </c>
      <c r="K238">
        <v>2026</v>
      </c>
      <c r="L238" t="str">
        <v>February</v>
      </c>
      <c r="X238">
        <v>1</v>
      </c>
    </row>
    <row r="239" spans="1:24" x14ac:dyDescent="0.2">
      <c r="A239" t="str">
        <v>Deshovana Wells</v>
      </c>
      <c r="B239">
        <v>46059</v>
      </c>
      <c r="C239" t="str">
        <v>Michael Orozco</v>
      </c>
      <c r="D239" t="str">
        <v>Harvest</v>
      </c>
      <c r="E239" t="str">
        <v>104</v>
      </c>
      <c r="F239" t="str">
        <v>Head Chain Trimmer</v>
      </c>
      <c r="G239" t="str">
        <v>Strain</v>
      </c>
      <c r="H239" t="str">
        <v>LT - Middle Finger</v>
      </c>
      <c r="I239" t="str">
        <v>FA</v>
      </c>
      <c r="J239" t="str">
        <v>No</v>
      </c>
      <c r="K239">
        <v>2026</v>
      </c>
      <c r="L239" t="str">
        <v>February</v>
      </c>
      <c r="X239">
        <v>1</v>
      </c>
    </row>
    <row r="240" spans="1:24" x14ac:dyDescent="0.2">
      <c r="A240" t="str">
        <v>Gabriel Garcia</v>
      </c>
      <c r="B240">
        <v>46059</v>
      </c>
      <c r="C240" t="str">
        <v>Chadu Moua</v>
      </c>
      <c r="D240" t="str">
        <v>Fabrication</v>
      </c>
      <c r="E240" t="str">
        <v>429</v>
      </c>
      <c r="F240" t="str">
        <v>Trim Sorter</v>
      </c>
      <c r="G240" t="str">
        <v xml:space="preserve">Contusion </v>
      </c>
      <c r="H240" t="str">
        <v xml:space="preserve">LT - Cheek </v>
      </c>
      <c r="I240" t="str">
        <v>FA</v>
      </c>
      <c r="J240" t="str">
        <v>No</v>
      </c>
      <c r="K240">
        <v>2026</v>
      </c>
      <c r="L240" t="str">
        <v>February</v>
      </c>
      <c r="X240">
        <v>1</v>
      </c>
    </row>
    <row r="241" spans="1:24" x14ac:dyDescent="0.2">
      <c r="A241" t="str">
        <v>Sonia Orozco</v>
      </c>
      <c r="B241">
        <v>46059</v>
      </c>
      <c r="C241" t="str">
        <v>Chadu Moua</v>
      </c>
      <c r="D241" t="str">
        <v>Fabrication</v>
      </c>
      <c r="E241" t="str">
        <v>429</v>
      </c>
      <c r="F241" t="str">
        <v>Blade Meat</v>
      </c>
      <c r="G241" t="str">
        <v>Sprain</v>
      </c>
      <c r="H241" t="str">
        <v>LT - Wrist</v>
      </c>
      <c r="I241" t="str">
        <v>FA</v>
      </c>
      <c r="J241" t="str">
        <v>No</v>
      </c>
      <c r="K241">
        <v>2026</v>
      </c>
      <c r="L241" t="str">
        <v>February</v>
      </c>
      <c r="X241">
        <v>1</v>
      </c>
    </row>
    <row r="242" spans="1:24" x14ac:dyDescent="0.2">
      <c r="A242" t="str">
        <v>Edgar Hernandez</v>
      </c>
      <c r="B242">
        <v>46059</v>
      </c>
      <c r="C242" t="str">
        <v>Rutilio Rodriguez</v>
      </c>
      <c r="D242" t="str">
        <v>Harvest</v>
      </c>
      <c r="E242" t="str">
        <v>102</v>
      </c>
      <c r="F242" t="str">
        <v>Tail Knotch</v>
      </c>
      <c r="G242" t="str">
        <v>Strain</v>
      </c>
      <c r="H242" t="str">
        <v>LT - Hand</v>
      </c>
      <c r="I242" t="str">
        <v>FA</v>
      </c>
      <c r="J242" t="str">
        <v>No</v>
      </c>
      <c r="K242">
        <v>2026</v>
      </c>
      <c r="L242" t="str">
        <v>February</v>
      </c>
      <c r="X242">
        <v>1</v>
      </c>
    </row>
    <row r="243" spans="1:24" x14ac:dyDescent="0.2">
      <c r="A243" t="str">
        <v>David Rodriguez</v>
      </c>
      <c r="B243">
        <v>46058</v>
      </c>
      <c r="C243" t="str">
        <v>Richard Xiong</v>
      </c>
      <c r="D243" t="str">
        <v>Harvest</v>
      </c>
      <c r="E243" t="str">
        <v>101</v>
      </c>
      <c r="F243" t="str">
        <v>Hock Trimmer</v>
      </c>
      <c r="G243" t="str">
        <v>Strain</v>
      </c>
      <c r="H243" t="str">
        <v xml:space="preserve">RT - Shoulder </v>
      </c>
      <c r="I243" t="str">
        <v>FA</v>
      </c>
      <c r="J243" t="str">
        <v>No</v>
      </c>
      <c r="K243">
        <v>2026</v>
      </c>
      <c r="L243" t="str">
        <v>February</v>
      </c>
      <c r="X243">
        <v>1</v>
      </c>
    </row>
    <row r="244" spans="1:24" x14ac:dyDescent="0.2">
      <c r="A244" t="str">
        <v>Mathew Lee</v>
      </c>
      <c r="B244">
        <v>46057</v>
      </c>
      <c r="C244" t="str">
        <v>Carlos Mata</v>
      </c>
      <c r="D244" t="str">
        <v>Maintenance</v>
      </c>
      <c r="E244" t="str">
        <v>Blood Room</v>
      </c>
      <c r="F244" t="str">
        <v>Blood Room Op.</v>
      </c>
      <c r="G244" t="str">
        <v>Abrasion</v>
      </c>
      <c r="H244" t="str">
        <v>RT - Middle Finger</v>
      </c>
      <c r="I244" t="str">
        <v>FA</v>
      </c>
      <c r="J244" t="str">
        <v>No</v>
      </c>
      <c r="K244">
        <v>2026</v>
      </c>
      <c r="L244" t="str">
        <v>February</v>
      </c>
      <c r="X244">
        <v>1</v>
      </c>
    </row>
    <row r="245" spans="1:24" x14ac:dyDescent="0.2">
      <c r="A245" t="str">
        <v>Deshovana Wells</v>
      </c>
      <c r="B245">
        <v>46057</v>
      </c>
      <c r="C245" t="str">
        <v>Michael Orozco</v>
      </c>
      <c r="D245" t="str">
        <v>Harvest</v>
      </c>
      <c r="E245" t="str">
        <v>104</v>
      </c>
      <c r="F245" t="str">
        <v>Head Chain Trimmer</v>
      </c>
      <c r="G245" t="str">
        <v>Strain</v>
      </c>
      <c r="H245" t="str">
        <v>RT - Middle Finger</v>
      </c>
      <c r="I245" t="str">
        <v>FA</v>
      </c>
      <c r="J245" t="str">
        <v>No</v>
      </c>
      <c r="K245">
        <v>2026</v>
      </c>
      <c r="L245" t="str">
        <v>February</v>
      </c>
      <c r="X245">
        <v>1</v>
      </c>
    </row>
    <row r="246" spans="1:24" x14ac:dyDescent="0.2">
      <c r="A246" t="str">
        <v>Ronald Barboza</v>
      </c>
      <c r="B246">
        <v>46057</v>
      </c>
      <c r="C246" t="str">
        <v>Juan Rodriguez</v>
      </c>
      <c r="D246" t="str">
        <v>Fabrication</v>
      </c>
      <c r="E246" t="str">
        <v>410</v>
      </c>
      <c r="F246" t="str">
        <v>Shank Bonner</v>
      </c>
      <c r="G246" t="str">
        <v>Strain</v>
      </c>
      <c r="H246" t="str">
        <v>LT - Shoulder, Shoulder blade, Neck</v>
      </c>
      <c r="I246" t="str">
        <v>FA</v>
      </c>
      <c r="J246" t="str">
        <v>No</v>
      </c>
      <c r="K246">
        <v>2026</v>
      </c>
      <c r="L246" t="str">
        <v>February</v>
      </c>
      <c r="X246">
        <v>1</v>
      </c>
    </row>
    <row r="247" spans="1:24" x14ac:dyDescent="0.2">
      <c r="A247" t="str">
        <v>Martin Escalera</v>
      </c>
      <c r="B247">
        <v>46055</v>
      </c>
      <c r="C247" t="str">
        <v>Clara Salazar</v>
      </c>
      <c r="D247" t="str">
        <v>Outside Clean Up</v>
      </c>
      <c r="E247" t="str">
        <v>Outside Clean Up</v>
      </c>
      <c r="F247" t="str">
        <v>Outside Clean Up</v>
      </c>
      <c r="G247" t="str">
        <v>Inhalation</v>
      </c>
      <c r="H247" t="str">
        <v>Respiratory System</v>
      </c>
      <c r="I247" t="str">
        <v>RPO</v>
      </c>
      <c r="J247" t="str">
        <v>No</v>
      </c>
      <c r="K247">
        <v>2026</v>
      </c>
      <c r="L247" t="str">
        <v>February</v>
      </c>
      <c r="X247">
        <v>1</v>
      </c>
    </row>
    <row r="248" spans="1:24" x14ac:dyDescent="0.2">
      <c r="A248" t="str">
        <v>Esperanza Alvarez</v>
      </c>
      <c r="B248">
        <v>46055</v>
      </c>
      <c r="C248" t="str">
        <v>Clara Salazar</v>
      </c>
      <c r="D248" t="str">
        <v>Outside Clean Up</v>
      </c>
      <c r="E248" t="str">
        <v>Outside Clean Up</v>
      </c>
      <c r="F248" t="str">
        <v>Outside Clean Up</v>
      </c>
      <c r="G248" t="str">
        <v>Inhalation</v>
      </c>
      <c r="H248" t="str">
        <v>Respiratory System</v>
      </c>
      <c r="I248" t="str">
        <v>RPO</v>
      </c>
      <c r="J248" t="str">
        <v>No</v>
      </c>
      <c r="K248">
        <v>2026</v>
      </c>
      <c r="L248" t="str">
        <v>February</v>
      </c>
      <c r="X248">
        <v>1</v>
      </c>
    </row>
    <row r="249" spans="1:24" x14ac:dyDescent="0.2">
      <c r="A249" t="str">
        <v>Esmeralda Avalos Vazquez</v>
      </c>
      <c r="B249">
        <v>46050</v>
      </c>
      <c r="C249" t="str">
        <v>Christian Lopez</v>
      </c>
      <c r="D249" t="str">
        <v>Harvest</v>
      </c>
      <c r="E249" t="str">
        <v>106</v>
      </c>
      <c r="F249" t="str">
        <v>Spinal Cord Remover</v>
      </c>
      <c r="G249" t="str">
        <v>Slip, Trip, &amp; Fall</v>
      </c>
      <c r="H249" t="str">
        <v>RT - Knee &amp; Groin</v>
      </c>
      <c r="I249" t="str">
        <v>FA</v>
      </c>
      <c r="J249" t="str">
        <v>No</v>
      </c>
      <c r="K249">
        <v>2026</v>
      </c>
      <c r="L249" t="str">
        <v>January</v>
      </c>
      <c r="X249">
        <v>1</v>
      </c>
    </row>
    <row r="250" spans="1:24" x14ac:dyDescent="0.2">
      <c r="A250" t="str">
        <v>Frank Aguero</v>
      </c>
      <c r="B250">
        <v>46050</v>
      </c>
      <c r="C250" t="str">
        <v>Maria Garcia</v>
      </c>
      <c r="D250" t="str">
        <v>Fabrication</v>
      </c>
      <c r="E250" t="str">
        <v>445</v>
      </c>
      <c r="F250" t="str">
        <v>Bagger</v>
      </c>
      <c r="G250" t="str">
        <v xml:space="preserve">Foreign Object </v>
      </c>
      <c r="H250" t="str">
        <v xml:space="preserve">RT - Eye </v>
      </c>
      <c r="I250" t="str">
        <v>FA</v>
      </c>
      <c r="J250" t="str">
        <v>No</v>
      </c>
      <c r="K250">
        <v>2026</v>
      </c>
      <c r="L250" t="str">
        <v>January</v>
      </c>
      <c r="X250">
        <v>1</v>
      </c>
    </row>
    <row r="251" spans="1:24" x14ac:dyDescent="0.2">
      <c r="A251" t="str">
        <v>Joseph Munt</v>
      </c>
      <c r="B251">
        <v>46049</v>
      </c>
      <c r="C251" t="str">
        <v>Erwin Vega</v>
      </c>
      <c r="D251" t="str">
        <v>Fabrication</v>
      </c>
      <c r="E251" t="str">
        <v>Coolers</v>
      </c>
      <c r="F251" t="str">
        <v>Carcass Pusher</v>
      </c>
      <c r="G251" t="str">
        <v>Slip, Trip, &amp; Fall</v>
      </c>
      <c r="H251" t="str">
        <v>NA</v>
      </c>
      <c r="I251" t="str">
        <v>RPO</v>
      </c>
      <c r="J251" t="str">
        <v>No</v>
      </c>
      <c r="K251">
        <v>2026</v>
      </c>
      <c r="L251" t="str">
        <v>January</v>
      </c>
      <c r="X251">
        <v>1</v>
      </c>
    </row>
    <row r="252" spans="1:24" x14ac:dyDescent="0.2">
      <c r="A252" t="str">
        <v>Gabriel Sandhu</v>
      </c>
      <c r="B252">
        <v>46049</v>
      </c>
      <c r="C252" t="str">
        <v>Elizabeth Neufeld</v>
      </c>
      <c r="D252" t="str">
        <v>Fabrication</v>
      </c>
      <c r="E252" t="str">
        <v>420</v>
      </c>
      <c r="F252" t="str">
        <v>Top Butt Trimmer</v>
      </c>
      <c r="G252" t="str">
        <v>Strain</v>
      </c>
      <c r="H252" t="str">
        <v>RT - Wrist</v>
      </c>
      <c r="I252" t="str">
        <v>FA</v>
      </c>
      <c r="J252" t="str">
        <v>No</v>
      </c>
      <c r="K252">
        <v>2026</v>
      </c>
      <c r="L252" t="str">
        <v>January</v>
      </c>
      <c r="X252">
        <v>1</v>
      </c>
    </row>
    <row r="253" spans="1:24" x14ac:dyDescent="0.2">
      <c r="A253" t="str">
        <v>Edgar Guttierez</v>
      </c>
      <c r="B253">
        <v>46048</v>
      </c>
      <c r="C253" t="str">
        <v>Diego Soria</v>
      </c>
      <c r="D253" t="str">
        <v>Fabrication</v>
      </c>
      <c r="E253" t="str">
        <v>405</v>
      </c>
      <c r="F253" t="str">
        <v>Plate Boner</v>
      </c>
      <c r="G253" t="str">
        <v>Strain</v>
      </c>
      <c r="H253" t="str">
        <v xml:space="preserve">RT - Shoulder </v>
      </c>
      <c r="I253" t="str">
        <v>FA</v>
      </c>
      <c r="J253" t="str">
        <v>No</v>
      </c>
      <c r="K253">
        <v>2026</v>
      </c>
      <c r="L253" t="str">
        <v>January</v>
      </c>
      <c r="X253">
        <v>1</v>
      </c>
    </row>
    <row r="254" spans="1:24" x14ac:dyDescent="0.2">
      <c r="A254" t="str">
        <v>Michael Valdez</v>
      </c>
      <c r="B254">
        <v>46048</v>
      </c>
      <c r="C254" t="str">
        <v>Ovidio Sanchez</v>
      </c>
      <c r="D254" t="str">
        <v>Fabrication</v>
      </c>
      <c r="E254" t="str">
        <v>400</v>
      </c>
      <c r="F254" t="str">
        <v>Chuck Hanger</v>
      </c>
      <c r="G254" t="str">
        <v>Sprain</v>
      </c>
      <c r="H254" t="str">
        <v xml:space="preserve">LT - Upper Arm/ Shoulder/ Shoulder Blade. </v>
      </c>
      <c r="I254" t="str">
        <v>FA</v>
      </c>
      <c r="J254" t="str">
        <v>No</v>
      </c>
      <c r="K254">
        <v>2026</v>
      </c>
      <c r="L254" t="str">
        <v>January</v>
      </c>
      <c r="X254">
        <v>1</v>
      </c>
    </row>
    <row r="255" spans="1:24" x14ac:dyDescent="0.2">
      <c r="A255" t="str">
        <v>Rayna Perez</v>
      </c>
      <c r="B255">
        <v>46045</v>
      </c>
      <c r="C255" t="str">
        <v>Rutilio Rodriguez</v>
      </c>
      <c r="D255" t="str">
        <v>Harvest</v>
      </c>
      <c r="E255" t="str">
        <v>102</v>
      </c>
      <c r="F255" t="str">
        <v xml:space="preserve">Deffect Trimmer </v>
      </c>
      <c r="G255" t="str">
        <v>Strain</v>
      </c>
      <c r="H255" t="str">
        <v>RT - Elbow</v>
      </c>
      <c r="I255" t="str">
        <v>FA</v>
      </c>
      <c r="J255" t="str">
        <v>No</v>
      </c>
      <c r="K255">
        <v>2026</v>
      </c>
      <c r="L255" t="str">
        <v>January</v>
      </c>
      <c r="X255">
        <v>1</v>
      </c>
    </row>
    <row r="256" spans="1:24" x14ac:dyDescent="0.2">
      <c r="A256" t="str">
        <v>Jesus Garcia</v>
      </c>
      <c r="B256">
        <v>46045</v>
      </c>
      <c r="C256" t="str">
        <v>Rutilio Rodriguez</v>
      </c>
      <c r="D256" t="str">
        <v>Harvest</v>
      </c>
      <c r="E256" t="str">
        <v>102</v>
      </c>
      <c r="F256" t="str">
        <v>Wax Papper Remover</v>
      </c>
      <c r="G256" t="str">
        <v>Rash</v>
      </c>
      <c r="H256" t="str">
        <v xml:space="preserve">Bilateral - Forearms </v>
      </c>
      <c r="I256" t="str">
        <v>FA</v>
      </c>
      <c r="J256" t="str">
        <v>No</v>
      </c>
      <c r="K256">
        <v>2026</v>
      </c>
      <c r="L256" t="str">
        <v>January</v>
      </c>
      <c r="X256">
        <v>1</v>
      </c>
    </row>
    <row r="257" spans="1:24" x14ac:dyDescent="0.2">
      <c r="A257" t="str">
        <v>Israel Douglas</v>
      </c>
      <c r="B257">
        <v>46044</v>
      </c>
      <c r="C257" t="str">
        <v>Diego Soria</v>
      </c>
      <c r="D257" t="str">
        <v>Fabrication</v>
      </c>
      <c r="E257" t="str">
        <v>405</v>
      </c>
      <c r="F257" t="str">
        <v xml:space="preserve">Saw Operator </v>
      </c>
      <c r="G257" t="str">
        <v>Strain</v>
      </c>
      <c r="H257" t="str">
        <v>RT - Wrist</v>
      </c>
      <c r="I257" t="str">
        <v>FA</v>
      </c>
      <c r="J257" t="str">
        <v>No</v>
      </c>
      <c r="K257">
        <v>2026</v>
      </c>
      <c r="L257" t="str">
        <v>January</v>
      </c>
      <c r="X257">
        <v>1</v>
      </c>
    </row>
    <row r="258" spans="1:24" x14ac:dyDescent="0.2">
      <c r="A258" t="str">
        <v>Braulio Torres</v>
      </c>
      <c r="B258">
        <v>46044</v>
      </c>
      <c r="C258" t="str">
        <v>Marilyn Herrera</v>
      </c>
      <c r="D258" t="str">
        <v>Harvest</v>
      </c>
      <c r="E258" t="str">
        <v>100</v>
      </c>
      <c r="F258" t="str">
        <v>Herdsman Clerk</v>
      </c>
      <c r="G258" t="str">
        <v>Abrasion</v>
      </c>
      <c r="H258" t="str">
        <v>RT - Ring Finger</v>
      </c>
      <c r="I258" t="str">
        <v>FA</v>
      </c>
      <c r="J258" t="str">
        <v>No</v>
      </c>
      <c r="K258">
        <v>2026</v>
      </c>
      <c r="L258" t="str">
        <v>January</v>
      </c>
      <c r="X258">
        <v>1</v>
      </c>
    </row>
    <row r="259" spans="1:24" x14ac:dyDescent="0.2">
      <c r="A259" t="str">
        <v>Aliyah Gonzalez</v>
      </c>
      <c r="B259">
        <v>46044</v>
      </c>
      <c r="C259" t="str">
        <v>Christian Lopez</v>
      </c>
      <c r="D259" t="str">
        <v>Harvest</v>
      </c>
      <c r="E259" t="str">
        <v>106</v>
      </c>
      <c r="F259" t="str">
        <v>Whizzard Knife Op.</v>
      </c>
      <c r="G259" t="str">
        <v>Strain</v>
      </c>
      <c r="H259" t="str">
        <v xml:space="preserve">RT - Shoulder </v>
      </c>
      <c r="I259" t="str">
        <v>FA</v>
      </c>
      <c r="J259" t="str">
        <v>No</v>
      </c>
      <c r="K259">
        <v>2026</v>
      </c>
      <c r="L259" t="str">
        <v>January</v>
      </c>
      <c r="X259">
        <v>1</v>
      </c>
    </row>
    <row r="260" spans="1:24" x14ac:dyDescent="0.2">
      <c r="A260" t="str">
        <v xml:space="preserve">Edwin Parada </v>
      </c>
      <c r="B260">
        <v>46044</v>
      </c>
      <c r="C260" t="str">
        <v>Elizabeth Neufeld</v>
      </c>
      <c r="D260" t="str">
        <v>Fabrication</v>
      </c>
      <c r="E260" t="str">
        <v>420</v>
      </c>
      <c r="F260" t="str">
        <v>Whizzard Knife Op - Button Boner</v>
      </c>
      <c r="G260" t="str">
        <v>Strain</v>
      </c>
      <c r="H260" t="str">
        <v xml:space="preserve">RT - Shoulder </v>
      </c>
      <c r="I260" t="str">
        <v>FA</v>
      </c>
      <c r="J260" t="str">
        <v>No</v>
      </c>
      <c r="K260">
        <v>2026</v>
      </c>
      <c r="L260" t="str">
        <v>January</v>
      </c>
      <c r="X260">
        <v>1</v>
      </c>
    </row>
    <row r="261" spans="1:24" x14ac:dyDescent="0.2">
      <c r="A261" t="str">
        <v>Artemio Monje</v>
      </c>
      <c r="B261">
        <v>46043</v>
      </c>
      <c r="C261" t="str">
        <v>Diego Soria</v>
      </c>
      <c r="D261" t="str">
        <v>Fabrication</v>
      </c>
      <c r="E261" t="str">
        <v>405</v>
      </c>
      <c r="F261" t="str">
        <v>Paddle Boner</v>
      </c>
      <c r="G261" t="str">
        <v>Strain</v>
      </c>
      <c r="H261" t="str">
        <v>RT - Elbow</v>
      </c>
      <c r="I261" t="str">
        <v>FA</v>
      </c>
      <c r="J261" t="str">
        <v>No</v>
      </c>
      <c r="K261">
        <v>2026</v>
      </c>
      <c r="L261" t="str">
        <v>January</v>
      </c>
      <c r="X261">
        <v>1</v>
      </c>
    </row>
    <row r="262" spans="1:24" x14ac:dyDescent="0.2">
      <c r="A262" t="str">
        <v>Diego Prciado</v>
      </c>
      <c r="B262">
        <v>46043</v>
      </c>
      <c r="C262" t="str">
        <v>Michael Orozco</v>
      </c>
      <c r="D262" t="str">
        <v>Harvest</v>
      </c>
      <c r="E262" t="str">
        <v>105</v>
      </c>
      <c r="F262" t="str">
        <v>Gutter</v>
      </c>
      <c r="G262" t="str">
        <v xml:space="preserve">Foreign Object </v>
      </c>
      <c r="H262" t="str">
        <v>LT - Eye</v>
      </c>
      <c r="I262" t="str">
        <v>FA</v>
      </c>
      <c r="J262" t="str">
        <v>No</v>
      </c>
      <c r="K262">
        <v>2026</v>
      </c>
      <c r="L262" t="str">
        <v>January</v>
      </c>
      <c r="X262">
        <v>1</v>
      </c>
    </row>
    <row r="263" spans="1:24" x14ac:dyDescent="0.2">
      <c r="A263" t="str">
        <v>Valeria Vasquez</v>
      </c>
      <c r="B263">
        <v>46043</v>
      </c>
      <c r="C263" t="str">
        <v>Rutilio Rodriguez</v>
      </c>
      <c r="D263" t="str">
        <v>Harvest</v>
      </c>
      <c r="E263" t="str">
        <v>102</v>
      </c>
      <c r="F263" t="str">
        <v>Tendon Collector</v>
      </c>
      <c r="G263" t="str">
        <v>Strain</v>
      </c>
      <c r="H263" t="str">
        <v>LT - Index &amp; Middle Finger</v>
      </c>
      <c r="I263" t="str">
        <v>FA</v>
      </c>
      <c r="J263" t="str">
        <v>No</v>
      </c>
      <c r="K263">
        <v>2026</v>
      </c>
      <c r="L263" t="str">
        <v>January</v>
      </c>
      <c r="X263">
        <v>1</v>
      </c>
    </row>
    <row r="264" spans="1:24" x14ac:dyDescent="0.2">
      <c r="A264" t="str">
        <v>Jonathan Golaviz</v>
      </c>
      <c r="B264">
        <v>46042</v>
      </c>
      <c r="C264" t="str">
        <v>Diego Soria</v>
      </c>
      <c r="D264" t="str">
        <v>Fabrication</v>
      </c>
      <c r="E264" t="str">
        <v>405</v>
      </c>
      <c r="F264" t="str">
        <v>Aitch Boner</v>
      </c>
      <c r="G264" t="str">
        <v>Strain</v>
      </c>
      <c r="H264" t="str">
        <v>RT - Pinky Finger</v>
      </c>
      <c r="I264" t="str">
        <v>FA</v>
      </c>
      <c r="J264" t="str">
        <v>No</v>
      </c>
      <c r="K264">
        <v>2026</v>
      </c>
      <c r="L264" t="str">
        <v>January</v>
      </c>
      <c r="X264">
        <v>1</v>
      </c>
    </row>
    <row r="265" spans="1:24" x14ac:dyDescent="0.2">
      <c r="A265" t="str">
        <v>Mayra Solarte</v>
      </c>
      <c r="B265">
        <v>46038</v>
      </c>
      <c r="C265" t="str">
        <v>Rutilio Rodriguez</v>
      </c>
      <c r="D265" t="str">
        <v>Harvest</v>
      </c>
      <c r="E265" t="str">
        <v>106</v>
      </c>
      <c r="F265" t="str">
        <v>Trim Shanks</v>
      </c>
      <c r="G265" t="str">
        <v>Rash</v>
      </c>
      <c r="H265" t="str">
        <v>LT - Upper Arm</v>
      </c>
      <c r="I265" t="str">
        <v>RPO</v>
      </c>
      <c r="J265" t="str">
        <v>No</v>
      </c>
      <c r="K265">
        <v>2026</v>
      </c>
      <c r="L265" t="str">
        <v>January</v>
      </c>
      <c r="X265">
        <v>1</v>
      </c>
    </row>
    <row r="266" spans="1:24" x14ac:dyDescent="0.2">
      <c r="A266" t="str">
        <v>Esmeralda Avalos Vazquez</v>
      </c>
      <c r="B266">
        <v>46038</v>
      </c>
      <c r="C266" t="str">
        <v>Christian Lopez</v>
      </c>
      <c r="D266" t="str">
        <v>Harvest</v>
      </c>
      <c r="E266" t="str">
        <v>106</v>
      </c>
      <c r="F266" t="str">
        <v>Spinal Cord Remover</v>
      </c>
      <c r="G266" t="str">
        <v>Burn</v>
      </c>
      <c r="H266" t="str">
        <v>RT - Forearm</v>
      </c>
      <c r="I266" t="str">
        <v>FA</v>
      </c>
      <c r="J266" t="str">
        <v>No</v>
      </c>
      <c r="K266">
        <v>2026</v>
      </c>
      <c r="L266" t="str">
        <v>January</v>
      </c>
      <c r="X266">
        <v>1</v>
      </c>
    </row>
    <row r="267" spans="1:24" x14ac:dyDescent="0.2">
      <c r="A267" t="str">
        <v>Antonio Soto</v>
      </c>
      <c r="B267">
        <v>46038</v>
      </c>
      <c r="C267" t="str">
        <v>Maria Garcia</v>
      </c>
      <c r="D267" t="str">
        <v>Fabrication</v>
      </c>
      <c r="E267" t="str">
        <v>445</v>
      </c>
      <c r="F267" t="str">
        <v>Pallertizer</v>
      </c>
      <c r="G267" t="str">
        <v>Puncture</v>
      </c>
      <c r="H267" t="str">
        <v>LT - Index Finger</v>
      </c>
      <c r="I267" t="str">
        <v>FA</v>
      </c>
      <c r="J267" t="str">
        <v>No</v>
      </c>
      <c r="K267">
        <v>2026</v>
      </c>
      <c r="L267" t="str">
        <v>January</v>
      </c>
      <c r="X267">
        <v>1</v>
      </c>
    </row>
    <row r="268" spans="1:24" x14ac:dyDescent="0.2">
      <c r="A268" t="str">
        <v>Moises Flores</v>
      </c>
      <c r="B268">
        <v>46036</v>
      </c>
      <c r="C268" t="str">
        <v>Juan Ramirez</v>
      </c>
      <c r="D268" t="str">
        <v>Fabrication</v>
      </c>
      <c r="E268" t="str">
        <v>410</v>
      </c>
      <c r="F268" t="str">
        <v>Tender Puller</v>
      </c>
      <c r="G268" t="str">
        <v>Strain</v>
      </c>
      <c r="H268" t="str">
        <v>LT - Forearm</v>
      </c>
      <c r="I268" t="str">
        <v>FA</v>
      </c>
      <c r="J268" t="str">
        <v>No</v>
      </c>
      <c r="K268">
        <v>2026</v>
      </c>
      <c r="L268" t="str">
        <v>January</v>
      </c>
      <c r="X268">
        <v>1</v>
      </c>
    </row>
    <row r="269" spans="1:24" x14ac:dyDescent="0.2">
      <c r="A269" t="str">
        <v>Jose Aguilar</v>
      </c>
      <c r="B269">
        <v>46034</v>
      </c>
      <c r="C269" t="str">
        <v>Rayomond Corrales</v>
      </c>
      <c r="D269" t="str">
        <v>Maintenance</v>
      </c>
      <c r="E269" t="str">
        <v>Maintenance</v>
      </c>
      <c r="F269" t="str">
        <v xml:space="preserve">Maintenance </v>
      </c>
      <c r="G269" t="str">
        <v>Pinch-Point</v>
      </c>
      <c r="H269" t="str">
        <v>LT - Middle Finger</v>
      </c>
      <c r="I269" t="str">
        <v>FA</v>
      </c>
      <c r="J269" t="str">
        <v>No</v>
      </c>
      <c r="K269">
        <v>2026</v>
      </c>
      <c r="L269" t="str">
        <v>January</v>
      </c>
      <c r="X269">
        <v>1</v>
      </c>
    </row>
    <row r="270" spans="1:24" x14ac:dyDescent="0.2">
      <c r="A270" t="str">
        <v>Selfia Revuelta</v>
      </c>
      <c r="B270">
        <v>46034</v>
      </c>
      <c r="C270" t="str">
        <v>Juan Rodriguez</v>
      </c>
      <c r="D270" t="str">
        <v>Fabrication</v>
      </c>
      <c r="E270" t="str">
        <v>415</v>
      </c>
      <c r="F270" t="str">
        <v>Whizzard Knife Op.</v>
      </c>
      <c r="G270" t="str">
        <v>Puncture</v>
      </c>
      <c r="H270" t="str">
        <v>LT - Forearm</v>
      </c>
      <c r="I270" t="str">
        <v>FA</v>
      </c>
      <c r="J270" t="str">
        <v>No</v>
      </c>
      <c r="K270">
        <v>2026</v>
      </c>
      <c r="L270" t="str">
        <v>January</v>
      </c>
      <c r="X270">
        <v>1</v>
      </c>
    </row>
    <row r="271" spans="1:24" x14ac:dyDescent="0.2">
      <c r="A271" t="str">
        <v>Touthao Yang</v>
      </c>
      <c r="B271">
        <v>46034</v>
      </c>
      <c r="C271" t="str">
        <v>Francisco Tapia</v>
      </c>
      <c r="D271" t="str">
        <v>Fabrication</v>
      </c>
      <c r="E271" t="str">
        <v>Loading Dock</v>
      </c>
      <c r="F271" t="str">
        <v>Loading Dock Lead</v>
      </c>
      <c r="G271" t="str">
        <v>Laceration</v>
      </c>
      <c r="H271" t="str">
        <v>LT - Thumb</v>
      </c>
      <c r="I271" t="str">
        <v>FA</v>
      </c>
      <c r="J271" t="str">
        <v>No</v>
      </c>
      <c r="K271">
        <v>2026</v>
      </c>
      <c r="L271" t="str">
        <v>January</v>
      </c>
      <c r="X271">
        <v>1</v>
      </c>
    </row>
    <row r="272" spans="1:24" x14ac:dyDescent="0.2">
      <c r="A272" t="str">
        <v>Kao Vang</v>
      </c>
      <c r="B272">
        <v>46031</v>
      </c>
      <c r="C272" t="str">
        <v>Maria Garcia</v>
      </c>
      <c r="D272" t="str">
        <v>Fabrication</v>
      </c>
      <c r="E272" t="str">
        <v>445</v>
      </c>
      <c r="F272" t="str">
        <v>Bagger</v>
      </c>
      <c r="G272" t="str">
        <v>Strain</v>
      </c>
      <c r="H272" t="str">
        <v>RT - Leg</v>
      </c>
      <c r="I272" t="str">
        <v>FA</v>
      </c>
      <c r="J272" t="str">
        <v>No</v>
      </c>
      <c r="K272">
        <v>2026</v>
      </c>
      <c r="L272" t="str">
        <v>January</v>
      </c>
      <c r="X272">
        <v>1</v>
      </c>
    </row>
    <row r="273" spans="1:24" x14ac:dyDescent="0.2">
      <c r="A273" t="str">
        <v>Douglas Cline</v>
      </c>
      <c r="B273">
        <v>46030</v>
      </c>
      <c r="C273" t="str">
        <v>Diego Soria</v>
      </c>
      <c r="D273" t="str">
        <v>Fabrication</v>
      </c>
      <c r="E273" t="str">
        <v>405</v>
      </c>
      <c r="F273" t="str">
        <v>Aitch Boner</v>
      </c>
      <c r="G273" t="str">
        <v>Strain</v>
      </c>
      <c r="H273" t="str">
        <v>RT - Forearm</v>
      </c>
      <c r="I273" t="str">
        <v>FA</v>
      </c>
      <c r="J273" t="str">
        <v>No</v>
      </c>
      <c r="K273">
        <v>2026</v>
      </c>
      <c r="L273" t="str">
        <v>January</v>
      </c>
      <c r="X273">
        <v>1</v>
      </c>
    </row>
    <row r="274" spans="1:24" x14ac:dyDescent="0.2">
      <c r="A274" t="str">
        <v>Patricia Castillo</v>
      </c>
      <c r="B274">
        <v>46030</v>
      </c>
      <c r="C274" t="str">
        <v>Maria Garcia</v>
      </c>
      <c r="D274" t="str">
        <v>Fabrication</v>
      </c>
      <c r="E274" t="str">
        <v>445</v>
      </c>
      <c r="F274" t="str">
        <v>Bagger</v>
      </c>
      <c r="G274" t="str">
        <v>Strain</v>
      </c>
      <c r="H274" t="str">
        <v>LT - Shoulder</v>
      </c>
      <c r="I274" t="str">
        <v>FA</v>
      </c>
      <c r="J274" t="str">
        <v>No</v>
      </c>
      <c r="K274">
        <v>2026</v>
      </c>
      <c r="L274" t="str">
        <v>January</v>
      </c>
      <c r="X274">
        <v>1</v>
      </c>
    </row>
    <row r="275" spans="1:24" x14ac:dyDescent="0.2">
      <c r="A275" t="str">
        <v>Luis Perez Baldez</v>
      </c>
      <c r="B275">
        <v>46030</v>
      </c>
      <c r="C275" t="str">
        <v>Diego Soria</v>
      </c>
      <c r="D275" t="str">
        <v>Fabrication</v>
      </c>
      <c r="E275" t="str">
        <v>405</v>
      </c>
      <c r="F275" t="str">
        <v>Blade Meat</v>
      </c>
      <c r="G275" t="str">
        <v>Laceration</v>
      </c>
      <c r="H275" t="str">
        <v>RT - Ring Finger</v>
      </c>
      <c r="I275" t="str">
        <v>RECORDABLE</v>
      </c>
      <c r="J275" t="str">
        <v>Yes</v>
      </c>
      <c r="K275">
        <v>2026</v>
      </c>
      <c r="L275" t="str">
        <v>January</v>
      </c>
      <c r="X275">
        <v>1</v>
      </c>
    </row>
    <row r="276" spans="1:24" x14ac:dyDescent="0.2">
      <c r="A276" t="str">
        <v>Sarah Gonzalez</v>
      </c>
      <c r="B276">
        <v>46029</v>
      </c>
      <c r="C276" t="str">
        <v>Richard Xiong</v>
      </c>
      <c r="D276" t="str">
        <v>Harvest</v>
      </c>
      <c r="E276" t="str">
        <v>101</v>
      </c>
      <c r="F276" t="str">
        <v>Whizzard Knife Op.</v>
      </c>
      <c r="G276" t="str">
        <v>Strain</v>
      </c>
      <c r="H276" t="str">
        <v>LT - Forearm</v>
      </c>
      <c r="I276" t="str">
        <v>FA</v>
      </c>
      <c r="J276" t="str">
        <v>No</v>
      </c>
      <c r="K276">
        <v>2026</v>
      </c>
      <c r="L276" t="str">
        <v>January</v>
      </c>
      <c r="X276">
        <v>1</v>
      </c>
    </row>
    <row r="277" spans="1:24" x14ac:dyDescent="0.2">
      <c r="A277" t="str">
        <v>Robyn Evans</v>
      </c>
      <c r="B277">
        <v>46022</v>
      </c>
      <c r="C277" t="str">
        <v>Samuel Sierra</v>
      </c>
      <c r="D277" t="str">
        <v>Harvest</v>
      </c>
      <c r="E277" t="str">
        <v>109</v>
      </c>
      <c r="F277" t="str">
        <v>107</v>
      </c>
      <c r="G277" t="str">
        <v>Box Maker</v>
      </c>
      <c r="H277" t="str">
        <v>Strain</v>
      </c>
      <c r="I277" t="str">
        <v>RPO</v>
      </c>
      <c r="J277" t="str">
        <v>No</v>
      </c>
      <c r="K277">
        <v>2025</v>
      </c>
      <c r="L277" t="str">
        <v>December</v>
      </c>
      <c r="X277">
        <v>0</v>
      </c>
    </row>
    <row r="278" spans="1:24" x14ac:dyDescent="0.2">
      <c r="A278" t="str">
        <v>Maikol Nerey</v>
      </c>
      <c r="B278">
        <v>46022</v>
      </c>
      <c r="C278" t="str">
        <v>Samuel Sierra</v>
      </c>
      <c r="D278" t="str">
        <v>Harvest</v>
      </c>
      <c r="E278" t="str">
        <v>109</v>
      </c>
      <c r="F278" t="str">
        <v>Head Splitter</v>
      </c>
      <c r="G278" t="str">
        <v>Laceration</v>
      </c>
      <c r="H278" t="str">
        <v>LT - Upper Arm</v>
      </c>
      <c r="I278" t="str">
        <v>FA</v>
      </c>
      <c r="J278" t="str">
        <v>No</v>
      </c>
      <c r="K278">
        <v>2025</v>
      </c>
      <c r="L278" t="str">
        <v>December</v>
      </c>
      <c r="X278">
        <v>0</v>
      </c>
    </row>
    <row r="279" spans="1:24" x14ac:dyDescent="0.2">
      <c r="A279" t="str">
        <v>Robyn Evans</v>
      </c>
      <c r="B279">
        <v>46022</v>
      </c>
      <c r="C279" t="str">
        <v>Samuel Sierra</v>
      </c>
      <c r="D279" t="str">
        <v>Harvest</v>
      </c>
      <c r="E279" t="str">
        <v>109</v>
      </c>
      <c r="F279" t="str">
        <v>107</v>
      </c>
      <c r="G279" t="str">
        <v>Box Maker</v>
      </c>
      <c r="H279" t="str">
        <v>Strain</v>
      </c>
      <c r="I279" t="str">
        <v>FA</v>
      </c>
      <c r="J279" t="str">
        <v>No</v>
      </c>
      <c r="K279">
        <v>2025</v>
      </c>
      <c r="L279" t="str">
        <v>December</v>
      </c>
      <c r="X279">
        <v>0</v>
      </c>
    </row>
    <row r="280" spans="1:24" x14ac:dyDescent="0.2">
      <c r="A280" t="str">
        <v>Touthao Yang</v>
      </c>
      <c r="B280">
        <v>46021</v>
      </c>
      <c r="C280" t="str">
        <v>Francisco Tapia</v>
      </c>
      <c r="D280" t="str">
        <v>Fabrication</v>
      </c>
      <c r="E280" t="str">
        <v>Loading Dock</v>
      </c>
      <c r="F280" t="str">
        <v>Loading Dock Lead</v>
      </c>
      <c r="G280" t="str">
        <v>Puncture</v>
      </c>
      <c r="H280" t="str">
        <v>LT - Thumb</v>
      </c>
      <c r="I280" t="str">
        <v>FA</v>
      </c>
      <c r="J280" t="str">
        <v>No</v>
      </c>
      <c r="K280">
        <v>2025</v>
      </c>
      <c r="L280" t="str">
        <v>December</v>
      </c>
      <c r="X280">
        <v>0</v>
      </c>
    </row>
    <row r="281" spans="1:24" x14ac:dyDescent="0.2">
      <c r="A281" t="str">
        <v>Jose Nunez</v>
      </c>
      <c r="B281">
        <v>46021</v>
      </c>
      <c r="C281" t="str">
        <v>Erwin Vega</v>
      </c>
      <c r="D281" t="str">
        <v>Fabrication</v>
      </c>
      <c r="E281" t="str">
        <v>124</v>
      </c>
      <c r="F281" t="str">
        <v>Cooler Cordinator</v>
      </c>
      <c r="G281" t="str">
        <v>Foreign boby in eye</v>
      </c>
      <c r="H281" t="str">
        <v xml:space="preserve">RT - Eye </v>
      </c>
      <c r="I281" t="str">
        <v>FA</v>
      </c>
      <c r="J281" t="str">
        <v>No</v>
      </c>
      <c r="K281">
        <v>2025</v>
      </c>
      <c r="L281" t="str">
        <v>December</v>
      </c>
      <c r="X281">
        <v>0</v>
      </c>
    </row>
    <row r="282" spans="1:24" x14ac:dyDescent="0.2">
      <c r="A282" t="str">
        <v>Mauricio Sandoval</v>
      </c>
      <c r="B282">
        <v>46020</v>
      </c>
      <c r="C282" t="str">
        <v>Diego Soria</v>
      </c>
      <c r="D282" t="str">
        <v>Fabrication</v>
      </c>
      <c r="E282" t="str">
        <v>405</v>
      </c>
      <c r="F282" t="str">
        <v>Tender Puller</v>
      </c>
      <c r="G282" t="str">
        <v>Strain</v>
      </c>
      <c r="H282" t="str">
        <v>RT - Mid Upper Back</v>
      </c>
      <c r="I282" t="str">
        <v>FA</v>
      </c>
      <c r="J282" t="str">
        <v>No</v>
      </c>
      <c r="K282">
        <v>2025</v>
      </c>
      <c r="L282" t="str">
        <v>December</v>
      </c>
      <c r="X282">
        <v>0</v>
      </c>
    </row>
    <row r="283" spans="1:24" x14ac:dyDescent="0.2">
      <c r="A283" t="str">
        <v>Gerardo Zalazar</v>
      </c>
      <c r="B283">
        <v>46020</v>
      </c>
      <c r="C283" t="str">
        <v>Ovidio Sanchez</v>
      </c>
      <c r="D283" t="str">
        <v>Fabrication</v>
      </c>
      <c r="E283" t="str">
        <v>400</v>
      </c>
      <c r="F283" t="str">
        <v>Saw Helper</v>
      </c>
      <c r="G283" t="str">
        <v>Falling Object</v>
      </c>
      <c r="H283" t="str">
        <v>LT - FOOT (top)</v>
      </c>
      <c r="I283" t="str">
        <v>FA</v>
      </c>
      <c r="J283" t="str">
        <v>No</v>
      </c>
      <c r="K283">
        <v>2025</v>
      </c>
      <c r="L283" t="str">
        <v>December</v>
      </c>
      <c r="X283">
        <v>0</v>
      </c>
    </row>
    <row r="284" spans="1:24" x14ac:dyDescent="0.2">
      <c r="A284" t="str">
        <v xml:space="preserve">Enrique Ramos  </v>
      </c>
      <c r="B284">
        <v>46020</v>
      </c>
      <c r="C284" t="str">
        <v>Diego Soria</v>
      </c>
      <c r="D284" t="str">
        <v>Fabrication</v>
      </c>
      <c r="E284" t="str">
        <v>405</v>
      </c>
      <c r="F284" t="str">
        <v>Short Rib Bonner</v>
      </c>
      <c r="G284" t="str">
        <v>Puncture</v>
      </c>
      <c r="H284" t="str">
        <v>RT - Middle Finger</v>
      </c>
      <c r="I284" t="str">
        <v>FA</v>
      </c>
      <c r="J284" t="str">
        <v>No</v>
      </c>
      <c r="K284">
        <v>2025</v>
      </c>
      <c r="L284" t="str">
        <v>December</v>
      </c>
      <c r="X284">
        <v>0</v>
      </c>
    </row>
    <row r="285" spans="1:24" x14ac:dyDescent="0.2">
      <c r="A285" t="str">
        <v>Jose Nunez</v>
      </c>
      <c r="B285">
        <v>46015</v>
      </c>
      <c r="C285" t="str">
        <v>Erwin Vega</v>
      </c>
      <c r="D285" t="str">
        <v>Fabrication</v>
      </c>
      <c r="E285" t="str">
        <v>124</v>
      </c>
      <c r="F285" t="str">
        <v>Cooler Pusher</v>
      </c>
      <c r="G285" t="str">
        <v>Violance / Assault</v>
      </c>
      <c r="H285" t="str">
        <v>LT - Cheek</v>
      </c>
      <c r="I285" t="str">
        <v>FA</v>
      </c>
      <c r="J285" t="str">
        <v>No</v>
      </c>
      <c r="K285">
        <v>2025</v>
      </c>
      <c r="L285" t="str">
        <v>December</v>
      </c>
      <c r="X285">
        <v>0</v>
      </c>
    </row>
    <row r="286" spans="1:24" x14ac:dyDescent="0.2">
      <c r="A286" t="str">
        <v xml:space="preserve">Michael Gurrusquieta </v>
      </c>
      <c r="B286">
        <v>46014</v>
      </c>
      <c r="C286" t="str">
        <v>Christian Lopez</v>
      </c>
      <c r="D286" t="str">
        <v>Harvest</v>
      </c>
      <c r="E286" t="str">
        <v>106</v>
      </c>
      <c r="F286" t="str">
        <v>Deffect Trimmer</v>
      </c>
      <c r="G286" t="str">
        <v>Strain</v>
      </c>
      <c r="H286" t="str">
        <v>RT - Shoulder</v>
      </c>
      <c r="I286" t="str">
        <v>FA</v>
      </c>
      <c r="J286" t="str">
        <v>No</v>
      </c>
      <c r="K286">
        <v>2025</v>
      </c>
      <c r="L286" t="str">
        <v>December</v>
      </c>
      <c r="X286">
        <v>0</v>
      </c>
    </row>
    <row r="287" spans="1:24" x14ac:dyDescent="0.2">
      <c r="A287" t="str">
        <v xml:space="preserve">Charlie Stevenson </v>
      </c>
      <c r="B287">
        <v>46014</v>
      </c>
      <c r="C287" t="str">
        <v>Ovidio Sanchez</v>
      </c>
      <c r="D287" t="str">
        <v>Fabrication</v>
      </c>
      <c r="E287" t="str">
        <v>Knife Room</v>
      </c>
      <c r="F287" t="str">
        <v>Lactic Acid Spray</v>
      </c>
      <c r="G287" t="str">
        <v>Strain</v>
      </c>
      <c r="H287" t="str">
        <v>RT - Elbow &amp; Bisep</v>
      </c>
      <c r="I287" t="str">
        <v>FA</v>
      </c>
      <c r="J287" t="str">
        <v>No</v>
      </c>
      <c r="K287">
        <v>2025</v>
      </c>
      <c r="L287" t="str">
        <v>December</v>
      </c>
      <c r="X287">
        <v>0</v>
      </c>
    </row>
    <row r="288" spans="1:24" x14ac:dyDescent="0.2">
      <c r="A288" t="str">
        <v>Rocio Bernal</v>
      </c>
      <c r="B288">
        <v>46013</v>
      </c>
      <c r="C288" t="str">
        <v>Samuel Sierra</v>
      </c>
      <c r="D288" t="str">
        <v>Harvest</v>
      </c>
      <c r="E288" t="str">
        <v>109</v>
      </c>
      <c r="F288" t="str">
        <v>Pack Off</v>
      </c>
      <c r="G288" t="str">
        <v>Rash</v>
      </c>
      <c r="H288" t="str">
        <v>LT - Forearm</v>
      </c>
      <c r="I288" t="str">
        <v>FA</v>
      </c>
      <c r="J288" t="str">
        <v>No</v>
      </c>
      <c r="K288">
        <v>2025</v>
      </c>
      <c r="L288" t="str">
        <v>December</v>
      </c>
      <c r="X288">
        <v>0</v>
      </c>
    </row>
    <row r="289" spans="1:24" x14ac:dyDescent="0.2">
      <c r="A289" t="str">
        <v>Mayra Solarte</v>
      </c>
      <c r="B289">
        <v>46010</v>
      </c>
      <c r="C289" t="str">
        <v>Rutilio Rodriguez</v>
      </c>
      <c r="D289" t="str">
        <v>Harvest</v>
      </c>
      <c r="E289" t="str">
        <v>102</v>
      </c>
      <c r="F289" t="str">
        <v xml:space="preserve">Whizzard Op. </v>
      </c>
      <c r="G289" t="str">
        <v>Strain</v>
      </c>
      <c r="H289" t="str">
        <v>RT - Elbow</v>
      </c>
      <c r="I289" t="str">
        <v>FA</v>
      </c>
      <c r="J289" t="str">
        <v>No</v>
      </c>
      <c r="K289">
        <v>2025</v>
      </c>
      <c r="L289" t="str">
        <v>December</v>
      </c>
      <c r="X289">
        <v>0</v>
      </c>
    </row>
    <row r="290" spans="1:24" x14ac:dyDescent="0.2">
      <c r="A290" t="str">
        <v>Bryan Beceril</v>
      </c>
      <c r="B290">
        <v>46009</v>
      </c>
      <c r="C290" t="str">
        <v>Michael Orozco</v>
      </c>
      <c r="D290" t="str">
        <v>Harvest</v>
      </c>
      <c r="E290" t="str">
        <v>104</v>
      </c>
      <c r="F290" t="str">
        <v>Brisket Saw Op</v>
      </c>
      <c r="G290" t="str">
        <v>Rash</v>
      </c>
      <c r="H290" t="str">
        <v>RT - Forearm</v>
      </c>
      <c r="I290" t="str">
        <v>FA</v>
      </c>
      <c r="J290" t="str">
        <v>No</v>
      </c>
      <c r="K290">
        <v>2025</v>
      </c>
      <c r="L290" t="str">
        <v>December</v>
      </c>
      <c r="X290">
        <v>0</v>
      </c>
    </row>
    <row r="291" spans="1:24" x14ac:dyDescent="0.2">
      <c r="A291" t="str">
        <v>Sandra Arredondo</v>
      </c>
      <c r="B291">
        <v>46007</v>
      </c>
      <c r="C291" t="str">
        <v>Ovidio Sanchez</v>
      </c>
      <c r="D291" t="str">
        <v>Fabrication</v>
      </c>
      <c r="E291" t="str">
        <v>400</v>
      </c>
      <c r="F291" t="str">
        <v>Fajita Skinner</v>
      </c>
      <c r="G291" t="str">
        <v>Strain</v>
      </c>
      <c r="H291" t="str">
        <v>RT - Elbow &amp; Forearm</v>
      </c>
      <c r="I291" t="str">
        <v>FA</v>
      </c>
      <c r="J291" t="str">
        <v>No</v>
      </c>
      <c r="K291">
        <v>2025</v>
      </c>
      <c r="L291" t="str">
        <v>December</v>
      </c>
      <c r="X291">
        <v>0</v>
      </c>
    </row>
    <row r="292" spans="1:24" x14ac:dyDescent="0.2">
      <c r="A292" t="str">
        <v>Jesus Silvas</v>
      </c>
      <c r="B292">
        <v>46007</v>
      </c>
      <c r="C292" t="str">
        <v>Diego Soria</v>
      </c>
      <c r="D292" t="str">
        <v>Fabrication</v>
      </c>
      <c r="E292" t="str">
        <v>405</v>
      </c>
      <c r="F292" t="str">
        <v>Tender Puller</v>
      </c>
      <c r="G292" t="str">
        <v>Strain</v>
      </c>
      <c r="H292" t="str">
        <v>Bilateral - Arms</v>
      </c>
      <c r="I292" t="str">
        <v>FA</v>
      </c>
      <c r="J292" t="str">
        <v>No</v>
      </c>
      <c r="K292">
        <v>2025</v>
      </c>
      <c r="L292" t="str">
        <v>December</v>
      </c>
      <c r="X292">
        <v>0</v>
      </c>
    </row>
    <row r="293" spans="1:24" x14ac:dyDescent="0.2">
      <c r="A293" t="str">
        <v>Michael Gurrusquieta</v>
      </c>
      <c r="B293">
        <v>46007</v>
      </c>
      <c r="C293" t="str">
        <v>Christian Lopez</v>
      </c>
      <c r="D293" t="str">
        <v>Harvest</v>
      </c>
      <c r="E293" t="str">
        <v>106</v>
      </c>
      <c r="F293" t="str">
        <v>Deffect Trimmer</v>
      </c>
      <c r="G293" t="str">
        <v>Puncture</v>
      </c>
      <c r="H293" t="str">
        <v>LT - Thumb</v>
      </c>
      <c r="I293" t="str">
        <v>FA</v>
      </c>
      <c r="J293" t="str">
        <v>No</v>
      </c>
      <c r="K293">
        <v>2025</v>
      </c>
      <c r="L293" t="str">
        <v>December</v>
      </c>
      <c r="X293">
        <v>0</v>
      </c>
    </row>
    <row r="294" spans="1:24" x14ac:dyDescent="0.2">
      <c r="A294" t="str">
        <v>Gabiel Limas</v>
      </c>
      <c r="B294">
        <v>46006</v>
      </c>
      <c r="C294" t="str">
        <v>Diego Soria</v>
      </c>
      <c r="D294" t="str">
        <v>Fabrication</v>
      </c>
      <c r="E294" t="str">
        <v>405</v>
      </c>
      <c r="F294" t="str">
        <v>Top Boner</v>
      </c>
      <c r="G294" t="str">
        <v>Puncture</v>
      </c>
      <c r="H294" t="str">
        <v>RT - Tight</v>
      </c>
      <c r="I294" t="str">
        <v>FA</v>
      </c>
      <c r="J294" t="str">
        <v>No</v>
      </c>
      <c r="K294">
        <v>2025</v>
      </c>
      <c r="L294" t="str">
        <v>December</v>
      </c>
      <c r="X294">
        <v>0</v>
      </c>
    </row>
    <row r="295" spans="1:24" x14ac:dyDescent="0.2">
      <c r="A295" t="str">
        <v>Touthao Yang</v>
      </c>
      <c r="B295">
        <v>46003</v>
      </c>
      <c r="C295" t="str">
        <v>Francisco Tapia</v>
      </c>
      <c r="D295" t="str">
        <v>Fabrication</v>
      </c>
      <c r="E295" t="str">
        <v>Loading Dock</v>
      </c>
      <c r="F295" t="str">
        <v>Loading Dock Lead</v>
      </c>
      <c r="G295" t="str">
        <v>Sprain</v>
      </c>
      <c r="H295" t="str">
        <v>LT - Ankle</v>
      </c>
      <c r="I295" t="str">
        <v>FA</v>
      </c>
      <c r="J295" t="str">
        <v>No</v>
      </c>
      <c r="K295">
        <v>2025</v>
      </c>
      <c r="L295" t="str">
        <v>December</v>
      </c>
      <c r="X295">
        <v>0</v>
      </c>
    </row>
    <row r="296" spans="1:24" x14ac:dyDescent="0.2">
      <c r="A296" t="str">
        <v>Carlos Romen</v>
      </c>
      <c r="B296">
        <v>46003</v>
      </c>
      <c r="C296" t="str">
        <v>marilyn herrera</v>
      </c>
      <c r="D296" t="str">
        <v>Harvest</v>
      </c>
      <c r="E296" t="str">
        <v>100</v>
      </c>
      <c r="F296" t="str">
        <v xml:space="preserve">Herdsman   </v>
      </c>
      <c r="G296" t="str">
        <v>Struck By Cattle</v>
      </c>
      <c r="H296" t="str">
        <v>LT - Leg (Shin)</v>
      </c>
      <c r="I296" t="str">
        <v>RECORDABLE</v>
      </c>
      <c r="J296" t="str">
        <v>Yes</v>
      </c>
      <c r="K296">
        <v>2025</v>
      </c>
      <c r="L296" t="str">
        <v>December</v>
      </c>
      <c r="X296">
        <v>0</v>
      </c>
    </row>
    <row r="297" spans="1:24" x14ac:dyDescent="0.2">
      <c r="A297" t="str">
        <v>Alfredo Rodriguez</v>
      </c>
      <c r="B297">
        <v>46003</v>
      </c>
      <c r="C297" t="str">
        <v>Francisco Tapia</v>
      </c>
      <c r="D297" t="str">
        <v>Fabrication</v>
      </c>
      <c r="E297" t="str">
        <v>Loading Dock</v>
      </c>
      <c r="F297" t="str">
        <v xml:space="preserve">Forklift Op. </v>
      </c>
      <c r="G297" t="str">
        <v>Strain</v>
      </c>
      <c r="H297" t="str">
        <v xml:space="preserve">LT - Diggit (Finger) </v>
      </c>
      <c r="I297" t="str">
        <v>RPO</v>
      </c>
      <c r="J297" t="str">
        <v>No</v>
      </c>
      <c r="K297">
        <v>2025</v>
      </c>
      <c r="L297" t="str">
        <v>December</v>
      </c>
      <c r="X297">
        <v>0</v>
      </c>
    </row>
    <row r="298" spans="1:24" x14ac:dyDescent="0.2">
      <c r="A298" t="str">
        <v>Kathrine Montez</v>
      </c>
      <c r="B298">
        <v>46003</v>
      </c>
      <c r="C298" t="str">
        <v>Samuel Sierra</v>
      </c>
      <c r="D298" t="str">
        <v>Harvest</v>
      </c>
      <c r="E298" t="str">
        <v>107</v>
      </c>
      <c r="F298" t="str">
        <v>Cheek Pack Off</v>
      </c>
      <c r="G298" t="str">
        <v>Stike against object</v>
      </c>
      <c r="H298" t="str">
        <v>RT - Tight</v>
      </c>
      <c r="I298" t="str">
        <v>FA</v>
      </c>
      <c r="J298" t="str">
        <v>No</v>
      </c>
      <c r="K298">
        <v>2025</v>
      </c>
      <c r="L298" t="str">
        <v>December</v>
      </c>
      <c r="X298">
        <v>0</v>
      </c>
    </row>
    <row r="299" spans="1:24" x14ac:dyDescent="0.2">
      <c r="A299" t="str">
        <v>Jesus Morales Lopez</v>
      </c>
      <c r="B299">
        <v>46003</v>
      </c>
      <c r="C299" t="str">
        <v>marilyn herrera</v>
      </c>
      <c r="D299" t="str">
        <v>Harvest</v>
      </c>
      <c r="E299" t="str">
        <v>100</v>
      </c>
      <c r="F299" t="str">
        <v>Herdsman</v>
      </c>
      <c r="G299" t="str">
        <v>Struck By Cattle</v>
      </c>
      <c r="H299" t="str">
        <v>RT - Shin</v>
      </c>
      <c r="I299" t="str">
        <v>FA</v>
      </c>
      <c r="J299" t="str">
        <v>No</v>
      </c>
      <c r="K299">
        <v>2025</v>
      </c>
      <c r="L299" t="str">
        <v>December</v>
      </c>
      <c r="X299">
        <v>0</v>
      </c>
    </row>
    <row r="300" spans="1:24" x14ac:dyDescent="0.2">
      <c r="A300" t="str">
        <v>Michael Valadez</v>
      </c>
      <c r="B300">
        <v>46002</v>
      </c>
      <c r="C300" t="str">
        <v>Ovidio Sanchez</v>
      </c>
      <c r="D300" t="str">
        <v>Fabrication</v>
      </c>
      <c r="E300" t="str">
        <v>400</v>
      </c>
      <c r="F300" t="str">
        <v>Chuck Hanger</v>
      </c>
      <c r="G300" t="str">
        <v>Puncture</v>
      </c>
      <c r="H300" t="str">
        <v>RT - Thumb</v>
      </c>
      <c r="I300" t="str">
        <v>FA</v>
      </c>
      <c r="J300" t="str">
        <v>No</v>
      </c>
      <c r="K300">
        <v>2025</v>
      </c>
      <c r="L300" t="str">
        <v>December</v>
      </c>
      <c r="X300">
        <v>0</v>
      </c>
    </row>
    <row r="301" spans="1:24" x14ac:dyDescent="0.2">
      <c r="A301" t="str">
        <v>Jose Balderas</v>
      </c>
      <c r="B301">
        <v>46001</v>
      </c>
      <c r="C301" t="str">
        <v>Richard Xiong</v>
      </c>
      <c r="D301" t="str">
        <v>Harvest</v>
      </c>
      <c r="E301" t="str">
        <v>101</v>
      </c>
      <c r="F301" t="str">
        <v>1st Air Knife</v>
      </c>
      <c r="G301" t="str">
        <v>Strain</v>
      </c>
      <c r="H301" t="str">
        <v>LT - Diggits (Fingers)</v>
      </c>
      <c r="I301" t="str">
        <v>RPO</v>
      </c>
      <c r="J301" t="str">
        <v>No</v>
      </c>
      <c r="K301">
        <v>2025</v>
      </c>
      <c r="L301" t="str">
        <v>December</v>
      </c>
      <c r="X301">
        <v>0</v>
      </c>
    </row>
    <row r="302" spans="1:24" x14ac:dyDescent="0.2">
      <c r="A302" t="str">
        <v>Ovidio Sanchez</v>
      </c>
      <c r="B302">
        <v>46000</v>
      </c>
      <c r="C302" t="str">
        <v>Juan Martinez</v>
      </c>
      <c r="D302" t="str">
        <v>Fabrication</v>
      </c>
      <c r="E302" t="str">
        <v>400</v>
      </c>
      <c r="F302" t="str">
        <v>Fab Supervisor</v>
      </c>
      <c r="G302" t="str">
        <v>Struck By Object</v>
      </c>
      <c r="H302" t="str">
        <v>Back Head</v>
      </c>
      <c r="I302" t="str">
        <v>FA</v>
      </c>
      <c r="J302" t="str">
        <v>No</v>
      </c>
      <c r="K302">
        <v>2025</v>
      </c>
      <c r="L302" t="str">
        <v>December</v>
      </c>
      <c r="X302">
        <v>0</v>
      </c>
    </row>
    <row r="303" spans="1:24" x14ac:dyDescent="0.2">
      <c r="A303" t="str">
        <v>Jesus Valdez</v>
      </c>
      <c r="B303">
        <v>45999</v>
      </c>
      <c r="C303" t="str">
        <v>Christian Lopez</v>
      </c>
      <c r="D303" t="str">
        <v>Harvest</v>
      </c>
      <c r="E303" t="str">
        <v>106</v>
      </c>
      <c r="F303" t="str">
        <v>Deffect Trimmer</v>
      </c>
      <c r="G303" t="str">
        <v>Strain</v>
      </c>
      <c r="H303" t="str">
        <v>RT - Hand &amp; Forearm</v>
      </c>
      <c r="I303" t="str">
        <v>FA</v>
      </c>
      <c r="J303" t="str">
        <v>No</v>
      </c>
      <c r="K303">
        <v>2025</v>
      </c>
      <c r="L303" t="str">
        <v>December</v>
      </c>
      <c r="X303">
        <v>0</v>
      </c>
    </row>
    <row r="304" spans="1:24" x14ac:dyDescent="0.2">
      <c r="A304" t="str">
        <v>Alan Aranda</v>
      </c>
      <c r="B304">
        <v>45996</v>
      </c>
      <c r="C304" t="str">
        <v>Elizabeth Neufeld</v>
      </c>
      <c r="D304" t="str">
        <v>Fabrication</v>
      </c>
      <c r="E304" t="str">
        <v>420</v>
      </c>
      <c r="F304" t="str">
        <v>Strip Bonner</v>
      </c>
      <c r="G304" t="str">
        <v>Foreign boby in eye</v>
      </c>
      <c r="H304" t="str">
        <v xml:space="preserve">RT - Eye </v>
      </c>
      <c r="I304" t="str">
        <v>FA</v>
      </c>
      <c r="J304" t="str">
        <v>No</v>
      </c>
      <c r="K304">
        <v>2025</v>
      </c>
      <c r="L304" t="str">
        <v>December</v>
      </c>
      <c r="X304">
        <v>0</v>
      </c>
    </row>
    <row r="305" spans="1:24" x14ac:dyDescent="0.2">
      <c r="A305" t="str">
        <v>Simona Bejarano</v>
      </c>
      <c r="B305">
        <v>45995</v>
      </c>
      <c r="C305" t="str">
        <v>Richard Xiong</v>
      </c>
      <c r="D305" t="str">
        <v>Harvest</v>
      </c>
      <c r="E305" t="str">
        <v>101</v>
      </c>
      <c r="F305" t="str">
        <v>Lactic Acid Spray</v>
      </c>
      <c r="G305" t="str">
        <v>Foreign boby in eye</v>
      </c>
      <c r="H305" t="str">
        <v xml:space="preserve">RT - Eye </v>
      </c>
      <c r="I305" t="str">
        <v>FA</v>
      </c>
      <c r="J305" t="str">
        <v>No</v>
      </c>
      <c r="K305">
        <v>2025</v>
      </c>
      <c r="L305" t="str">
        <v>December</v>
      </c>
      <c r="X305">
        <v>0</v>
      </c>
    </row>
    <row r="306" spans="1:24" x14ac:dyDescent="0.2">
      <c r="A306" t="str">
        <v>German Cerda</v>
      </c>
      <c r="B306">
        <v>45994</v>
      </c>
      <c r="C306" t="str">
        <v>Diego Soria</v>
      </c>
      <c r="D306" t="str">
        <v>Fabrication</v>
      </c>
      <c r="E306" t="str">
        <v>405</v>
      </c>
      <c r="F306" t="str">
        <v>Plate Boner</v>
      </c>
      <c r="G306" t="str">
        <v>Strain</v>
      </c>
      <c r="H306" t="str">
        <v>RT - Thumb</v>
      </c>
      <c r="I306" t="str">
        <v>FA</v>
      </c>
      <c r="J306" t="str">
        <v>No</v>
      </c>
      <c r="K306">
        <v>2025</v>
      </c>
      <c r="L306" t="str">
        <v>December</v>
      </c>
      <c r="X306">
        <v>0</v>
      </c>
    </row>
    <row r="307" spans="1:24" x14ac:dyDescent="0.2">
      <c r="A307" t="str">
        <v>Ralph Gonzalez</v>
      </c>
      <c r="B307">
        <v>45994</v>
      </c>
      <c r="C307" t="str">
        <v>Samuel Sierra</v>
      </c>
      <c r="D307" t="str">
        <v>Harvest</v>
      </c>
      <c r="E307" t="str">
        <v>107</v>
      </c>
      <c r="F307" t="str">
        <v>Chisler</v>
      </c>
      <c r="G307" t="str">
        <v>Rash</v>
      </c>
      <c r="H307" t="str">
        <v>Neck</v>
      </c>
      <c r="I307" t="str">
        <v>FA</v>
      </c>
      <c r="J307" t="str">
        <v>No</v>
      </c>
      <c r="K307">
        <v>2025</v>
      </c>
      <c r="L307" t="str">
        <v>December</v>
      </c>
      <c r="X307">
        <v>0</v>
      </c>
    </row>
    <row r="308" spans="1:24" x14ac:dyDescent="0.2">
      <c r="A308" t="str">
        <v>Rosangela Rodriguez</v>
      </c>
      <c r="B308">
        <v>45989</v>
      </c>
      <c r="C308" t="str">
        <v>Chadu Moua</v>
      </c>
      <c r="D308" t="str">
        <v>Fabrication</v>
      </c>
      <c r="E308" t="str">
        <v>429</v>
      </c>
      <c r="F308" t="str">
        <v xml:space="preserve">Anyl Ray Op. </v>
      </c>
      <c r="G308" t="str">
        <v>Slip, Trip, &amp; Fall</v>
      </c>
      <c r="H308" t="str">
        <v>RT - Shoulder</v>
      </c>
      <c r="I308" t="str">
        <v>FA</v>
      </c>
      <c r="J308" t="str">
        <v>No</v>
      </c>
      <c r="K308">
        <v>2025</v>
      </c>
      <c r="L308" t="str">
        <v>November</v>
      </c>
      <c r="X308">
        <v>0</v>
      </c>
    </row>
    <row r="309" spans="1:24" x14ac:dyDescent="0.2">
      <c r="A309" t="str">
        <v>Hlee Her</v>
      </c>
      <c r="B309">
        <v>45987</v>
      </c>
      <c r="C309" t="str">
        <v>Maria Garcia</v>
      </c>
      <c r="D309" t="str">
        <v>Fabrication</v>
      </c>
      <c r="E309" t="str">
        <v>447</v>
      </c>
      <c r="F309" t="str">
        <v>Scale Operator</v>
      </c>
      <c r="G309" t="str">
        <v>Laceration</v>
      </c>
      <c r="H309" t="str">
        <v>RT - Hand</v>
      </c>
      <c r="I309" t="str">
        <v>FA</v>
      </c>
      <c r="J309" t="str">
        <v>No</v>
      </c>
      <c r="K309">
        <v>2025</v>
      </c>
      <c r="L309" t="str">
        <v>November</v>
      </c>
      <c r="X309">
        <v>0</v>
      </c>
    </row>
    <row r="310" spans="1:24" x14ac:dyDescent="0.2">
      <c r="A310" t="str">
        <v>Joseph Gomez</v>
      </c>
      <c r="B310">
        <v>45987</v>
      </c>
      <c r="C310" t="str">
        <v>Richard Xiong</v>
      </c>
      <c r="D310" t="str">
        <v>Harvest</v>
      </c>
      <c r="E310" t="str">
        <v>101</v>
      </c>
      <c r="F310" t="str">
        <v>Strike By Cattle</v>
      </c>
      <c r="G310" t="str">
        <v>Strike by Cattle</v>
      </c>
      <c r="H310" t="str">
        <v>RT - Hand / Thumb</v>
      </c>
      <c r="I310" t="str">
        <v>FA</v>
      </c>
      <c r="J310" t="str">
        <v>No</v>
      </c>
      <c r="K310">
        <v>2025</v>
      </c>
      <c r="L310" t="str">
        <v>November</v>
      </c>
      <c r="X310">
        <v>0</v>
      </c>
    </row>
    <row r="311" spans="1:24" x14ac:dyDescent="0.2">
      <c r="A311" t="str">
        <v>Hayden Hensen</v>
      </c>
      <c r="B311">
        <v>45987</v>
      </c>
      <c r="C311" t="str">
        <v>Michael Orozco</v>
      </c>
      <c r="D311" t="str">
        <v>Harvest</v>
      </c>
      <c r="E311" t="str">
        <v>104</v>
      </c>
      <c r="F311" t="str">
        <v>Head Dropper</v>
      </c>
      <c r="G311" t="str">
        <v>Rash</v>
      </c>
      <c r="H311" t="str">
        <v>RT - Thumb</v>
      </c>
      <c r="I311" t="str">
        <v>FA</v>
      </c>
      <c r="J311" t="str">
        <v>No</v>
      </c>
      <c r="K311">
        <v>2025</v>
      </c>
      <c r="L311" t="str">
        <v>November</v>
      </c>
      <c r="X311">
        <v>0</v>
      </c>
    </row>
    <row r="312" spans="1:24" x14ac:dyDescent="0.2">
      <c r="A312" t="str">
        <v>Domigo Camberus</v>
      </c>
      <c r="B312">
        <v>45987</v>
      </c>
      <c r="C312" t="str">
        <v>Christian Lopez</v>
      </c>
      <c r="D312" t="str">
        <v>Harvest</v>
      </c>
      <c r="E312" t="str">
        <v>106</v>
      </c>
      <c r="F312" t="str">
        <v>Deffect Trimmer</v>
      </c>
      <c r="G312" t="str">
        <v>Foreign boby in eye</v>
      </c>
      <c r="H312" t="str">
        <v xml:space="preserve">RT - Eye </v>
      </c>
      <c r="I312" t="str">
        <v>FA</v>
      </c>
      <c r="J312" t="str">
        <v>No</v>
      </c>
      <c r="K312">
        <v>2025</v>
      </c>
      <c r="L312" t="str">
        <v>November</v>
      </c>
      <c r="X312">
        <v>0</v>
      </c>
    </row>
    <row r="313" spans="1:24" x14ac:dyDescent="0.2">
      <c r="A313" t="str">
        <v>Jose Silvas</v>
      </c>
      <c r="B313">
        <v>45986</v>
      </c>
      <c r="C313" t="str">
        <v>Juan Ramirez</v>
      </c>
      <c r="D313" t="str">
        <v>Fabrication</v>
      </c>
      <c r="E313" t="str">
        <v>410</v>
      </c>
      <c r="F313" t="str">
        <v>Tender Puller</v>
      </c>
      <c r="G313" t="str">
        <v>Strain</v>
      </c>
      <c r="H313" t="str">
        <v>RT - Palm</v>
      </c>
      <c r="I313" t="str">
        <v>FA</v>
      </c>
      <c r="J313" t="str">
        <v>No</v>
      </c>
      <c r="K313">
        <v>2025</v>
      </c>
      <c r="L313" t="str">
        <v>November</v>
      </c>
      <c r="X313">
        <v>0</v>
      </c>
    </row>
    <row r="314" spans="1:24" x14ac:dyDescent="0.2">
      <c r="A314" t="str">
        <v>Marquiz Cassaway</v>
      </c>
      <c r="B314">
        <v>45986</v>
      </c>
      <c r="C314" t="str">
        <v>Christian Lopez</v>
      </c>
      <c r="D314" t="str">
        <v>Harvest</v>
      </c>
      <c r="E314" t="str">
        <v>106</v>
      </c>
      <c r="F314" t="str">
        <v>Lactic Acid Spray</v>
      </c>
      <c r="G314" t="str">
        <v>Rash</v>
      </c>
      <c r="H314" t="str">
        <v>LT - Forearm &amp; RT - Upper Arm</v>
      </c>
      <c r="I314" t="str">
        <v>FA</v>
      </c>
      <c r="J314" t="str">
        <v>No</v>
      </c>
      <c r="K314">
        <v>2025</v>
      </c>
      <c r="L314" t="str">
        <v>November</v>
      </c>
      <c r="X314">
        <v>0</v>
      </c>
    </row>
    <row r="315" spans="1:24" x14ac:dyDescent="0.2">
      <c r="A315" t="str">
        <v>Serijei Argueta</v>
      </c>
      <c r="B315">
        <v>45986</v>
      </c>
      <c r="C315" t="str">
        <v>Samuel Sierra</v>
      </c>
      <c r="D315" t="str">
        <v>Harvest</v>
      </c>
      <c r="E315" t="str">
        <v>109</v>
      </c>
      <c r="F315" t="str">
        <v>Intestine Stripper</v>
      </c>
      <c r="G315" t="str">
        <v>Rash</v>
      </c>
      <c r="H315" t="str">
        <v>LF - Forearm</v>
      </c>
      <c r="I315" t="str">
        <v>FA</v>
      </c>
      <c r="J315" t="str">
        <v>No</v>
      </c>
      <c r="K315">
        <v>2025</v>
      </c>
      <c r="L315" t="str">
        <v>November</v>
      </c>
      <c r="X315">
        <v>0</v>
      </c>
    </row>
    <row r="316" spans="1:24" x14ac:dyDescent="0.2">
      <c r="A316" t="str">
        <v>Manuel Escobar</v>
      </c>
      <c r="B316">
        <v>45985</v>
      </c>
      <c r="C316" t="str">
        <v>Jonathan Hernandez</v>
      </c>
      <c r="D316" t="str">
        <v>Maintnances</v>
      </c>
      <c r="E316" t="str">
        <v>Electrician</v>
      </c>
      <c r="F316" t="str">
        <v>Electrician</v>
      </c>
      <c r="G316" t="str">
        <v xml:space="preserve">Abrasion </v>
      </c>
      <c r="H316" t="str">
        <v>LT - Pointing Finger</v>
      </c>
      <c r="I316" t="str">
        <v>FA</v>
      </c>
      <c r="J316" t="str">
        <v>No</v>
      </c>
      <c r="K316">
        <v>2025</v>
      </c>
      <c r="L316" t="str">
        <v>November</v>
      </c>
      <c r="X316">
        <v>0</v>
      </c>
    </row>
    <row r="317" spans="1:24" x14ac:dyDescent="0.2">
      <c r="A317" t="str">
        <v>Leroy Major</v>
      </c>
      <c r="B317">
        <v>45982</v>
      </c>
      <c r="C317" t="str">
        <v>Francisco Tapia</v>
      </c>
      <c r="D317" t="str">
        <v>Fabrication</v>
      </c>
      <c r="E317" t="str">
        <v>Loading Dock</v>
      </c>
      <c r="F317" t="str">
        <v>Palletizer</v>
      </c>
      <c r="G317" t="str">
        <v>Strain</v>
      </c>
      <c r="H317" t="str">
        <v xml:space="preserve">RT - Upper Arm  </v>
      </c>
      <c r="I317" t="str">
        <v>FA</v>
      </c>
      <c r="J317" t="str">
        <v>No</v>
      </c>
      <c r="K317">
        <v>2025</v>
      </c>
      <c r="L317" t="str">
        <v>November</v>
      </c>
      <c r="X317">
        <v>0</v>
      </c>
    </row>
    <row r="318" spans="1:24" x14ac:dyDescent="0.2">
      <c r="A318" t="str">
        <v xml:space="preserve">Enrique Ramos  </v>
      </c>
      <c r="B318">
        <v>45982</v>
      </c>
      <c r="C318" t="str">
        <v>Diego Soria</v>
      </c>
      <c r="D318" t="str">
        <v>Fabrication</v>
      </c>
      <c r="E318" t="str">
        <v>405</v>
      </c>
      <c r="F318" t="str">
        <v>Short Rib Bonner</v>
      </c>
      <c r="G318" t="str">
        <v xml:space="preserve">Abrasion </v>
      </c>
      <c r="H318" t="str">
        <v>RT - Thumb</v>
      </c>
      <c r="I318" t="str">
        <v>FA</v>
      </c>
      <c r="J318" t="str">
        <v>No</v>
      </c>
      <c r="K318">
        <v>2025</v>
      </c>
      <c r="L318" t="str">
        <v>November</v>
      </c>
      <c r="X318">
        <v>0</v>
      </c>
    </row>
    <row r="319" spans="1:24" x14ac:dyDescent="0.2">
      <c r="A319" t="str">
        <v>Christafer Diaz</v>
      </c>
      <c r="B319">
        <v>45982</v>
      </c>
      <c r="C319" t="str">
        <v>Francisco Tapia</v>
      </c>
      <c r="D319" t="str">
        <v>Fabrication</v>
      </c>
      <c r="E319" t="str">
        <v>Loading Dock</v>
      </c>
      <c r="F319" t="str">
        <v>Palletizer</v>
      </c>
      <c r="G319" t="str">
        <v>Puncture</v>
      </c>
      <c r="H319" t="str">
        <v>RT - Thumb</v>
      </c>
      <c r="I319" t="str">
        <v>FA</v>
      </c>
      <c r="J319" t="str">
        <v>No</v>
      </c>
      <c r="K319">
        <v>2025</v>
      </c>
      <c r="L319" t="str">
        <v>November</v>
      </c>
      <c r="X319">
        <v>0</v>
      </c>
    </row>
    <row r="320" spans="1:24" x14ac:dyDescent="0.2">
      <c r="A320" t="str">
        <v>Patricia Castillo</v>
      </c>
      <c r="B320">
        <v>45981</v>
      </c>
      <c r="C320" t="str">
        <v>Maria Garcia</v>
      </c>
      <c r="D320" t="str">
        <v>Fabrication</v>
      </c>
      <c r="E320" t="str">
        <v>445</v>
      </c>
      <c r="F320" t="str">
        <v>Bagger</v>
      </c>
      <c r="G320" t="str">
        <v>Contusions</v>
      </c>
      <c r="H320" t="str">
        <v>RT - Knee / LT - Shin</v>
      </c>
      <c r="I320" t="str">
        <v>FA</v>
      </c>
      <c r="J320" t="str">
        <v>No</v>
      </c>
      <c r="K320">
        <v>2025</v>
      </c>
      <c r="L320" t="str">
        <v>November</v>
      </c>
      <c r="X320">
        <v>0</v>
      </c>
    </row>
    <row r="321" spans="1:24" x14ac:dyDescent="0.2">
      <c r="A321" t="str">
        <v>Raul Flores</v>
      </c>
      <c r="B321">
        <v>45981</v>
      </c>
      <c r="C321" t="str">
        <v>Francisco Tapia</v>
      </c>
      <c r="D321" t="str">
        <v>Fabrication</v>
      </c>
      <c r="E321" t="str">
        <v>Loading Dock</v>
      </c>
      <c r="F321" t="str">
        <v>Box Loader</v>
      </c>
      <c r="G321" t="str">
        <v>Falling Object</v>
      </c>
      <c r="H321" t="str">
        <v>RT - Forearm</v>
      </c>
      <c r="I321" t="str">
        <v>FA</v>
      </c>
      <c r="J321" t="str">
        <v>No</v>
      </c>
      <c r="K321">
        <v>2025</v>
      </c>
      <c r="L321" t="str">
        <v>November</v>
      </c>
      <c r="X321">
        <v>0</v>
      </c>
    </row>
    <row r="322" spans="1:24" x14ac:dyDescent="0.2">
      <c r="A322" t="str">
        <v>Reyna Lopez</v>
      </c>
      <c r="B322">
        <v>45980</v>
      </c>
      <c r="C322" t="str">
        <v>Rutilio Rodriguez</v>
      </c>
      <c r="D322" t="str">
        <v>Harvest</v>
      </c>
      <c r="E322" t="str">
        <v>102</v>
      </c>
      <c r="F322" t="str">
        <v>Hock Cutter</v>
      </c>
      <c r="G322" t="str">
        <v>Strain</v>
      </c>
      <c r="H322" t="str">
        <v>RT - Elbow</v>
      </c>
      <c r="I322" t="str">
        <v>FA</v>
      </c>
      <c r="J322" t="str">
        <v>No</v>
      </c>
      <c r="K322">
        <v>2025</v>
      </c>
      <c r="L322" t="str">
        <v>November</v>
      </c>
      <c r="X322">
        <v>0</v>
      </c>
    </row>
    <row r="323" spans="1:24" x14ac:dyDescent="0.2">
      <c r="A323" t="str">
        <v>Angel Quintero</v>
      </c>
      <c r="B323">
        <v>45980</v>
      </c>
      <c r="C323" t="str">
        <v>Ovidio Sanchez</v>
      </c>
      <c r="D323" t="str">
        <v>Fabrication</v>
      </c>
      <c r="E323" t="str">
        <v>400</v>
      </c>
      <c r="F323" t="str">
        <v>Knuckle Puller</v>
      </c>
      <c r="G323" t="str">
        <v>Strain</v>
      </c>
      <c r="H323" t="str">
        <v>LT - Fingers &amp; Wrist</v>
      </c>
      <c r="I323" t="str">
        <v>FA</v>
      </c>
      <c r="J323" t="str">
        <v>No</v>
      </c>
      <c r="K323">
        <v>2025</v>
      </c>
      <c r="L323" t="str">
        <v>November</v>
      </c>
      <c r="X323">
        <v>0</v>
      </c>
    </row>
    <row r="324" spans="1:24" x14ac:dyDescent="0.2">
      <c r="A324" t="str">
        <v>Diego Presiado</v>
      </c>
      <c r="B324">
        <v>45980</v>
      </c>
      <c r="C324" t="str">
        <v>Michael Orozco</v>
      </c>
      <c r="D324" t="str">
        <v>Harvest</v>
      </c>
      <c r="E324" t="str">
        <v>105</v>
      </c>
      <c r="F324" t="str">
        <v>Gutter</v>
      </c>
      <c r="G324" t="str">
        <v>Foreign boby in eye</v>
      </c>
      <c r="H324" t="str">
        <v>Both Eyes</v>
      </c>
      <c r="I324" t="str">
        <v>FA</v>
      </c>
      <c r="J324" t="str">
        <v>No</v>
      </c>
      <c r="K324">
        <v>2025</v>
      </c>
      <c r="L324" t="str">
        <v>November</v>
      </c>
      <c r="X324">
        <v>0</v>
      </c>
    </row>
    <row r="325" spans="1:24" x14ac:dyDescent="0.2">
      <c r="A325" t="str">
        <v>Israel Douglas</v>
      </c>
      <c r="B325">
        <v>45975</v>
      </c>
      <c r="C325" t="str">
        <v>Diego Soria</v>
      </c>
      <c r="D325" t="str">
        <v>Fabrication</v>
      </c>
      <c r="E325" t="str">
        <v>405</v>
      </c>
      <c r="F325" t="str">
        <v>Chine Saw Rib</v>
      </c>
      <c r="G325" t="str">
        <v>Strain</v>
      </c>
      <c r="H325" t="str">
        <v>Lower back</v>
      </c>
      <c r="I325" t="str">
        <v>FA</v>
      </c>
      <c r="J325" t="str">
        <v>No</v>
      </c>
      <c r="K325">
        <v>2025</v>
      </c>
      <c r="L325" t="str">
        <v>November</v>
      </c>
      <c r="X325">
        <v>0</v>
      </c>
    </row>
    <row r="326" spans="1:24" x14ac:dyDescent="0.2">
      <c r="A326" t="str">
        <v>Daniel Vega</v>
      </c>
      <c r="B326">
        <v>45975</v>
      </c>
      <c r="C326" t="str">
        <v>Maria Garcia</v>
      </c>
      <c r="D326" t="str">
        <v>Fabrication</v>
      </c>
      <c r="E326" t="str">
        <v>445</v>
      </c>
      <c r="F326" t="str">
        <v>Lead</v>
      </c>
      <c r="G326" t="str">
        <v>Strain</v>
      </c>
      <c r="H326" t="str">
        <v>RT - Shoulder</v>
      </c>
      <c r="I326" t="str">
        <v>FA</v>
      </c>
      <c r="J326" t="str">
        <v>No</v>
      </c>
      <c r="K326">
        <v>2025</v>
      </c>
      <c r="L326" t="str">
        <v>November</v>
      </c>
      <c r="X326">
        <v>0</v>
      </c>
    </row>
    <row r="327" spans="1:24" x14ac:dyDescent="0.2">
      <c r="A327" t="str">
        <v>Nicolas Gonzalez</v>
      </c>
      <c r="B327">
        <v>45975</v>
      </c>
      <c r="C327" t="str">
        <v>Diego Soria</v>
      </c>
      <c r="D327" t="str">
        <v>Fabrication</v>
      </c>
      <c r="E327" t="str">
        <v>405</v>
      </c>
      <c r="F327" t="str">
        <v>Rib Bonner</v>
      </c>
      <c r="G327" t="str">
        <v xml:space="preserve">Abrasion </v>
      </c>
      <c r="H327" t="str">
        <v>RT - Forearm</v>
      </c>
      <c r="I327" t="str">
        <v>FA</v>
      </c>
      <c r="J327" t="str">
        <v>No</v>
      </c>
      <c r="K327">
        <v>2025</v>
      </c>
      <c r="L327" t="str">
        <v>November</v>
      </c>
      <c r="X327">
        <v>0</v>
      </c>
    </row>
    <row r="328" spans="1:24" x14ac:dyDescent="0.2">
      <c r="A328" t="str">
        <v>Ker Vang</v>
      </c>
      <c r="B328">
        <v>45975</v>
      </c>
      <c r="C328" t="str">
        <v>Richard Xiong</v>
      </c>
      <c r="D328" t="str">
        <v>Harvest</v>
      </c>
      <c r="E328" t="str">
        <v>101</v>
      </c>
      <c r="F328" t="str">
        <v xml:space="preserve">Utilities Op. </v>
      </c>
      <c r="G328" t="str">
        <v>Rash</v>
      </c>
      <c r="H328" t="str">
        <v xml:space="preserve">LT - EYE / LT &amp; RT Shoulders and chest. </v>
      </c>
      <c r="I328" t="str">
        <v>FA</v>
      </c>
      <c r="J328" t="str">
        <v>No</v>
      </c>
      <c r="K328">
        <v>2025</v>
      </c>
      <c r="L328" t="str">
        <v>November</v>
      </c>
      <c r="X328">
        <v>0</v>
      </c>
    </row>
    <row r="329" spans="1:24" x14ac:dyDescent="0.2">
      <c r="A329" t="str">
        <v>Edgar Gutierrez</v>
      </c>
      <c r="B329">
        <v>45973</v>
      </c>
      <c r="C329" t="str">
        <v>Diego Soria</v>
      </c>
      <c r="D329" t="str">
        <v>Fabrication</v>
      </c>
      <c r="E329" t="str">
        <v>405</v>
      </c>
      <c r="F329" t="str">
        <v>Plate Boner</v>
      </c>
      <c r="G329" t="str">
        <v>Strain</v>
      </c>
      <c r="H329" t="str">
        <v>LT - Wrist</v>
      </c>
      <c r="I329" t="str">
        <v>FA</v>
      </c>
      <c r="J329" t="str">
        <v>No</v>
      </c>
      <c r="K329">
        <v>2025</v>
      </c>
      <c r="L329" t="str">
        <v>November</v>
      </c>
      <c r="X329">
        <v>0</v>
      </c>
    </row>
    <row r="330" spans="1:24" x14ac:dyDescent="0.2">
      <c r="A330" t="str">
        <v>Marcelina Ruiz</v>
      </c>
      <c r="B330">
        <v>45973</v>
      </c>
      <c r="C330" t="str">
        <v>Elizabeth Neufeld</v>
      </c>
      <c r="D330" t="str">
        <v>Fabrication</v>
      </c>
      <c r="E330" t="str">
        <v>420</v>
      </c>
      <c r="F330" t="str">
        <v>Trimmer</v>
      </c>
      <c r="G330" t="str">
        <v>Puncture</v>
      </c>
      <c r="H330" t="str">
        <v>RT - Palm</v>
      </c>
      <c r="I330" t="str">
        <v>FA</v>
      </c>
      <c r="J330" t="str">
        <v>No</v>
      </c>
      <c r="K330">
        <v>2025</v>
      </c>
      <c r="L330" t="str">
        <v>November</v>
      </c>
      <c r="X330">
        <v>0</v>
      </c>
    </row>
    <row r="331" spans="1:24" x14ac:dyDescent="0.2">
      <c r="A331" t="str">
        <v>Fermin Martinez</v>
      </c>
      <c r="B331">
        <v>45972</v>
      </c>
      <c r="C331" t="str">
        <v>Elizabeth Neufeld</v>
      </c>
      <c r="D331" t="str">
        <v>Fabrication</v>
      </c>
      <c r="E331" t="str">
        <v>420</v>
      </c>
      <c r="F331" t="str">
        <v>Trimmer</v>
      </c>
      <c r="G331" t="str">
        <v>Strain</v>
      </c>
      <c r="H331" t="str">
        <v>LT - Forearm</v>
      </c>
      <c r="I331" t="str">
        <v>FA</v>
      </c>
      <c r="J331" t="str">
        <v>No</v>
      </c>
      <c r="K331">
        <v>2025</v>
      </c>
      <c r="L331" t="str">
        <v>November</v>
      </c>
      <c r="X331">
        <v>0</v>
      </c>
    </row>
    <row r="332" spans="1:24" x14ac:dyDescent="0.2">
      <c r="A332" t="str">
        <v xml:space="preserve">Julia Orosco </v>
      </c>
      <c r="B332">
        <v>45972</v>
      </c>
      <c r="C332" t="str">
        <v>Rutilio Rodriguez</v>
      </c>
      <c r="D332" t="str">
        <v>Harvest</v>
      </c>
      <c r="E332" t="str">
        <v>102</v>
      </c>
      <c r="F332" t="str">
        <v xml:space="preserve">Whizzard Op. </v>
      </c>
      <c r="G332" t="str">
        <v>Strain</v>
      </c>
      <c r="H332" t="str">
        <v>RT - Palm (Hand)</v>
      </c>
      <c r="I332" t="str">
        <v>FA</v>
      </c>
      <c r="J332" t="str">
        <v>No</v>
      </c>
      <c r="K332">
        <v>2025</v>
      </c>
      <c r="L332" t="str">
        <v>November</v>
      </c>
      <c r="X332">
        <v>0</v>
      </c>
    </row>
    <row r="333" spans="1:24" x14ac:dyDescent="0.2">
      <c r="A333" t="str">
        <v>Joseph Gomez</v>
      </c>
      <c r="B333">
        <v>45972</v>
      </c>
      <c r="C333" t="str">
        <v>Richard Xiong</v>
      </c>
      <c r="D333" t="str">
        <v>Harvest</v>
      </c>
      <c r="E333" t="str">
        <v>101</v>
      </c>
      <c r="F333" t="str">
        <v xml:space="preserve">Shackler </v>
      </c>
      <c r="G333" t="str">
        <v>Struck By Cattle</v>
      </c>
      <c r="H333" t="str">
        <v>RT - Wrist - LT Obdomon</v>
      </c>
      <c r="I333" t="str">
        <v>FA</v>
      </c>
      <c r="J333" t="str">
        <v>No</v>
      </c>
      <c r="K333">
        <v>2025</v>
      </c>
      <c r="L333" t="str">
        <v>November</v>
      </c>
      <c r="X333">
        <v>0</v>
      </c>
    </row>
    <row r="334" spans="1:24" x14ac:dyDescent="0.2">
      <c r="A334" t="str">
        <v>Jose Nunez</v>
      </c>
      <c r="B334">
        <v>45968</v>
      </c>
      <c r="C334" t="str">
        <v>Erwin Vega</v>
      </c>
      <c r="D334" t="str">
        <v>Fabrication</v>
      </c>
      <c r="E334" t="str">
        <v>124</v>
      </c>
      <c r="F334" t="str">
        <v>Cooler Pusher</v>
      </c>
      <c r="G334" t="str">
        <v>Slip, Trip, &amp; Fall</v>
      </c>
      <c r="H334" t="str">
        <v>Both Knees</v>
      </c>
      <c r="I334" t="str">
        <v>FA</v>
      </c>
      <c r="J334" t="str">
        <v>No</v>
      </c>
      <c r="K334">
        <v>2025</v>
      </c>
      <c r="L334" t="str">
        <v>November</v>
      </c>
      <c r="X334">
        <v>0</v>
      </c>
    </row>
    <row r="335" spans="1:24" x14ac:dyDescent="0.2">
      <c r="A335" t="str">
        <v>Rocio Bernal</v>
      </c>
      <c r="B335">
        <v>45968</v>
      </c>
      <c r="C335" t="str">
        <v>Samuel Sierra</v>
      </c>
      <c r="D335" t="str">
        <v>Harvest</v>
      </c>
      <c r="E335" t="str">
        <v>109</v>
      </c>
      <c r="F335" t="str">
        <v>Tripe Pack Off</v>
      </c>
      <c r="G335" t="str">
        <v xml:space="preserve">Abrasion </v>
      </c>
      <c r="H335" t="str">
        <v>LT - Middle Finger</v>
      </c>
      <c r="I335" t="str">
        <v>FA</v>
      </c>
      <c r="J335" t="str">
        <v>No</v>
      </c>
      <c r="K335">
        <v>2025</v>
      </c>
      <c r="L335" t="str">
        <v>November</v>
      </c>
      <c r="X335">
        <v>0</v>
      </c>
    </row>
    <row r="336" spans="1:24" x14ac:dyDescent="0.2">
      <c r="A336" t="str">
        <v>Xeng Vue</v>
      </c>
      <c r="B336">
        <v>45967</v>
      </c>
      <c r="C336" t="str">
        <v>Samuel Sierra</v>
      </c>
      <c r="D336" t="str">
        <v>Harvest</v>
      </c>
      <c r="E336" t="str">
        <v>109</v>
      </c>
      <c r="F336" t="str">
        <v>Intestine Stripper</v>
      </c>
      <c r="G336" t="str">
        <v>Struck by falling object</v>
      </c>
      <c r="H336" t="str">
        <v>LT - Toe</v>
      </c>
      <c r="I336" t="str">
        <v>FA</v>
      </c>
      <c r="J336" t="str">
        <v>No</v>
      </c>
      <c r="K336">
        <v>2025</v>
      </c>
      <c r="L336" t="str">
        <v>November</v>
      </c>
      <c r="X336">
        <v>0</v>
      </c>
    </row>
    <row r="337" spans="1:24" x14ac:dyDescent="0.2">
      <c r="A337" t="str">
        <v>Mauricio Sandoval</v>
      </c>
      <c r="B337">
        <v>45967</v>
      </c>
      <c r="C337" t="str">
        <v>Juan Ramirez</v>
      </c>
      <c r="D337" t="str">
        <v>Fabrication</v>
      </c>
      <c r="E337" t="str">
        <v>410</v>
      </c>
      <c r="F337" t="str">
        <v>Tender Puller</v>
      </c>
      <c r="G337" t="str">
        <v>Struck By Object</v>
      </c>
      <c r="H337" t="str">
        <v>LT - Wrist</v>
      </c>
      <c r="I337" t="str">
        <v>FA</v>
      </c>
      <c r="J337" t="str">
        <v>No</v>
      </c>
      <c r="K337">
        <v>2025</v>
      </c>
      <c r="L337" t="str">
        <v>November</v>
      </c>
      <c r="X337">
        <v>0</v>
      </c>
    </row>
    <row r="338" spans="1:24" x14ac:dyDescent="0.2">
      <c r="A338" t="str">
        <v>Maria Figueroa</v>
      </c>
      <c r="B338">
        <v>45965</v>
      </c>
      <c r="C338" t="str">
        <v>Samuel Sierra</v>
      </c>
      <c r="D338" t="str">
        <v>Harvest</v>
      </c>
      <c r="E338" t="str">
        <v>109</v>
      </c>
      <c r="F338" t="str">
        <v>Kidney Pack Off</v>
      </c>
      <c r="G338" t="str">
        <v>Burn</v>
      </c>
      <c r="H338" t="str">
        <v>RT - Wrist / Hand</v>
      </c>
      <c r="I338" t="str">
        <v>FA</v>
      </c>
      <c r="J338" t="str">
        <v>No</v>
      </c>
      <c r="K338">
        <v>2025</v>
      </c>
      <c r="L338" t="str">
        <v>November</v>
      </c>
      <c r="X338">
        <v>0</v>
      </c>
    </row>
    <row r="339" spans="1:24" x14ac:dyDescent="0.2">
      <c r="A339" t="str">
        <v>Yvonne Martinez</v>
      </c>
      <c r="B339">
        <v>45965</v>
      </c>
      <c r="C339" t="str">
        <v>Elizabeth Neufeld</v>
      </c>
      <c r="D339" t="str">
        <v>Fabrication</v>
      </c>
      <c r="E339" t="str">
        <v>420</v>
      </c>
      <c r="F339" t="str">
        <v xml:space="preserve">Whizzard Op. </v>
      </c>
      <c r="G339" t="str">
        <v>Rash</v>
      </c>
      <c r="H339" t="str">
        <v>RT/ LT Wrist</v>
      </c>
      <c r="I339" t="str">
        <v>FA</v>
      </c>
      <c r="J339" t="str">
        <v>No</v>
      </c>
      <c r="K339">
        <v>2025</v>
      </c>
      <c r="L339" t="str">
        <v>November</v>
      </c>
      <c r="X339">
        <v>0</v>
      </c>
    </row>
    <row r="340" spans="1:24" x14ac:dyDescent="0.2">
      <c r="A340" t="str">
        <v>Kao Vang</v>
      </c>
      <c r="B340">
        <v>45965</v>
      </c>
      <c r="C340" t="str">
        <v>Maria Garcia</v>
      </c>
      <c r="D340" t="str">
        <v>Fabrication</v>
      </c>
      <c r="E340" t="str">
        <v>445</v>
      </c>
      <c r="F340" t="str">
        <v>Bagger</v>
      </c>
      <c r="G340" t="str">
        <v>Falling Object</v>
      </c>
      <c r="H340" t="str">
        <v xml:space="preserve">Rt - Ankle </v>
      </c>
      <c r="I340" t="str">
        <v>FA</v>
      </c>
      <c r="J340" t="str">
        <v>No</v>
      </c>
      <c r="K340">
        <v>2025</v>
      </c>
      <c r="L340" t="str">
        <v>November</v>
      </c>
      <c r="X340">
        <v>0</v>
      </c>
    </row>
    <row r="341" spans="1:24" x14ac:dyDescent="0.2">
      <c r="A341" t="str">
        <v>Anthony Cortez</v>
      </c>
      <c r="B341">
        <v>45964</v>
      </c>
      <c r="C341" t="str">
        <v>Christian Lopez</v>
      </c>
      <c r="D341" t="str">
        <v>Harvest</v>
      </c>
      <c r="E341" t="str">
        <v>106</v>
      </c>
      <c r="F341" t="str">
        <v>Deffect Trimmer</v>
      </c>
      <c r="G341" t="str">
        <v>Strain</v>
      </c>
      <c r="H341" t="str">
        <v>LT - Hand</v>
      </c>
      <c r="I341" t="str">
        <v>FA</v>
      </c>
      <c r="J341" t="str">
        <v>No</v>
      </c>
      <c r="K341">
        <v>2025</v>
      </c>
      <c r="L341" t="str">
        <v>November</v>
      </c>
      <c r="X341">
        <v>0</v>
      </c>
    </row>
    <row r="342" spans="1:24" x14ac:dyDescent="0.2">
      <c r="A342" t="str">
        <v>Juan Gonzalez</v>
      </c>
      <c r="B342">
        <v>45964</v>
      </c>
      <c r="C342" t="str">
        <v>Diego Soria</v>
      </c>
      <c r="D342" t="str">
        <v>Fabrication</v>
      </c>
      <c r="E342" t="str">
        <v>405</v>
      </c>
      <c r="F342" t="str">
        <v>Plate Boner</v>
      </c>
      <c r="G342" t="str">
        <v xml:space="preserve">Abrasion </v>
      </c>
      <c r="H342" t="str">
        <v>RT - Forearm</v>
      </c>
      <c r="I342" t="str">
        <v>FA</v>
      </c>
      <c r="J342" t="str">
        <v>No</v>
      </c>
      <c r="K342">
        <v>2025</v>
      </c>
      <c r="L342" t="str">
        <v>November</v>
      </c>
      <c r="X342">
        <v>0</v>
      </c>
    </row>
    <row r="343" spans="1:24" x14ac:dyDescent="0.2">
      <c r="A343" t="str">
        <v>Patricia Estrada</v>
      </c>
      <c r="B343">
        <v>45964</v>
      </c>
      <c r="C343" t="str">
        <v>Maria Garcia</v>
      </c>
      <c r="D343" t="str">
        <v>Fabrication</v>
      </c>
      <c r="E343" t="str">
        <v>445</v>
      </c>
      <c r="F343" t="str">
        <v>Packaging</v>
      </c>
      <c r="G343" t="str">
        <v>Foreign boby in eye</v>
      </c>
      <c r="H343" t="str">
        <v xml:space="preserve">RT - Eye </v>
      </c>
      <c r="I343" t="str">
        <v>FA</v>
      </c>
      <c r="J343" t="str">
        <v>No</v>
      </c>
      <c r="K343">
        <v>2025</v>
      </c>
      <c r="L343" t="str">
        <v>November</v>
      </c>
      <c r="X343">
        <v>0</v>
      </c>
    </row>
    <row r="344" spans="1:24" x14ac:dyDescent="0.2">
      <c r="A344" t="str">
        <v>Richie Glass</v>
      </c>
      <c r="B344">
        <v>45964</v>
      </c>
      <c r="C344" t="str">
        <v>Rene Canas</v>
      </c>
      <c r="D344" t="str">
        <v>FSQA</v>
      </c>
      <c r="E344" t="str">
        <v>FSQA</v>
      </c>
      <c r="F344" t="str">
        <v>FSQA Tech</v>
      </c>
      <c r="G344" t="str">
        <v>Strain</v>
      </c>
      <c r="H344" t="str">
        <v>RT/ LT Shoulders &amp; Neck</v>
      </c>
      <c r="I344" t="str">
        <v>FA</v>
      </c>
      <c r="J344" t="str">
        <v>No</v>
      </c>
      <c r="K344">
        <v>2025</v>
      </c>
      <c r="L344" t="str">
        <v>November</v>
      </c>
      <c r="X344">
        <v>0</v>
      </c>
    </row>
    <row r="345" spans="1:24" x14ac:dyDescent="0.2">
      <c r="A345" t="str">
        <v>Ismael Martinez</v>
      </c>
      <c r="B345">
        <v>45961</v>
      </c>
      <c r="C345" t="str">
        <v>Chadu Moua</v>
      </c>
      <c r="D345" t="str">
        <v>Fabrication</v>
      </c>
      <c r="E345" t="str">
        <v>429</v>
      </c>
      <c r="F345" t="str">
        <v>X-Ray Reject</v>
      </c>
      <c r="G345" t="str">
        <v>Strain</v>
      </c>
      <c r="H345" t="str">
        <v>LT - Shoulder</v>
      </c>
      <c r="I345" t="str">
        <v>FA</v>
      </c>
      <c r="J345" t="str">
        <v>No</v>
      </c>
      <c r="K345">
        <v>2025</v>
      </c>
      <c r="L345" t="str">
        <v>October</v>
      </c>
      <c r="X345">
        <v>0</v>
      </c>
    </row>
    <row r="346" spans="1:24" x14ac:dyDescent="0.2">
      <c r="A346" t="str">
        <v>Daniel Verduzco</v>
      </c>
      <c r="B346">
        <v>45961</v>
      </c>
      <c r="C346" t="str">
        <v>Samuel Sierra</v>
      </c>
      <c r="D346" t="str">
        <v>Harvest</v>
      </c>
      <c r="E346" t="str">
        <v>109</v>
      </c>
      <c r="F346" t="str">
        <v>Intestine Stripper</v>
      </c>
      <c r="G346" t="str">
        <v>Foreign boby in eye</v>
      </c>
      <c r="H346" t="str">
        <v>LT - Eye</v>
      </c>
      <c r="I346" t="str">
        <v>FA</v>
      </c>
      <c r="J346" t="str">
        <v>No</v>
      </c>
      <c r="K346">
        <v>2025</v>
      </c>
      <c r="L346" t="str">
        <v>October</v>
      </c>
      <c r="X346">
        <v>0</v>
      </c>
    </row>
    <row r="347" spans="1:24" x14ac:dyDescent="0.2">
      <c r="A347" t="str">
        <v>Guillermo Ortiz</v>
      </c>
      <c r="B347">
        <v>45960</v>
      </c>
      <c r="C347" t="str">
        <v>Juan Ramirez</v>
      </c>
      <c r="D347" t="str">
        <v>Fabrication</v>
      </c>
      <c r="E347" t="str">
        <v>410</v>
      </c>
      <c r="F347" t="str">
        <v>Lead</v>
      </c>
      <c r="G347" t="str">
        <v>Strain</v>
      </c>
      <c r="H347" t="str">
        <v>RT - Shoulder</v>
      </c>
      <c r="I347" t="str">
        <v>FA</v>
      </c>
      <c r="J347" t="str">
        <v>No</v>
      </c>
      <c r="K347">
        <v>2025</v>
      </c>
      <c r="L347" t="str">
        <v>October</v>
      </c>
      <c r="X347">
        <v>0</v>
      </c>
    </row>
    <row r="348" spans="1:24" x14ac:dyDescent="0.2">
      <c r="A348" t="str">
        <v>Janette Ramirez</v>
      </c>
      <c r="B348">
        <v>45960</v>
      </c>
      <c r="C348" t="str">
        <v>Diego Soria</v>
      </c>
      <c r="D348" t="str">
        <v>Fabrication</v>
      </c>
      <c r="E348" t="str">
        <v>420</v>
      </c>
      <c r="F348" t="str">
        <v>4 Bone</v>
      </c>
      <c r="G348" t="str">
        <v>Slip, Trip, &amp; Fall</v>
      </c>
      <c r="H348" t="str">
        <v>RT - Knee &amp; Palm</v>
      </c>
      <c r="I348" t="str">
        <v>FA</v>
      </c>
      <c r="J348" t="str">
        <v>No</v>
      </c>
      <c r="K348">
        <v>2025</v>
      </c>
      <c r="L348" t="str">
        <v>October</v>
      </c>
      <c r="X348">
        <v>0</v>
      </c>
    </row>
    <row r="349" spans="1:24" x14ac:dyDescent="0.2">
      <c r="A349" t="str">
        <v xml:space="preserve"> Sukhbir Sandu </v>
      </c>
      <c r="B349">
        <v>45960</v>
      </c>
      <c r="C349" t="str">
        <v>Diego Soria</v>
      </c>
      <c r="D349" t="str">
        <v>Fabrication</v>
      </c>
      <c r="E349" t="str">
        <v>405</v>
      </c>
      <c r="F349" t="str">
        <v>Trim Sorter</v>
      </c>
      <c r="G349" t="str">
        <v>Strike-by Against Object</v>
      </c>
      <c r="H349" t="str">
        <v>RT - Thumb</v>
      </c>
      <c r="I349" t="str">
        <v>FA</v>
      </c>
      <c r="J349" t="str">
        <v>No</v>
      </c>
      <c r="K349">
        <v>2025</v>
      </c>
      <c r="L349" t="str">
        <v>October</v>
      </c>
      <c r="X349">
        <v>0</v>
      </c>
    </row>
    <row r="350" spans="1:24" x14ac:dyDescent="0.2">
      <c r="A350" t="str">
        <v>German Cerda</v>
      </c>
      <c r="B350">
        <v>45958</v>
      </c>
      <c r="C350" t="str">
        <v>Diego Soria</v>
      </c>
      <c r="D350" t="str">
        <v>Fabrication</v>
      </c>
      <c r="E350" t="str">
        <v>405</v>
      </c>
      <c r="F350" t="str">
        <v>Plate Boner</v>
      </c>
      <c r="G350" t="str">
        <v>Strain</v>
      </c>
      <c r="H350" t="str">
        <v>RT - Shoulder</v>
      </c>
      <c r="I350" t="str">
        <v>FA</v>
      </c>
      <c r="J350" t="str">
        <v>No</v>
      </c>
      <c r="K350">
        <v>2025</v>
      </c>
      <c r="L350" t="str">
        <v>October</v>
      </c>
      <c r="X350">
        <v>0</v>
      </c>
    </row>
    <row r="351" spans="1:24" x14ac:dyDescent="0.2">
      <c r="A351" t="str">
        <v>Vincent Johnson</v>
      </c>
      <c r="B351">
        <v>45958</v>
      </c>
      <c r="C351" t="str">
        <v>Elizabeth Neufeld</v>
      </c>
      <c r="D351" t="str">
        <v>Fabrication</v>
      </c>
      <c r="E351" t="str">
        <v>420</v>
      </c>
      <c r="F351" t="str">
        <v>Trim Sorter</v>
      </c>
      <c r="G351" t="str">
        <v>Strain</v>
      </c>
      <c r="H351" t="str">
        <v>LT - Chest</v>
      </c>
      <c r="I351" t="str">
        <v>FA</v>
      </c>
      <c r="J351" t="str">
        <v>No</v>
      </c>
      <c r="K351">
        <v>2025</v>
      </c>
      <c r="L351" t="str">
        <v>October</v>
      </c>
      <c r="X351">
        <v>0</v>
      </c>
    </row>
    <row r="352" spans="1:24" x14ac:dyDescent="0.2">
      <c r="A352" t="str">
        <v>Eduardo Vega</v>
      </c>
      <c r="B352">
        <v>45958</v>
      </c>
      <c r="C352" t="str">
        <v>marilyn herrera</v>
      </c>
      <c r="D352" t="str">
        <v>Harvest</v>
      </c>
      <c r="E352" t="str">
        <v>100</v>
      </c>
      <c r="F352" t="str">
        <v xml:space="preserve">Cattle Pusher </v>
      </c>
      <c r="G352" t="str">
        <v>Foreign boby in eye</v>
      </c>
      <c r="H352" t="str">
        <v>LT - Eye</v>
      </c>
      <c r="I352" t="str">
        <v>RPO</v>
      </c>
      <c r="J352" t="str">
        <v>No</v>
      </c>
      <c r="K352">
        <v>2025</v>
      </c>
      <c r="L352" t="str">
        <v>October</v>
      </c>
      <c r="X352">
        <v>0</v>
      </c>
    </row>
    <row r="353" spans="1:24" x14ac:dyDescent="0.2">
      <c r="A353" t="str">
        <v>Rosendo Granados</v>
      </c>
      <c r="B353">
        <v>45954</v>
      </c>
      <c r="C353" t="str">
        <v>Christian Lopez</v>
      </c>
      <c r="D353" t="str">
        <v>Harvest</v>
      </c>
      <c r="E353" t="str">
        <v>106</v>
      </c>
      <c r="F353" t="str">
        <v>Deffect Trimmer</v>
      </c>
      <c r="G353" t="str">
        <v>Strain</v>
      </c>
      <c r="H353" t="str">
        <v>RT - Shoulder</v>
      </c>
      <c r="I353" t="str">
        <v>FA</v>
      </c>
      <c r="J353" t="str">
        <v>No</v>
      </c>
      <c r="K353">
        <v>2025</v>
      </c>
      <c r="L353" t="str">
        <v>October</v>
      </c>
      <c r="X353">
        <v>0</v>
      </c>
    </row>
    <row r="354" spans="1:24" x14ac:dyDescent="0.2">
      <c r="A354" t="str">
        <v>Yvonne Martinez</v>
      </c>
      <c r="B354">
        <v>45954</v>
      </c>
      <c r="C354" t="str">
        <v>Elizabeth Neufeld</v>
      </c>
      <c r="D354" t="str">
        <v>Fabrication</v>
      </c>
      <c r="E354" t="str">
        <v>420</v>
      </c>
      <c r="F354" t="str">
        <v xml:space="preserve">Whizzard Op. </v>
      </c>
      <c r="G354" t="str">
        <v>Foreign boby in eye</v>
      </c>
      <c r="H354" t="str">
        <v xml:space="preserve">RT - Eye </v>
      </c>
      <c r="I354" t="str">
        <v>FA</v>
      </c>
      <c r="J354" t="str">
        <v>No</v>
      </c>
      <c r="K354">
        <v>2025</v>
      </c>
      <c r="L354" t="str">
        <v>October</v>
      </c>
      <c r="X354">
        <v>0</v>
      </c>
    </row>
    <row r="355" spans="1:24" x14ac:dyDescent="0.2">
      <c r="A355" t="str">
        <v xml:space="preserve">Dulce Monjardin  </v>
      </c>
      <c r="B355">
        <v>45954</v>
      </c>
      <c r="C355" t="str">
        <v>Rutilio Rodriguez</v>
      </c>
      <c r="D355" t="str">
        <v>Harvest</v>
      </c>
      <c r="E355" t="str">
        <v>102</v>
      </c>
      <c r="F355" t="str">
        <v>Carcass Tagger</v>
      </c>
      <c r="G355" t="str">
        <v>Foreign boby in eye</v>
      </c>
      <c r="H355" t="str">
        <v xml:space="preserve">RT - Eye </v>
      </c>
      <c r="I355" t="str">
        <v>FA</v>
      </c>
      <c r="J355" t="str">
        <v>No</v>
      </c>
      <c r="K355">
        <v>2025</v>
      </c>
      <c r="L355" t="str">
        <v>October</v>
      </c>
      <c r="X355">
        <v>0</v>
      </c>
    </row>
    <row r="356" spans="1:24" x14ac:dyDescent="0.2">
      <c r="A356" t="str">
        <v>Evangelina Marron</v>
      </c>
      <c r="B356">
        <v>45954</v>
      </c>
      <c r="C356" t="str">
        <v>Elizabeth Neufeld</v>
      </c>
      <c r="D356" t="str">
        <v>Fabrication</v>
      </c>
      <c r="E356" t="str">
        <v>420</v>
      </c>
      <c r="F356" t="str">
        <v>Trimmer</v>
      </c>
      <c r="G356" t="str">
        <v>Foreign boby in eye</v>
      </c>
      <c r="H356" t="str">
        <v>LT - Eye</v>
      </c>
      <c r="I356" t="str">
        <v>FA</v>
      </c>
      <c r="J356" t="str">
        <v>No</v>
      </c>
      <c r="K356">
        <v>2025</v>
      </c>
      <c r="L356" t="str">
        <v>October</v>
      </c>
      <c r="X356">
        <v>0</v>
      </c>
    </row>
    <row r="357" spans="1:24" x14ac:dyDescent="0.2">
      <c r="A357" t="str">
        <v>Alexander Eller</v>
      </c>
      <c r="B357">
        <v>45953</v>
      </c>
      <c r="C357" t="str">
        <v>Jesus Avila</v>
      </c>
      <c r="D357" t="str">
        <v>WH</v>
      </c>
      <c r="E357" t="str">
        <v>Warehouse</v>
      </c>
      <c r="F357" t="str">
        <v>Receiving</v>
      </c>
      <c r="G357" t="str">
        <v>Laceration</v>
      </c>
      <c r="H357" t="str">
        <v>RT - Middle Finger</v>
      </c>
      <c r="I357" t="str">
        <v>FA</v>
      </c>
      <c r="J357" t="str">
        <v>No</v>
      </c>
      <c r="K357">
        <v>2025</v>
      </c>
      <c r="L357" t="str">
        <v>October</v>
      </c>
      <c r="X357">
        <v>0</v>
      </c>
    </row>
    <row r="358" spans="1:24" x14ac:dyDescent="0.2">
      <c r="A358" t="str">
        <v>Edgar Hernandez</v>
      </c>
      <c r="B358">
        <v>45953</v>
      </c>
      <c r="C358" t="str">
        <v>Rutilio Rodriguez</v>
      </c>
      <c r="D358" t="str">
        <v>Harvest</v>
      </c>
      <c r="E358" t="str">
        <v>102</v>
      </c>
      <c r="F358" t="str">
        <v>Tail Nothcer</v>
      </c>
      <c r="G358" t="str">
        <v>Slip, Trip, &amp; Fall</v>
      </c>
      <c r="H358" t="str">
        <v>RT - Knee</v>
      </c>
      <c r="I358" t="str">
        <v>FA</v>
      </c>
      <c r="J358" t="str">
        <v>No</v>
      </c>
      <c r="K358">
        <v>2025</v>
      </c>
      <c r="L358" t="str">
        <v>October</v>
      </c>
      <c r="X358">
        <v>0</v>
      </c>
    </row>
    <row r="359" spans="1:24" x14ac:dyDescent="0.2">
      <c r="A359" t="str">
        <v>Nicolas Gonzalez</v>
      </c>
      <c r="B359">
        <v>45952</v>
      </c>
      <c r="C359" t="str">
        <v>Diego Soria</v>
      </c>
      <c r="D359" t="str">
        <v>Fabrication</v>
      </c>
      <c r="E359" t="str">
        <v>420</v>
      </c>
      <c r="F359" t="str">
        <v>Rib Bonner</v>
      </c>
      <c r="G359" t="str">
        <v>Strain</v>
      </c>
      <c r="H359" t="str">
        <v>RT - Hand</v>
      </c>
      <c r="I359" t="str">
        <v>FA</v>
      </c>
      <c r="J359" t="str">
        <v>No</v>
      </c>
      <c r="K359">
        <v>2025</v>
      </c>
      <c r="L359" t="str">
        <v>October</v>
      </c>
      <c r="X359">
        <v>0</v>
      </c>
    </row>
    <row r="360" spans="1:24" x14ac:dyDescent="0.2">
      <c r="A360" t="str">
        <v>Isacc Mcdowell</v>
      </c>
      <c r="B360">
        <v>45952</v>
      </c>
      <c r="C360" t="str">
        <v>Michael Orozco</v>
      </c>
      <c r="D360" t="str">
        <v>Harvest</v>
      </c>
      <c r="E360" t="str">
        <v>104</v>
      </c>
      <c r="F360" t="str">
        <v>Tonsil Remover</v>
      </c>
      <c r="G360" t="str">
        <v>Strain</v>
      </c>
      <c r="H360" t="str">
        <v>RT - Upper Back</v>
      </c>
      <c r="I360" t="str">
        <v>FA</v>
      </c>
      <c r="J360" t="str">
        <v>No</v>
      </c>
      <c r="K360">
        <v>2025</v>
      </c>
      <c r="L360" t="str">
        <v>October</v>
      </c>
      <c r="X360">
        <v>0</v>
      </c>
    </row>
    <row r="361" spans="1:24" x14ac:dyDescent="0.2">
      <c r="A361" t="str">
        <v>Jose Delgado</v>
      </c>
      <c r="B361">
        <v>45951</v>
      </c>
      <c r="C361" t="str">
        <v>Juan Ramirez</v>
      </c>
      <c r="D361" t="str">
        <v>Fabrication</v>
      </c>
      <c r="E361" t="str">
        <v>410</v>
      </c>
      <c r="F361" t="str">
        <v>Aitch Bonner</v>
      </c>
      <c r="G361" t="str">
        <v>Strain</v>
      </c>
      <c r="H361" t="str">
        <v>RT - Hand</v>
      </c>
      <c r="I361" t="str">
        <v>FA</v>
      </c>
      <c r="J361" t="str">
        <v>No</v>
      </c>
      <c r="K361">
        <v>2025</v>
      </c>
      <c r="L361" t="str">
        <v>October</v>
      </c>
      <c r="X361">
        <v>0</v>
      </c>
    </row>
    <row r="362" spans="1:24" x14ac:dyDescent="0.2">
      <c r="A362" t="str">
        <v>Saray Pedroza</v>
      </c>
      <c r="B362">
        <v>45951</v>
      </c>
      <c r="C362" t="str">
        <v>Samuel Sierra</v>
      </c>
      <c r="D362" t="str">
        <v>Harvest</v>
      </c>
      <c r="E362" t="str">
        <v>109</v>
      </c>
      <c r="F362" t="str">
        <v>Pack Off</v>
      </c>
      <c r="G362" t="str">
        <v>Burn</v>
      </c>
      <c r="H362" t="str">
        <v>LT - Shoulder</v>
      </c>
      <c r="I362" t="str">
        <v>FA</v>
      </c>
      <c r="J362" t="str">
        <v>No</v>
      </c>
      <c r="K362">
        <v>2025</v>
      </c>
      <c r="L362" t="str">
        <v>October</v>
      </c>
      <c r="X362">
        <v>0</v>
      </c>
    </row>
    <row r="363" spans="1:24" x14ac:dyDescent="0.2">
      <c r="A363" t="str">
        <v>Omar Chavez</v>
      </c>
      <c r="B363">
        <v>45951</v>
      </c>
      <c r="C363" t="str">
        <v>Richard Xiong</v>
      </c>
      <c r="D363" t="str">
        <v>Harvest</v>
      </c>
      <c r="E363" t="str">
        <v>101</v>
      </c>
      <c r="F363" t="str">
        <v>2nd COD</v>
      </c>
      <c r="G363" t="str">
        <v>Foreign boby in eye</v>
      </c>
      <c r="H363" t="str">
        <v>LT - Eye</v>
      </c>
      <c r="I363" t="str">
        <v>FA</v>
      </c>
      <c r="J363" t="str">
        <v>No</v>
      </c>
      <c r="K363">
        <v>2025</v>
      </c>
      <c r="L363" t="str">
        <v>October</v>
      </c>
      <c r="X363">
        <v>0</v>
      </c>
    </row>
    <row r="364" spans="1:24" x14ac:dyDescent="0.2">
      <c r="A364" t="str">
        <v>Zosimo Velasquez</v>
      </c>
      <c r="B364">
        <v>45951</v>
      </c>
      <c r="C364" t="str">
        <v>Francisco Tapia</v>
      </c>
      <c r="D364" t="str">
        <v>Fabrication</v>
      </c>
      <c r="E364" t="str">
        <v>Loading Dock</v>
      </c>
      <c r="F364" t="str">
        <v xml:space="preserve">Forklift Op. </v>
      </c>
      <c r="G364" t="str">
        <v>Contusions</v>
      </c>
      <c r="H364" t="str">
        <v>LT - Eye</v>
      </c>
      <c r="I364" t="str">
        <v>FA</v>
      </c>
      <c r="J364" t="str">
        <v>No</v>
      </c>
      <c r="K364">
        <v>2025</v>
      </c>
      <c r="L364" t="str">
        <v>October</v>
      </c>
      <c r="X364">
        <v>0</v>
      </c>
    </row>
    <row r="365" spans="1:24" x14ac:dyDescent="0.2">
      <c r="A365" t="str">
        <v>Raymond Bentacourt</v>
      </c>
      <c r="B365">
        <v>45947</v>
      </c>
      <c r="C365" t="str">
        <v>Francisco Tapia</v>
      </c>
      <c r="D365" t="str">
        <v>Fabrication</v>
      </c>
      <c r="E365" t="str">
        <v>Loading Dock</v>
      </c>
      <c r="F365" t="str">
        <v>Box Loader</v>
      </c>
      <c r="G365" t="str">
        <v>Contusions</v>
      </c>
      <c r="H365" t="str">
        <v>RT - Index finger</v>
      </c>
      <c r="I365" t="str">
        <v>FA</v>
      </c>
      <c r="J365" t="str">
        <v>No</v>
      </c>
      <c r="K365">
        <v>2025</v>
      </c>
      <c r="L365" t="str">
        <v>October</v>
      </c>
      <c r="X365">
        <v>0</v>
      </c>
    </row>
    <row r="366" spans="1:24" x14ac:dyDescent="0.2">
      <c r="A366" t="str">
        <v>Edgar Hernandez</v>
      </c>
      <c r="B366">
        <v>45946</v>
      </c>
      <c r="C366" t="str">
        <v>Rutilio Rodriguez</v>
      </c>
      <c r="D366" t="str">
        <v>Harvest</v>
      </c>
      <c r="E366" t="str">
        <v>102</v>
      </c>
      <c r="F366" t="str">
        <v>Tail Nothcer</v>
      </c>
      <c r="G366" t="str">
        <v>Falling Object</v>
      </c>
      <c r="H366" t="str">
        <v>Head</v>
      </c>
      <c r="I366" t="str">
        <v>FA</v>
      </c>
      <c r="J366" t="str">
        <v>No</v>
      </c>
      <c r="K366">
        <v>2025</v>
      </c>
      <c r="L366" t="str">
        <v>October</v>
      </c>
      <c r="X366">
        <v>0</v>
      </c>
    </row>
    <row r="367" spans="1:24" x14ac:dyDescent="0.2">
      <c r="A367" t="str">
        <v>Eduardo Ventura</v>
      </c>
      <c r="B367">
        <v>45946</v>
      </c>
      <c r="C367" t="str">
        <v>Christian Lopez</v>
      </c>
      <c r="D367" t="str">
        <v>Harvest</v>
      </c>
      <c r="E367" t="str">
        <v>106</v>
      </c>
      <c r="F367" t="str">
        <v>USDA Rail Out</v>
      </c>
      <c r="G367" t="str">
        <v>Rash</v>
      </c>
      <c r="H367" t="str">
        <v>RT - Forearm</v>
      </c>
      <c r="I367" t="str">
        <v>FA</v>
      </c>
      <c r="J367" t="str">
        <v>No</v>
      </c>
      <c r="K367">
        <v>2025</v>
      </c>
      <c r="L367" t="str">
        <v>October</v>
      </c>
      <c r="X367">
        <v>0</v>
      </c>
    </row>
    <row r="368" spans="1:24" x14ac:dyDescent="0.2">
      <c r="A368" t="str">
        <v>Martel Sanchez</v>
      </c>
      <c r="B368">
        <v>45945</v>
      </c>
      <c r="C368" t="str">
        <v>Juan Martinez</v>
      </c>
      <c r="D368" t="str">
        <v>Fabrication</v>
      </c>
      <c r="E368" t="str">
        <v>405</v>
      </c>
      <c r="F368" t="str">
        <v xml:space="preserve">Whizzard Op. </v>
      </c>
      <c r="G368" t="str">
        <v>Laceration</v>
      </c>
      <c r="H368" t="str">
        <v>RT - Ring Finger</v>
      </c>
      <c r="I368" t="str">
        <v>FA</v>
      </c>
      <c r="J368" t="str">
        <v>No</v>
      </c>
      <c r="K368">
        <v>2025</v>
      </c>
      <c r="L368" t="str">
        <v>October</v>
      </c>
      <c r="X368">
        <v>0</v>
      </c>
    </row>
    <row r="369" spans="1:24" x14ac:dyDescent="0.2">
      <c r="A369" t="str">
        <v>Jesus Valdez</v>
      </c>
      <c r="B369">
        <v>45945</v>
      </c>
      <c r="C369" t="str">
        <v>Christian Lopez</v>
      </c>
      <c r="D369" t="str">
        <v>Harvest</v>
      </c>
      <c r="E369" t="str">
        <v>106</v>
      </c>
      <c r="F369" t="str">
        <v>Deffect Trimmer</v>
      </c>
      <c r="G369" t="str">
        <v xml:space="preserve">Abrasion </v>
      </c>
      <c r="H369" t="str">
        <v>RT - Forearm</v>
      </c>
      <c r="I369" t="str">
        <v>FA</v>
      </c>
      <c r="J369" t="str">
        <v>No</v>
      </c>
      <c r="K369">
        <v>2025</v>
      </c>
      <c r="L369" t="str">
        <v>October</v>
      </c>
      <c r="X369">
        <v>0</v>
      </c>
    </row>
    <row r="370" spans="1:24" x14ac:dyDescent="0.2">
      <c r="A370" t="str">
        <v>Baljit Kaur</v>
      </c>
      <c r="B370">
        <v>45944</v>
      </c>
      <c r="C370" t="str">
        <v>Elizabeth Neufeld</v>
      </c>
      <c r="D370" t="str">
        <v>Fabrication</v>
      </c>
      <c r="E370" t="str">
        <v>420</v>
      </c>
      <c r="F370" t="str">
        <v>100% Trimmer</v>
      </c>
      <c r="G370" t="str">
        <v>Strain</v>
      </c>
      <c r="H370" t="str">
        <v xml:space="preserve">RT - Upper arm/ Forearm/ wrist/ shoulder &amp; upper back. </v>
      </c>
      <c r="I370" t="str">
        <v>FA</v>
      </c>
      <c r="J370" t="str">
        <v>No</v>
      </c>
      <c r="K370">
        <v>2025</v>
      </c>
      <c r="L370" t="str">
        <v>October</v>
      </c>
      <c r="X370">
        <v>0</v>
      </c>
    </row>
    <row r="371" spans="1:24" x14ac:dyDescent="0.2">
      <c r="A371" t="str">
        <v>Miguel Lucatero</v>
      </c>
      <c r="B371">
        <v>45944</v>
      </c>
      <c r="C371" t="str">
        <v>Chadu Moua</v>
      </c>
      <c r="D371" t="str">
        <v>Fabrication</v>
      </c>
      <c r="E371" t="str">
        <v>429</v>
      </c>
      <c r="F371" t="str">
        <v>Saw Operator</v>
      </c>
      <c r="G371" t="str">
        <v>Strain</v>
      </c>
      <c r="H371" t="str">
        <v>RT - Shoulder / RT - LT Hands and Wrist</v>
      </c>
      <c r="I371" t="str">
        <v>FA</v>
      </c>
      <c r="J371" t="str">
        <v>No</v>
      </c>
      <c r="K371">
        <v>2025</v>
      </c>
      <c r="L371" t="str">
        <v>October</v>
      </c>
      <c r="X371">
        <v>0</v>
      </c>
    </row>
    <row r="372" spans="1:24" x14ac:dyDescent="0.2">
      <c r="A372" t="str">
        <v>Amanda Phrasavath</v>
      </c>
      <c r="B372">
        <v>45944</v>
      </c>
      <c r="C372" t="str">
        <v>Juan Martinez</v>
      </c>
      <c r="D372" t="str">
        <v>Fabrication</v>
      </c>
      <c r="E372" t="str">
        <v>405</v>
      </c>
      <c r="F372" t="str">
        <v>Shank Rib Bonner</v>
      </c>
      <c r="G372" t="str">
        <v>Sprain</v>
      </c>
      <c r="H372" t="str">
        <v xml:space="preserve">RT - Ankle </v>
      </c>
      <c r="I372" t="str">
        <v>FA</v>
      </c>
      <c r="J372" t="str">
        <v>No</v>
      </c>
      <c r="K372">
        <v>2025</v>
      </c>
      <c r="L372" t="str">
        <v>October</v>
      </c>
      <c r="X372">
        <v>0</v>
      </c>
    </row>
    <row r="373" spans="1:24" x14ac:dyDescent="0.2">
      <c r="A373" t="str">
        <v>John Tovar</v>
      </c>
      <c r="B373">
        <v>45944</v>
      </c>
      <c r="C373" t="str">
        <v>Richard Xiong</v>
      </c>
      <c r="D373" t="str">
        <v>Harvest</v>
      </c>
      <c r="E373" t="str">
        <v>101</v>
      </c>
      <c r="F373" t="str">
        <v>Lowerator</v>
      </c>
      <c r="G373" t="str">
        <v>Struck By Object</v>
      </c>
      <c r="H373" t="str">
        <v>LT - FOOT (top)</v>
      </c>
      <c r="I373" t="str">
        <v>FA</v>
      </c>
      <c r="J373" t="str">
        <v>No</v>
      </c>
      <c r="K373">
        <v>2025</v>
      </c>
      <c r="L373" t="str">
        <v>October</v>
      </c>
      <c r="X373">
        <v>0</v>
      </c>
    </row>
    <row r="374" spans="1:24" x14ac:dyDescent="0.2">
      <c r="A374" t="str">
        <v>Efigenia Rodriguez</v>
      </c>
      <c r="B374">
        <v>45940</v>
      </c>
      <c r="C374" t="str">
        <v>Chadu Moua</v>
      </c>
      <c r="D374" t="str">
        <v>Fabrication</v>
      </c>
      <c r="E374" t="str">
        <v>429</v>
      </c>
      <c r="F374" t="str">
        <v>Trim Sorter</v>
      </c>
      <c r="G374" t="str">
        <v>Puncture</v>
      </c>
      <c r="H374" t="str">
        <v>LT - Thumb</v>
      </c>
      <c r="I374" t="str">
        <v>FA</v>
      </c>
      <c r="J374" t="str">
        <v>No</v>
      </c>
      <c r="K374">
        <v>2025</v>
      </c>
      <c r="L374" t="str">
        <v>October</v>
      </c>
      <c r="X374">
        <v>0</v>
      </c>
    </row>
    <row r="375" spans="1:24" x14ac:dyDescent="0.2">
      <c r="A375" t="str">
        <v>Michael Valadez</v>
      </c>
      <c r="B375">
        <v>45940</v>
      </c>
      <c r="C375" t="str">
        <v>Ovidio Sanchez</v>
      </c>
      <c r="D375" t="str">
        <v>Fabrication</v>
      </c>
      <c r="E375" t="str">
        <v>400</v>
      </c>
      <c r="F375" t="str">
        <v>Chuck Hanger</v>
      </c>
      <c r="G375" t="str">
        <v>Struck By Object</v>
      </c>
      <c r="H375" t="str">
        <v>RT - Mouth</v>
      </c>
      <c r="I375" t="str">
        <v>FA</v>
      </c>
      <c r="J375" t="str">
        <v>No</v>
      </c>
      <c r="K375">
        <v>2025</v>
      </c>
      <c r="L375" t="str">
        <v>October</v>
      </c>
      <c r="X375">
        <v>0</v>
      </c>
    </row>
    <row r="376" spans="1:24" x14ac:dyDescent="0.2">
      <c r="A376" t="str">
        <v>Tong Yang</v>
      </c>
      <c r="B376">
        <v>45938</v>
      </c>
      <c r="C376" t="str">
        <v>marilyn herrera</v>
      </c>
      <c r="D376" t="str">
        <v>Harvest</v>
      </c>
      <c r="E376" t="str">
        <v>100</v>
      </c>
      <c r="F376" t="str">
        <v>Herdsman Lead</v>
      </c>
      <c r="G376" t="str">
        <v>Laceration</v>
      </c>
      <c r="H376" t="str">
        <v>RT - Index finger</v>
      </c>
      <c r="I376" t="str">
        <v>FA</v>
      </c>
      <c r="J376" t="str">
        <v>No</v>
      </c>
      <c r="K376">
        <v>2025</v>
      </c>
      <c r="L376" t="str">
        <v>October</v>
      </c>
      <c r="X376">
        <v>0</v>
      </c>
    </row>
    <row r="377" spans="1:24" x14ac:dyDescent="0.2">
      <c r="A377" t="str">
        <v>Nia Caraway</v>
      </c>
      <c r="B377">
        <v>45937</v>
      </c>
      <c r="C377" t="str">
        <v>Diego Soria</v>
      </c>
      <c r="D377" t="str">
        <v>Fabrication</v>
      </c>
      <c r="E377" t="str">
        <v>420</v>
      </c>
      <c r="F377" t="str">
        <v>Flap Meat Trimmer</v>
      </c>
      <c r="G377" t="str">
        <v>Puncture</v>
      </c>
      <c r="H377" t="str">
        <v>Chin</v>
      </c>
      <c r="I377" t="str">
        <v>FA</v>
      </c>
      <c r="J377" t="str">
        <v>No</v>
      </c>
      <c r="K377">
        <v>2025</v>
      </c>
      <c r="L377" t="str">
        <v>October</v>
      </c>
      <c r="X377">
        <v>0</v>
      </c>
    </row>
    <row r="378" spans="1:24" x14ac:dyDescent="0.2">
      <c r="A378" t="str">
        <v>Dewly Cassaway</v>
      </c>
      <c r="B378">
        <v>45933</v>
      </c>
      <c r="C378" t="str">
        <v>Christian Lopez</v>
      </c>
      <c r="D378" t="str">
        <v>Harvest</v>
      </c>
      <c r="E378" t="str">
        <v>106</v>
      </c>
      <c r="F378" t="str">
        <v>Dung Trimmer</v>
      </c>
      <c r="G378" t="str">
        <v>Contact Stress</v>
      </c>
      <c r="H378" t="str">
        <v>LT - Digits</v>
      </c>
      <c r="I378" t="str">
        <v>FA</v>
      </c>
      <c r="J378" t="str">
        <v>No</v>
      </c>
      <c r="K378">
        <v>2025</v>
      </c>
      <c r="L378" t="str">
        <v>October</v>
      </c>
      <c r="X378">
        <v>0</v>
      </c>
    </row>
    <row r="379" spans="1:24" x14ac:dyDescent="0.2">
      <c r="A379" t="str">
        <v>Ricardo Vaca</v>
      </c>
      <c r="B379">
        <v>45933</v>
      </c>
      <c r="C379" t="str">
        <v>Christian Lopez</v>
      </c>
      <c r="D379" t="str">
        <v>Harvest</v>
      </c>
      <c r="E379" t="str">
        <v>106</v>
      </c>
      <c r="F379" t="str">
        <v>Spinal Vac Remover</v>
      </c>
      <c r="G379" t="str">
        <v>Strain</v>
      </c>
      <c r="H379" t="str">
        <v>Lower back</v>
      </c>
      <c r="I379" t="str">
        <v>FA</v>
      </c>
      <c r="J379" t="str">
        <v>No</v>
      </c>
      <c r="K379">
        <v>2025</v>
      </c>
      <c r="L379" t="str">
        <v>October</v>
      </c>
      <c r="X379">
        <v>0</v>
      </c>
    </row>
    <row r="380" spans="1:24" x14ac:dyDescent="0.2">
      <c r="A380" t="str">
        <v>Jose Ramos Rodriguez</v>
      </c>
      <c r="B380">
        <v>45933</v>
      </c>
      <c r="C380" t="str">
        <v>marilyn herrera</v>
      </c>
      <c r="D380" t="str">
        <v>Harvest</v>
      </c>
      <c r="E380" t="str">
        <v>100</v>
      </c>
      <c r="F380" t="str">
        <v>Herdsman Lead</v>
      </c>
      <c r="G380" t="str">
        <v>Foreign boby in eye</v>
      </c>
      <c r="H380" t="str">
        <v xml:space="preserve">RT - Eye </v>
      </c>
      <c r="I380" t="str">
        <v>FA</v>
      </c>
      <c r="J380" t="str">
        <v>No</v>
      </c>
      <c r="K380">
        <v>2025</v>
      </c>
      <c r="L380" t="str">
        <v>October</v>
      </c>
      <c r="X380">
        <v>0</v>
      </c>
    </row>
    <row r="381" spans="1:24" x14ac:dyDescent="0.2">
      <c r="A381" t="str">
        <v>Ying Cha</v>
      </c>
      <c r="B381">
        <v>45933</v>
      </c>
      <c r="C381" t="str">
        <v>Samuel Sierra</v>
      </c>
      <c r="D381" t="str">
        <v>Harvest</v>
      </c>
      <c r="E381" t="str">
        <v>109</v>
      </c>
      <c r="F381" t="str">
        <v>Offal Lead</v>
      </c>
      <c r="G381" t="str">
        <v xml:space="preserve">Rash </v>
      </c>
      <c r="H381" t="str">
        <v>RT - Hand</v>
      </c>
      <c r="I381" t="str">
        <v>FA</v>
      </c>
      <c r="J381" t="str">
        <v>No</v>
      </c>
      <c r="K381">
        <v>2025</v>
      </c>
      <c r="L381" t="str">
        <v>October</v>
      </c>
      <c r="X381">
        <v>0</v>
      </c>
    </row>
    <row r="382" spans="1:24" x14ac:dyDescent="0.2">
      <c r="A382" t="str">
        <v>Anthony Cortez</v>
      </c>
      <c r="B382">
        <v>45933</v>
      </c>
      <c r="C382" t="str">
        <v>Christian Lopez</v>
      </c>
      <c r="D382" t="str">
        <v>Harvest</v>
      </c>
      <c r="E382" t="str">
        <v>106</v>
      </c>
      <c r="F382" t="str">
        <v>Deffect Trimmer</v>
      </c>
      <c r="G382" t="str">
        <v xml:space="preserve">Abrasion </v>
      </c>
      <c r="H382" t="str">
        <v>RT - Forearm</v>
      </c>
      <c r="I382" t="str">
        <v>FA</v>
      </c>
      <c r="J382" t="str">
        <v>No</v>
      </c>
      <c r="K382">
        <v>2025</v>
      </c>
      <c r="L382" t="str">
        <v>October</v>
      </c>
      <c r="X382">
        <v>0</v>
      </c>
    </row>
    <row r="383" spans="1:24" x14ac:dyDescent="0.2">
      <c r="A383" t="str">
        <v>Gerardo Rosendo</v>
      </c>
      <c r="B383">
        <v>45932</v>
      </c>
      <c r="C383" t="str">
        <v>Christian Lopez</v>
      </c>
      <c r="D383" t="str">
        <v>Harvest</v>
      </c>
      <c r="E383" t="str">
        <v>106</v>
      </c>
      <c r="F383" t="str">
        <v>Deffect Trimmer</v>
      </c>
      <c r="G383" t="str">
        <v>Repetition</v>
      </c>
      <c r="H383" t="str">
        <v>RT - Shoulder</v>
      </c>
      <c r="I383" t="str">
        <v>FA</v>
      </c>
      <c r="J383" t="str">
        <v>No</v>
      </c>
      <c r="K383">
        <v>2025</v>
      </c>
      <c r="L383" t="str">
        <v>October</v>
      </c>
      <c r="X383">
        <v>0</v>
      </c>
    </row>
    <row r="384" spans="1:24" x14ac:dyDescent="0.2">
      <c r="A384" t="str">
        <v>Esmeralda Avalos</v>
      </c>
      <c r="B384">
        <v>45931</v>
      </c>
      <c r="C384" t="str">
        <v>Christian Lopez</v>
      </c>
      <c r="D384" t="str">
        <v>Harvest</v>
      </c>
      <c r="E384" t="str">
        <v>106</v>
      </c>
      <c r="F384" t="str">
        <v>SRM Remover</v>
      </c>
      <c r="G384" t="str">
        <v>Strain</v>
      </c>
      <c r="H384" t="str">
        <v>RT - Wrist</v>
      </c>
      <c r="I384" t="str">
        <v>FA</v>
      </c>
      <c r="J384" t="str">
        <v>No</v>
      </c>
      <c r="K384">
        <v>2025</v>
      </c>
      <c r="L384" t="str">
        <v>October</v>
      </c>
      <c r="X384">
        <v>0</v>
      </c>
    </row>
    <row r="385" spans="1:24" x14ac:dyDescent="0.2">
      <c r="A385" t="str">
        <v>Gabriela Garcia</v>
      </c>
      <c r="B385">
        <v>45931</v>
      </c>
      <c r="C385" t="str">
        <v>Chadu Moua</v>
      </c>
      <c r="D385" t="str">
        <v>Fabrication</v>
      </c>
      <c r="E385" t="str">
        <v>429</v>
      </c>
      <c r="F385" t="str">
        <v>Trim Sorter</v>
      </c>
      <c r="G385" t="str">
        <v>Strain</v>
      </c>
      <c r="H385" t="str">
        <v>LT - Thumb</v>
      </c>
      <c r="I385" t="str">
        <v>FA</v>
      </c>
      <c r="J385" t="str">
        <v>No</v>
      </c>
      <c r="K385">
        <v>2025</v>
      </c>
      <c r="L385" t="str">
        <v>October</v>
      </c>
      <c r="X385">
        <v>0</v>
      </c>
    </row>
    <row r="386" spans="1:24" x14ac:dyDescent="0.2">
      <c r="A386" t="str">
        <v>Angel Garcia</v>
      </c>
      <c r="B386">
        <v>45931</v>
      </c>
      <c r="C386" t="str">
        <v>Juan Rodriguez</v>
      </c>
      <c r="D386" t="str">
        <v>Fabrication</v>
      </c>
      <c r="E386" t="str">
        <v>415</v>
      </c>
      <c r="F386" t="str">
        <v>Chuck Bonner</v>
      </c>
      <c r="G386" t="str">
        <v>Puncture</v>
      </c>
      <c r="H386" t="str">
        <v>LT - Pointing Finger</v>
      </c>
      <c r="I386" t="str">
        <v>FA</v>
      </c>
      <c r="J386" t="str">
        <v>No</v>
      </c>
      <c r="K386">
        <v>2025</v>
      </c>
      <c r="L386" t="str">
        <v>October</v>
      </c>
      <c r="X386">
        <v>0</v>
      </c>
    </row>
    <row r="387" spans="1:24" x14ac:dyDescent="0.2">
      <c r="A387" t="str">
        <v>Fernando Ortega</v>
      </c>
      <c r="B387">
        <v>45930</v>
      </c>
      <c r="C387" t="str">
        <v>Ovidio Sanchez</v>
      </c>
      <c r="D387" t="str">
        <v>Fabrication</v>
      </c>
      <c r="E387" t="str">
        <v>400</v>
      </c>
      <c r="F387" t="str">
        <v>Saw Operator</v>
      </c>
      <c r="G387" t="str">
        <v>Strain</v>
      </c>
      <c r="H387" t="str">
        <v>LT - Shoulder &amp; Hand</v>
      </c>
      <c r="I387" t="str">
        <v>FA</v>
      </c>
      <c r="J387" t="str">
        <v>No</v>
      </c>
      <c r="K387">
        <v>2025</v>
      </c>
      <c r="L387" t="str">
        <v>September</v>
      </c>
      <c r="X387">
        <v>0</v>
      </c>
    </row>
    <row r="388" spans="1:24" x14ac:dyDescent="0.2">
      <c r="A388" t="str">
        <v>Luis Torres</v>
      </c>
      <c r="B388">
        <v>45926</v>
      </c>
      <c r="C388" t="str">
        <v>Samuel Sierra</v>
      </c>
      <c r="D388" t="str">
        <v>Harvest</v>
      </c>
      <c r="E388" t="str">
        <v>109</v>
      </c>
      <c r="F388" t="str">
        <v>Tripe Process</v>
      </c>
      <c r="G388" t="str">
        <v>Strain</v>
      </c>
      <c r="H388" t="str">
        <v>LT - Arm (including hand)</v>
      </c>
      <c r="I388" t="str">
        <v>FA</v>
      </c>
      <c r="J388" t="str">
        <v>No</v>
      </c>
      <c r="K388">
        <v>2025</v>
      </c>
      <c r="L388" t="str">
        <v>September</v>
      </c>
      <c r="X388">
        <v>0</v>
      </c>
    </row>
    <row r="389" spans="1:24" x14ac:dyDescent="0.2">
      <c r="A389" t="str">
        <v>Saray Pedroza</v>
      </c>
      <c r="B389">
        <v>45926</v>
      </c>
      <c r="C389" t="str">
        <v>Samuel Sierra</v>
      </c>
      <c r="D389" t="str">
        <v>Harvest</v>
      </c>
      <c r="E389" t="str">
        <v>109</v>
      </c>
      <c r="F389" t="str">
        <v>Wash Tails</v>
      </c>
      <c r="G389" t="str">
        <v>Foreign boby in eye</v>
      </c>
      <c r="H389" t="str">
        <v xml:space="preserve">RT - Eye </v>
      </c>
      <c r="I389" t="str">
        <v>FA</v>
      </c>
      <c r="J389" t="str">
        <v>No</v>
      </c>
      <c r="K389">
        <v>2025</v>
      </c>
      <c r="L389" t="str">
        <v>September</v>
      </c>
      <c r="X389">
        <v>0</v>
      </c>
    </row>
    <row r="390" spans="1:24" x14ac:dyDescent="0.2">
      <c r="A390" t="str">
        <v>Isacc Mcdowell</v>
      </c>
      <c r="B390">
        <v>45925</v>
      </c>
      <c r="C390" t="str">
        <v>Michael Orozco</v>
      </c>
      <c r="D390" t="str">
        <v>Harvest</v>
      </c>
      <c r="E390" t="str">
        <v>104</v>
      </c>
      <c r="F390" t="str">
        <v>Tonsil Remover</v>
      </c>
      <c r="G390" t="str">
        <v>Puncture</v>
      </c>
      <c r="H390" t="str">
        <v>RT - Elbow</v>
      </c>
      <c r="I390" t="str">
        <v>FA</v>
      </c>
      <c r="J390" t="str">
        <v>No</v>
      </c>
      <c r="K390">
        <v>2025</v>
      </c>
      <c r="L390" t="str">
        <v>September</v>
      </c>
      <c r="X390">
        <v>0</v>
      </c>
    </row>
    <row r="391" spans="1:24" x14ac:dyDescent="0.2">
      <c r="A391" t="str">
        <v>Oscar Mardiz</v>
      </c>
      <c r="B391">
        <v>45925</v>
      </c>
      <c r="C391" t="str">
        <v>Ovidio Sanchez</v>
      </c>
      <c r="D391" t="str">
        <v>Fabrication</v>
      </c>
      <c r="E391" t="str">
        <v>400</v>
      </c>
      <c r="F391" t="str">
        <v>Wing Dropper</v>
      </c>
      <c r="G391" t="str">
        <v>Contusions</v>
      </c>
      <c r="H391" t="str">
        <v>LT - FOOT (top)</v>
      </c>
      <c r="I391" t="str">
        <v>FA</v>
      </c>
      <c r="J391" t="str">
        <v>No</v>
      </c>
      <c r="K391">
        <v>2025</v>
      </c>
      <c r="L391" t="str">
        <v>September</v>
      </c>
      <c r="X391">
        <v>0</v>
      </c>
    </row>
    <row r="392" spans="1:24" x14ac:dyDescent="0.2">
      <c r="A392" t="str">
        <v>Touthao Yang</v>
      </c>
      <c r="B392">
        <v>45925</v>
      </c>
      <c r="C392" t="str">
        <v>Francisco Tapia</v>
      </c>
      <c r="D392" t="str">
        <v>Fabrication</v>
      </c>
      <c r="E392" t="str">
        <v>Loading Dock</v>
      </c>
      <c r="F392" t="str">
        <v>Loading Dock Lead</v>
      </c>
      <c r="G392" t="str">
        <v>Laceration</v>
      </c>
      <c r="H392" t="str">
        <v>LT - Middle Finger</v>
      </c>
      <c r="I392" t="str">
        <v>FA</v>
      </c>
      <c r="J392" t="str">
        <v>No</v>
      </c>
      <c r="K392">
        <v>2025</v>
      </c>
      <c r="L392" t="str">
        <v>September</v>
      </c>
      <c r="X392">
        <v>0</v>
      </c>
    </row>
    <row r="393" spans="1:24" x14ac:dyDescent="0.2">
      <c r="A393" t="str">
        <v>Marquiz Cassaway</v>
      </c>
      <c r="B393">
        <v>45925</v>
      </c>
      <c r="C393" t="str">
        <v>Christian Lopez</v>
      </c>
      <c r="D393" t="str">
        <v>Harvest</v>
      </c>
      <c r="E393" t="str">
        <v>106</v>
      </c>
      <c r="F393" t="str">
        <v>Lactic Acid Spray</v>
      </c>
      <c r="G393" t="str">
        <v>Rash</v>
      </c>
      <c r="H393" t="str">
        <v>LT - Forearm</v>
      </c>
      <c r="I393" t="str">
        <v>FA</v>
      </c>
      <c r="J393" t="str">
        <v>No</v>
      </c>
      <c r="K393">
        <v>2025</v>
      </c>
      <c r="L393" t="str">
        <v>September</v>
      </c>
      <c r="X393">
        <v>0</v>
      </c>
    </row>
    <row r="394" spans="1:24" x14ac:dyDescent="0.2">
      <c r="A394" t="str">
        <v>Deshavana Wells</v>
      </c>
      <c r="B394">
        <v>45925</v>
      </c>
      <c r="C394" t="str">
        <v>Samuel Sierra</v>
      </c>
      <c r="D394" t="str">
        <v>Harvest</v>
      </c>
      <c r="E394" t="str">
        <v>107</v>
      </c>
      <c r="F394" t="str">
        <v>Cheeker</v>
      </c>
      <c r="G394" t="str">
        <v>Burn</v>
      </c>
      <c r="H394" t="str">
        <v>LT - Mid Back</v>
      </c>
      <c r="I394" t="str">
        <v>FA</v>
      </c>
      <c r="J394" t="str">
        <v>No</v>
      </c>
      <c r="K394">
        <v>2025</v>
      </c>
      <c r="L394" t="str">
        <v>September</v>
      </c>
      <c r="X394">
        <v>0</v>
      </c>
    </row>
    <row r="395" spans="1:24" x14ac:dyDescent="0.2">
      <c r="A395" t="str">
        <v>John Tovar</v>
      </c>
      <c r="B395">
        <v>45925</v>
      </c>
      <c r="C395" t="str">
        <v>Richard Xiong</v>
      </c>
      <c r="D395" t="str">
        <v>Harvest</v>
      </c>
      <c r="E395" t="str">
        <v>101</v>
      </c>
      <c r="F395" t="str">
        <v>Lowerator</v>
      </c>
      <c r="G395" t="str">
        <v>Struck By Object</v>
      </c>
      <c r="H395" t="str">
        <v>LT - FOOT (top)</v>
      </c>
      <c r="I395" t="str">
        <v>FA</v>
      </c>
      <c r="J395" t="str">
        <v>No</v>
      </c>
      <c r="K395">
        <v>2025</v>
      </c>
      <c r="L395" t="str">
        <v>September</v>
      </c>
      <c r="X395">
        <v>0</v>
      </c>
    </row>
    <row r="396" spans="1:24" x14ac:dyDescent="0.2">
      <c r="A396" t="str">
        <v>Peter Voueth</v>
      </c>
      <c r="B396">
        <v>45923</v>
      </c>
      <c r="C396" t="str">
        <v>Richard Xiong</v>
      </c>
      <c r="D396" t="str">
        <v>Harvest</v>
      </c>
      <c r="E396" t="str">
        <v>101</v>
      </c>
      <c r="F396" t="str">
        <v xml:space="preserve">Shackler </v>
      </c>
      <c r="G396" t="str">
        <v>Strain</v>
      </c>
      <c r="H396" t="str">
        <v>RT - Shoulder &amp; Neck</v>
      </c>
      <c r="I396" t="str">
        <v>FA</v>
      </c>
      <c r="J396" t="str">
        <v>No</v>
      </c>
      <c r="K396">
        <v>2025</v>
      </c>
      <c r="L396" t="str">
        <v>September</v>
      </c>
      <c r="X396">
        <v>0</v>
      </c>
    </row>
    <row r="397" spans="1:24" x14ac:dyDescent="0.2">
      <c r="A397" t="str">
        <v>Christian Lopez</v>
      </c>
      <c r="B397">
        <v>45923</v>
      </c>
      <c r="C397" t="str">
        <v>Froy Rios</v>
      </c>
      <c r="D397" t="str">
        <v>Harvest</v>
      </c>
      <c r="E397" t="str">
        <v>106</v>
      </c>
      <c r="F397" t="str">
        <v>Supervisor</v>
      </c>
      <c r="G397" t="str">
        <v>Strain</v>
      </c>
      <c r="H397" t="str">
        <v>RT - Neck &amp; Hand Diggits</v>
      </c>
      <c r="I397" t="str">
        <v>FA</v>
      </c>
      <c r="J397" t="str">
        <v>No</v>
      </c>
      <c r="K397">
        <v>2025</v>
      </c>
      <c r="L397" t="str">
        <v>September</v>
      </c>
      <c r="X397">
        <v>0</v>
      </c>
    </row>
    <row r="398" spans="1:24" x14ac:dyDescent="0.2">
      <c r="A398" t="str">
        <v>Fautima Peres</v>
      </c>
      <c r="B398">
        <v>45923</v>
      </c>
      <c r="C398" t="str">
        <v>Juan Martinez</v>
      </c>
      <c r="D398" t="str">
        <v>Fabrication</v>
      </c>
      <c r="E398" t="str">
        <v>405</v>
      </c>
      <c r="F398" t="str">
        <v>Rib Bonner</v>
      </c>
      <c r="G398" t="str">
        <v>Slip, Trip, &amp; Fall</v>
      </c>
      <c r="H398" t="str">
        <v>LT - Shoulder - Arm &amp; Upper Left Leg</v>
      </c>
      <c r="I398" t="str">
        <v>FA</v>
      </c>
      <c r="J398" t="str">
        <v>No</v>
      </c>
      <c r="K398">
        <v>2025</v>
      </c>
      <c r="L398" t="str">
        <v>September</v>
      </c>
      <c r="X398">
        <v>0</v>
      </c>
    </row>
    <row r="399" spans="1:24" x14ac:dyDescent="0.2">
      <c r="A399" t="str">
        <v>Felipe Anda</v>
      </c>
      <c r="B399">
        <v>45923</v>
      </c>
      <c r="C399" t="str">
        <v>Juan Rodriguez</v>
      </c>
      <c r="D399" t="str">
        <v>Fabrication</v>
      </c>
      <c r="E399" t="str">
        <v>415</v>
      </c>
      <c r="F399" t="str">
        <v>Check Boner</v>
      </c>
      <c r="G399" t="str">
        <v xml:space="preserve">Abrasion </v>
      </c>
      <c r="H399" t="str">
        <v>RT  - Index Finger</v>
      </c>
      <c r="I399" t="str">
        <v>FA</v>
      </c>
      <c r="J399" t="str">
        <v>No</v>
      </c>
      <c r="K399">
        <v>2025</v>
      </c>
      <c r="L399" t="str">
        <v>September</v>
      </c>
      <c r="X399">
        <v>0</v>
      </c>
    </row>
    <row r="400" spans="1:24" x14ac:dyDescent="0.2">
      <c r="A400" t="str">
        <v>Esmeralda Avalos</v>
      </c>
      <c r="B400">
        <v>45923</v>
      </c>
      <c r="C400" t="str">
        <v>Christian Lopez</v>
      </c>
      <c r="D400" t="str">
        <v>Harvest</v>
      </c>
      <c r="E400" t="str">
        <v>106</v>
      </c>
      <c r="F400" t="str">
        <v>SRM Remover</v>
      </c>
      <c r="G400" t="str">
        <v>Rash</v>
      </c>
      <c r="H400" t="str">
        <v>RT - Cheek</v>
      </c>
      <c r="I400" t="str">
        <v>FA</v>
      </c>
      <c r="J400" t="str">
        <v>No</v>
      </c>
      <c r="K400">
        <v>2025</v>
      </c>
      <c r="L400" t="str">
        <v>September</v>
      </c>
      <c r="X400">
        <v>0</v>
      </c>
    </row>
    <row r="401" spans="1:24" x14ac:dyDescent="0.2">
      <c r="A401" t="str">
        <v>Jose Ramirez</v>
      </c>
      <c r="B401">
        <v>45919</v>
      </c>
      <c r="C401" t="str">
        <v>Christian Lopez</v>
      </c>
      <c r="D401" t="str">
        <v>Harvest</v>
      </c>
      <c r="E401" t="str">
        <v>106</v>
      </c>
      <c r="F401" t="str">
        <v>Lugger</v>
      </c>
      <c r="G401" t="str">
        <v xml:space="preserve">Abrasion </v>
      </c>
      <c r="H401" t="str">
        <v>LT - Forearm</v>
      </c>
      <c r="I401" t="str">
        <v>FA</v>
      </c>
      <c r="J401" t="str">
        <v>No</v>
      </c>
      <c r="K401">
        <v>2025</v>
      </c>
      <c r="L401" t="str">
        <v>September</v>
      </c>
      <c r="X401">
        <v>0</v>
      </c>
    </row>
    <row r="402" spans="1:24" x14ac:dyDescent="0.2">
      <c r="A402" t="str">
        <v>Oshmar Hernandez</v>
      </c>
      <c r="B402">
        <v>45919</v>
      </c>
      <c r="C402" t="str">
        <v>Michael Orozco</v>
      </c>
      <c r="D402" t="str">
        <v>Harvest</v>
      </c>
      <c r="E402" t="str">
        <v>105</v>
      </c>
      <c r="F402" t="str">
        <v xml:space="preserve">Split Saw Op. </v>
      </c>
      <c r="G402" t="str">
        <v>Rash</v>
      </c>
      <c r="H402" t="str">
        <v>Between Tights</v>
      </c>
      <c r="I402" t="str">
        <v>FA</v>
      </c>
      <c r="J402" t="str">
        <v>No</v>
      </c>
      <c r="K402">
        <v>2025</v>
      </c>
      <c r="L402" t="str">
        <v>September</v>
      </c>
      <c r="X402">
        <v>0</v>
      </c>
    </row>
    <row r="403" spans="1:24" x14ac:dyDescent="0.2">
      <c r="A403" t="str">
        <v>German Cerda</v>
      </c>
      <c r="B403">
        <v>45918</v>
      </c>
      <c r="C403" t="str">
        <v>Juan Martinez</v>
      </c>
      <c r="D403" t="str">
        <v>Fabrication</v>
      </c>
      <c r="E403" t="str">
        <v>405</v>
      </c>
      <c r="F403" t="str">
        <v>Plate Boner</v>
      </c>
      <c r="G403" t="str">
        <v>Strain</v>
      </c>
      <c r="H403" t="str">
        <v>LT - Index Finger</v>
      </c>
      <c r="I403" t="str">
        <v>FA</v>
      </c>
      <c r="J403" t="str">
        <v>No</v>
      </c>
      <c r="K403">
        <v>2025</v>
      </c>
      <c r="L403" t="str">
        <v>September</v>
      </c>
      <c r="X403">
        <v>0</v>
      </c>
    </row>
    <row r="404" spans="1:24" x14ac:dyDescent="0.2">
      <c r="A404" t="str">
        <v xml:space="preserve">Julia Orosco </v>
      </c>
      <c r="B404">
        <v>45918</v>
      </c>
      <c r="C404" t="str">
        <v>Rutilio Rodriguez</v>
      </c>
      <c r="D404" t="str">
        <v>Harvest</v>
      </c>
      <c r="E404" t="str">
        <v>102</v>
      </c>
      <c r="F404" t="str">
        <v xml:space="preserve">Whizzard Op. </v>
      </c>
      <c r="G404" t="str">
        <v>Foreign boby in eye</v>
      </c>
      <c r="H404" t="str">
        <v xml:space="preserve">RT - Eye </v>
      </c>
      <c r="I404" t="str">
        <v>FA</v>
      </c>
      <c r="J404" t="str">
        <v>No</v>
      </c>
      <c r="K404">
        <v>2025</v>
      </c>
      <c r="L404" t="str">
        <v>September</v>
      </c>
      <c r="X404">
        <v>0</v>
      </c>
    </row>
    <row r="405" spans="1:24" x14ac:dyDescent="0.2">
      <c r="A405" t="str">
        <v>Antonio Cortez</v>
      </c>
      <c r="B405">
        <v>45916</v>
      </c>
      <c r="C405" t="str">
        <v>Chadu Moua</v>
      </c>
      <c r="D405" t="str">
        <v>Fabrication</v>
      </c>
      <c r="E405" t="str">
        <v>429</v>
      </c>
      <c r="F405" t="str">
        <v>Bin Maker</v>
      </c>
      <c r="G405" t="str">
        <v>Laceration</v>
      </c>
      <c r="H405" t="str">
        <v xml:space="preserve">RT - Diggits (Pinky) </v>
      </c>
      <c r="I405" t="str">
        <v>FA</v>
      </c>
      <c r="J405" t="str">
        <v>No</v>
      </c>
      <c r="K405">
        <v>2025</v>
      </c>
      <c r="L405" t="str">
        <v>September</v>
      </c>
      <c r="X405">
        <v>0</v>
      </c>
    </row>
    <row r="406" spans="1:24" x14ac:dyDescent="0.2">
      <c r="A406" t="str">
        <v>Jesse Garduque</v>
      </c>
      <c r="B406">
        <v>45916</v>
      </c>
      <c r="C406" t="str">
        <v>Juan Rodriguez</v>
      </c>
      <c r="D406" t="str">
        <v>Fabrication</v>
      </c>
      <c r="E406" t="str">
        <v>415</v>
      </c>
      <c r="F406" t="str">
        <v>Chuck Roller</v>
      </c>
      <c r="G406" t="str">
        <v>Slip, Trip, &amp; Fall</v>
      </c>
      <c r="H406" t="str">
        <v>RT - Bissep</v>
      </c>
      <c r="I406" t="str">
        <v>FA</v>
      </c>
      <c r="J406" t="str">
        <v>No</v>
      </c>
      <c r="K406">
        <v>2025</v>
      </c>
      <c r="L406" t="str">
        <v>September</v>
      </c>
      <c r="X406">
        <v>0</v>
      </c>
    </row>
    <row r="407" spans="1:24" x14ac:dyDescent="0.2">
      <c r="A407" t="str">
        <v>Daisy Sotelo</v>
      </c>
      <c r="B407">
        <v>45912</v>
      </c>
      <c r="C407" t="str">
        <v>Samuel Sierra</v>
      </c>
      <c r="D407" t="str">
        <v>Harvest</v>
      </c>
      <c r="E407" t="str">
        <v>109</v>
      </c>
      <c r="F407" t="str">
        <v>Pack Off</v>
      </c>
      <c r="G407" t="str">
        <v>Rash</v>
      </c>
      <c r="H407" t="str">
        <v>Bilat. Ear</v>
      </c>
      <c r="I407" t="str">
        <v>FA</v>
      </c>
      <c r="J407" t="str">
        <v>No</v>
      </c>
      <c r="K407">
        <v>2025</v>
      </c>
      <c r="L407" t="str">
        <v>September</v>
      </c>
      <c r="X407">
        <v>0</v>
      </c>
    </row>
    <row r="408" spans="1:24" x14ac:dyDescent="0.2">
      <c r="A408" t="str">
        <v>Ismael Cruz</v>
      </c>
      <c r="B408">
        <v>45912</v>
      </c>
      <c r="C408" t="str">
        <v>Richard Xiong</v>
      </c>
      <c r="D408" t="str">
        <v>Harvest</v>
      </c>
      <c r="E408" t="str">
        <v>101</v>
      </c>
      <c r="F408" t="str">
        <v>Calf Skinner</v>
      </c>
      <c r="G408" t="str">
        <v>Rash</v>
      </c>
      <c r="H408" t="str">
        <v>LT - Diggits &amp; Thumb</v>
      </c>
      <c r="I408" t="str">
        <v>FA</v>
      </c>
      <c r="J408" t="str">
        <v>No</v>
      </c>
      <c r="K408">
        <v>2025</v>
      </c>
      <c r="L408" t="str">
        <v>September</v>
      </c>
      <c r="X408">
        <v>0</v>
      </c>
    </row>
    <row r="409" spans="1:24" x14ac:dyDescent="0.2">
      <c r="A409" t="str">
        <v>Alexander Ruiz Flores</v>
      </c>
      <c r="B409">
        <v>45911</v>
      </c>
      <c r="C409" t="str">
        <v>Ovidio Sanchez</v>
      </c>
      <c r="D409" t="str">
        <v>Fabrication</v>
      </c>
      <c r="E409" t="str">
        <v>400</v>
      </c>
      <c r="F409" t="str">
        <v>Chuck Hanger</v>
      </c>
      <c r="G409" t="str">
        <v>Puncture</v>
      </c>
      <c r="H409" t="str">
        <v>RT - Wrist</v>
      </c>
      <c r="I409" t="str">
        <v>FA</v>
      </c>
      <c r="J409" t="str">
        <v>No</v>
      </c>
      <c r="K409">
        <v>2025</v>
      </c>
      <c r="L409" t="str">
        <v>September</v>
      </c>
      <c r="X409">
        <v>0</v>
      </c>
    </row>
    <row r="410" spans="1:24" x14ac:dyDescent="0.2">
      <c r="A410" t="str">
        <v>Domigo Camberus</v>
      </c>
      <c r="B410">
        <v>45911</v>
      </c>
      <c r="C410" t="str">
        <v>Christian Lopez</v>
      </c>
      <c r="D410" t="str">
        <v>Harvest</v>
      </c>
      <c r="E410" t="str">
        <v>106</v>
      </c>
      <c r="F410" t="str">
        <v>Deffect Trimmer</v>
      </c>
      <c r="G410" t="str">
        <v>Contusions</v>
      </c>
      <c r="H410" t="str">
        <v>RT - Thumb</v>
      </c>
      <c r="I410" t="str">
        <v>FA</v>
      </c>
      <c r="J410" t="str">
        <v>No</v>
      </c>
      <c r="K410">
        <v>2025</v>
      </c>
      <c r="L410" t="str">
        <v>September</v>
      </c>
      <c r="X410">
        <v>0</v>
      </c>
    </row>
    <row r="411" spans="1:24" x14ac:dyDescent="0.2">
      <c r="A411" t="str">
        <v>Juan Caballos</v>
      </c>
      <c r="B411">
        <v>45911</v>
      </c>
      <c r="C411" t="str">
        <v>Michael Orozco</v>
      </c>
      <c r="D411" t="str">
        <v>Harvest</v>
      </c>
      <c r="E411" t="str">
        <v>105</v>
      </c>
      <c r="F411" t="str">
        <v>Dog Food Saver</v>
      </c>
      <c r="G411" t="str">
        <v>Laceration</v>
      </c>
      <c r="H411" t="str">
        <v>RT - Foot</v>
      </c>
      <c r="I411" t="str">
        <v>FA</v>
      </c>
      <c r="J411" t="str">
        <v>No</v>
      </c>
      <c r="K411">
        <v>2025</v>
      </c>
      <c r="L411" t="str">
        <v>September</v>
      </c>
      <c r="X411">
        <v>0</v>
      </c>
    </row>
    <row r="412" spans="1:24" x14ac:dyDescent="0.2">
      <c r="A412" t="str">
        <v xml:space="preserve">Enrique Ramos  </v>
      </c>
      <c r="B412">
        <v>45909</v>
      </c>
      <c r="C412" t="str">
        <v>Juan Martinez</v>
      </c>
      <c r="D412" t="str">
        <v>Fabrication</v>
      </c>
      <c r="E412" t="str">
        <v>405</v>
      </c>
      <c r="F412" t="str">
        <v>Chuck Short Rib</v>
      </c>
      <c r="G412" t="str">
        <v xml:space="preserve">Abrasion </v>
      </c>
      <c r="H412" t="str">
        <v xml:space="preserve">LT - Forearm   </v>
      </c>
      <c r="I412" t="str">
        <v>FA</v>
      </c>
      <c r="J412" t="str">
        <v>No</v>
      </c>
      <c r="K412">
        <v>2025</v>
      </c>
      <c r="L412" t="str">
        <v>September</v>
      </c>
      <c r="X412">
        <v>0</v>
      </c>
    </row>
    <row r="413" spans="1:24" x14ac:dyDescent="0.2">
      <c r="A413" t="str">
        <v>Ricardo Vaca</v>
      </c>
      <c r="B413">
        <v>45905</v>
      </c>
      <c r="C413" t="str">
        <v>Christian Lopez</v>
      </c>
      <c r="D413" t="str">
        <v>Harvest</v>
      </c>
      <c r="E413" t="str">
        <v>106</v>
      </c>
      <c r="F413" t="str">
        <v>2nd Spinal Cord Vacuum</v>
      </c>
      <c r="G413" t="str">
        <v>Strain</v>
      </c>
      <c r="H413" t="str">
        <v>Lower back</v>
      </c>
      <c r="I413" t="str">
        <v>FA</v>
      </c>
      <c r="J413" t="str">
        <v>No</v>
      </c>
      <c r="K413">
        <v>2025</v>
      </c>
      <c r="L413" t="str">
        <v>September</v>
      </c>
      <c r="X413">
        <v>0</v>
      </c>
    </row>
    <row r="414" spans="1:24" x14ac:dyDescent="0.2">
      <c r="A414" t="str">
        <v>Peter Thao</v>
      </c>
      <c r="B414">
        <v>45905</v>
      </c>
      <c r="C414" t="str">
        <v>Michael Orozco</v>
      </c>
      <c r="D414" t="str">
        <v>Harvest</v>
      </c>
      <c r="E414" t="str">
        <v>104</v>
      </c>
      <c r="F414" t="str">
        <v>Toungue Dropper</v>
      </c>
      <c r="G414" t="str">
        <v>Strain</v>
      </c>
      <c r="H414" t="str">
        <v>LT - Diggits</v>
      </c>
      <c r="I414" t="str">
        <v>FA</v>
      </c>
      <c r="J414" t="str">
        <v>No</v>
      </c>
      <c r="K414">
        <v>2025</v>
      </c>
      <c r="L414" t="str">
        <v>September</v>
      </c>
      <c r="X414">
        <v>0</v>
      </c>
    </row>
    <row r="415" spans="1:24" x14ac:dyDescent="0.2">
      <c r="A415" t="str">
        <v>Jonathan Sanchez</v>
      </c>
      <c r="B415">
        <v>45905</v>
      </c>
      <c r="C415" t="str">
        <v>Michael Orozco</v>
      </c>
      <c r="D415" t="str">
        <v>Harvest</v>
      </c>
      <c r="E415" t="str">
        <v>104</v>
      </c>
      <c r="F415" t="str">
        <v>Tongue Dropper</v>
      </c>
      <c r="G415" t="str">
        <v>Puncture</v>
      </c>
      <c r="H415" t="str">
        <v>RT - Palm</v>
      </c>
      <c r="I415" t="str">
        <v>RPO</v>
      </c>
      <c r="J415" t="str">
        <v>No</v>
      </c>
      <c r="K415">
        <v>2025</v>
      </c>
      <c r="L415" t="str">
        <v>September</v>
      </c>
      <c r="X415">
        <v>0</v>
      </c>
    </row>
    <row r="416" spans="1:24" x14ac:dyDescent="0.2">
      <c r="A416" t="str">
        <v>Ronnie D. Fleming</v>
      </c>
      <c r="B416">
        <v>45904</v>
      </c>
      <c r="C416" t="str">
        <v>Michael Orozco</v>
      </c>
      <c r="D416" t="str">
        <v>Harvest</v>
      </c>
      <c r="E416" t="str">
        <v>105</v>
      </c>
      <c r="F416" t="str">
        <v>Gutter</v>
      </c>
      <c r="G416" t="str">
        <v>Strain</v>
      </c>
      <c r="H416" t="str">
        <v>RT - Hand Index &amp; Middle Fingers</v>
      </c>
      <c r="I416" t="str">
        <v>FA</v>
      </c>
      <c r="J416" t="str">
        <v>No</v>
      </c>
      <c r="K416">
        <v>2025</v>
      </c>
      <c r="L416" t="str">
        <v>September</v>
      </c>
      <c r="X416">
        <v>0</v>
      </c>
    </row>
    <row r="417" spans="1:24" x14ac:dyDescent="0.2">
      <c r="A417" t="str">
        <v>Jesus a la Torre</v>
      </c>
      <c r="B417">
        <v>45904</v>
      </c>
      <c r="C417" t="str">
        <v>Christian Lopez</v>
      </c>
      <c r="D417" t="str">
        <v>Harvest</v>
      </c>
      <c r="E417" t="str">
        <v>106</v>
      </c>
      <c r="F417" t="str">
        <v>Paunch Puller</v>
      </c>
      <c r="G417" t="str">
        <v>Sprain</v>
      </c>
      <c r="H417" t="str">
        <v>RT - Diggits</v>
      </c>
      <c r="I417" t="str">
        <v>FA</v>
      </c>
      <c r="J417" t="str">
        <v>No</v>
      </c>
      <c r="K417">
        <v>2025</v>
      </c>
      <c r="L417" t="str">
        <v>September</v>
      </c>
      <c r="X417">
        <v>0</v>
      </c>
    </row>
    <row r="418" spans="1:24" x14ac:dyDescent="0.2">
      <c r="A418" t="str">
        <v>Baljit Kaur</v>
      </c>
      <c r="B418">
        <v>45904</v>
      </c>
      <c r="C418" t="str">
        <v>Diego Soria</v>
      </c>
      <c r="D418" t="str">
        <v>Fabrication</v>
      </c>
      <c r="E418" t="str">
        <v>420</v>
      </c>
      <c r="F418" t="str">
        <v>Trimmer Upgrade</v>
      </c>
      <c r="G418" t="str">
        <v>Strain</v>
      </c>
      <c r="H418" t="str">
        <v>RT - Ring Finger</v>
      </c>
      <c r="I418" t="str">
        <v>FA</v>
      </c>
      <c r="J418" t="str">
        <v>No</v>
      </c>
      <c r="K418">
        <v>2025</v>
      </c>
      <c r="L418" t="str">
        <v>September</v>
      </c>
      <c r="X418">
        <v>0</v>
      </c>
    </row>
    <row r="419" spans="1:24" x14ac:dyDescent="0.2">
      <c r="A419" t="str">
        <v>Salvador Maravilla</v>
      </c>
      <c r="B419">
        <v>45904</v>
      </c>
      <c r="C419" t="str">
        <v>marilyn herrera</v>
      </c>
      <c r="D419" t="str">
        <v>Harvest</v>
      </c>
      <c r="E419" t="str">
        <v>111</v>
      </c>
      <c r="F419" t="str">
        <v>Rendering</v>
      </c>
      <c r="G419" t="str">
        <v>Burn</v>
      </c>
      <c r="H419" t="str">
        <v>RT - Forearm</v>
      </c>
      <c r="I419" t="str">
        <v>FA</v>
      </c>
      <c r="J419" t="str">
        <v>No</v>
      </c>
      <c r="K419">
        <v>2025</v>
      </c>
      <c r="L419" t="str">
        <v>September</v>
      </c>
      <c r="X419">
        <v>0</v>
      </c>
    </row>
    <row r="420" spans="1:24" x14ac:dyDescent="0.2">
      <c r="A420" t="str">
        <v>Omar Ramos</v>
      </c>
      <c r="B420">
        <v>45903</v>
      </c>
      <c r="C420" t="str">
        <v>Juan Ramirez</v>
      </c>
      <c r="D420" t="str">
        <v>Fabrication</v>
      </c>
      <c r="E420" t="str">
        <v>410</v>
      </c>
      <c r="F420" t="str">
        <v>Top Boner</v>
      </c>
      <c r="G420" t="str">
        <v xml:space="preserve">Abrasion </v>
      </c>
      <c r="H420" t="str">
        <v>RT - Forearm</v>
      </c>
      <c r="I420" t="str">
        <v>FA</v>
      </c>
      <c r="J420" t="str">
        <v>No</v>
      </c>
      <c r="K420">
        <v>2025</v>
      </c>
      <c r="L420" t="str">
        <v>September</v>
      </c>
      <c r="X420">
        <v>0</v>
      </c>
    </row>
    <row r="421" spans="1:24" x14ac:dyDescent="0.2">
      <c r="A421" t="str">
        <v>Julia Rosales Flores</v>
      </c>
      <c r="B421">
        <v>45896</v>
      </c>
      <c r="C421" t="str">
        <v>Christian Lopez</v>
      </c>
      <c r="D421" t="str">
        <v>Harvest</v>
      </c>
      <c r="E421" t="str">
        <v>106</v>
      </c>
      <c r="F421" t="str">
        <v>Tail Remover</v>
      </c>
      <c r="G421" t="str">
        <v>Strain</v>
      </c>
      <c r="H421" t="str">
        <v>Bilateral Wrist
LT - Shoulder &amp; Upper Shoulder</v>
      </c>
      <c r="I421" t="str">
        <v>FA</v>
      </c>
      <c r="J421" t="str">
        <v>No</v>
      </c>
      <c r="K421">
        <v>2025</v>
      </c>
      <c r="L421" t="str">
        <v>August</v>
      </c>
      <c r="X421">
        <v>0</v>
      </c>
    </row>
    <row r="422" spans="1:24" x14ac:dyDescent="0.2">
      <c r="A422" t="str">
        <v>Michael Rocha Reyez</v>
      </c>
      <c r="B422">
        <v>45896</v>
      </c>
      <c r="C422" t="str">
        <v>Ovidio Sanchez</v>
      </c>
      <c r="D422" t="str">
        <v>Fabrication</v>
      </c>
      <c r="E422" t="str">
        <v>400</v>
      </c>
      <c r="F422" t="str">
        <v>Clod Puller</v>
      </c>
      <c r="G422" t="str">
        <v>Contusions</v>
      </c>
      <c r="H422" t="str">
        <v>LT - Index Finger</v>
      </c>
      <c r="I422" t="str">
        <v>FA</v>
      </c>
      <c r="J422" t="str">
        <v>No</v>
      </c>
      <c r="K422">
        <v>2025</v>
      </c>
      <c r="L422" t="str">
        <v>August</v>
      </c>
      <c r="X422">
        <v>0</v>
      </c>
    </row>
    <row r="423" spans="1:24" x14ac:dyDescent="0.2">
      <c r="A423" t="str">
        <v>Peter Voueth</v>
      </c>
      <c r="B423">
        <v>45896</v>
      </c>
      <c r="C423" t="str">
        <v>Richard Xiong</v>
      </c>
      <c r="D423" t="str">
        <v>Harvest</v>
      </c>
      <c r="E423" t="str">
        <v>101</v>
      </c>
      <c r="F423" t="str">
        <v xml:space="preserve">Shackler </v>
      </c>
      <c r="G423" t="str">
        <v>Struck By Cattle</v>
      </c>
      <c r="H423" t="str">
        <v>RT - Wrist &amp; Forearm</v>
      </c>
      <c r="I423" t="str">
        <v>FA</v>
      </c>
      <c r="J423" t="str">
        <v>No</v>
      </c>
      <c r="K423">
        <v>2025</v>
      </c>
      <c r="L423" t="str">
        <v>August</v>
      </c>
      <c r="X423">
        <v>0</v>
      </c>
    </row>
    <row r="424" spans="1:24" x14ac:dyDescent="0.2">
      <c r="A424" t="str">
        <v>Salvador Rivas Patino</v>
      </c>
      <c r="B424">
        <v>45895</v>
      </c>
      <c r="C424" t="str">
        <v>Francisco Tapia</v>
      </c>
      <c r="D424" t="str">
        <v>Fabrication</v>
      </c>
      <c r="E424" t="str">
        <v>Loading Dock</v>
      </c>
      <c r="F424" t="str">
        <v>Palletizer</v>
      </c>
      <c r="G424" t="str">
        <v>Strain</v>
      </c>
      <c r="H424" t="str">
        <v>Unclear</v>
      </c>
      <c r="I424" t="str">
        <v>RPO</v>
      </c>
      <c r="J424" t="str">
        <v>No</v>
      </c>
      <c r="K424">
        <v>2025</v>
      </c>
      <c r="L424" t="str">
        <v>August</v>
      </c>
      <c r="X424">
        <v>0</v>
      </c>
    </row>
    <row r="425" spans="1:24" x14ac:dyDescent="0.2">
      <c r="A425" t="str">
        <v>Vicente Madrigal</v>
      </c>
      <c r="B425">
        <v>45890</v>
      </c>
      <c r="C425" t="str">
        <v>Ovidio Sanchez</v>
      </c>
      <c r="D425" t="str">
        <v>Fabrication</v>
      </c>
      <c r="E425" t="str">
        <v>400</v>
      </c>
      <c r="F425" t="str">
        <v>Paddle Bonner</v>
      </c>
      <c r="G425" t="str">
        <v>Puncture</v>
      </c>
      <c r="H425" t="str">
        <v>RT - Knee</v>
      </c>
      <c r="I425" t="str">
        <v>FA</v>
      </c>
      <c r="J425" t="str">
        <v>No</v>
      </c>
      <c r="K425">
        <v>2025</v>
      </c>
      <c r="L425" t="str">
        <v>August</v>
      </c>
      <c r="X425">
        <v>0</v>
      </c>
    </row>
    <row r="426" spans="1:24" x14ac:dyDescent="0.2">
      <c r="A426" t="str">
        <v>Moices Bahena</v>
      </c>
      <c r="B426">
        <v>45890</v>
      </c>
      <c r="C426" t="str">
        <v>Jesus Avila</v>
      </c>
      <c r="D426" t="str">
        <v>WH</v>
      </c>
      <c r="E426" t="str">
        <v>Warehouse</v>
      </c>
      <c r="F426" t="str">
        <v>Outside Lead</v>
      </c>
      <c r="G426" t="str">
        <v>Pinch</v>
      </c>
      <c r="H426" t="str">
        <v>LF - Digits</v>
      </c>
      <c r="I426" t="str">
        <v>FA</v>
      </c>
      <c r="J426" t="str">
        <v>No</v>
      </c>
      <c r="K426">
        <v>2025</v>
      </c>
      <c r="L426" t="str">
        <v>August</v>
      </c>
      <c r="X426">
        <v>0</v>
      </c>
    </row>
    <row r="427" spans="1:24" x14ac:dyDescent="0.2">
      <c r="A427" t="str">
        <v>Frank Aguero</v>
      </c>
      <c r="B427">
        <v>45889</v>
      </c>
      <c r="C427" t="str">
        <v>Maria Garcia</v>
      </c>
      <c r="D427" t="str">
        <v>Fabrication</v>
      </c>
      <c r="E427" t="str">
        <v>445</v>
      </c>
      <c r="F427" t="str">
        <v xml:space="preserve">Machine Op. </v>
      </c>
      <c r="G427" t="str">
        <v>Sprain</v>
      </c>
      <c r="H427" t="str">
        <v>LF - Middle Finger</v>
      </c>
      <c r="I427" t="str">
        <v>RECORDABLE</v>
      </c>
      <c r="J427" t="str">
        <v>Yes</v>
      </c>
      <c r="K427">
        <v>2025</v>
      </c>
      <c r="L427" t="str">
        <v>August</v>
      </c>
      <c r="X427">
        <v>0</v>
      </c>
    </row>
    <row r="428" spans="1:24" x14ac:dyDescent="0.2">
      <c r="A428" t="str">
        <v>Ralph Gonzalez</v>
      </c>
      <c r="B428">
        <v>45889</v>
      </c>
      <c r="C428" t="str">
        <v>Richard Xiong</v>
      </c>
      <c r="D428" t="str">
        <v>Harvest</v>
      </c>
      <c r="E428" t="str">
        <v>101</v>
      </c>
      <c r="F428" t="str">
        <v>Lactic Acid Spray</v>
      </c>
      <c r="G428" t="str">
        <v>Rash</v>
      </c>
      <c r="H428" t="str">
        <v>LT - Forearm</v>
      </c>
      <c r="I428" t="str">
        <v>FA</v>
      </c>
      <c r="J428" t="str">
        <v>No</v>
      </c>
      <c r="K428">
        <v>2025</v>
      </c>
      <c r="L428" t="str">
        <v>August</v>
      </c>
      <c r="X428">
        <v>0</v>
      </c>
    </row>
    <row r="429" spans="1:24" x14ac:dyDescent="0.2">
      <c r="A429" t="str">
        <v>Magee Brown</v>
      </c>
      <c r="B429">
        <v>45889</v>
      </c>
      <c r="C429" t="str">
        <v>Jarrod Villareal</v>
      </c>
      <c r="D429" t="str">
        <v>Fabrication</v>
      </c>
      <c r="E429" t="str">
        <v>405</v>
      </c>
      <c r="F429" t="str">
        <v xml:space="preserve">Whizzard Op. </v>
      </c>
      <c r="G429" t="str">
        <v>Strain</v>
      </c>
      <c r="H429" t="str">
        <v>RT - Hand</v>
      </c>
      <c r="I429" t="str">
        <v>RPO</v>
      </c>
      <c r="J429" t="str">
        <v>No</v>
      </c>
      <c r="K429">
        <v>2025</v>
      </c>
      <c r="L429" t="str">
        <v>August</v>
      </c>
      <c r="X429">
        <v>0</v>
      </c>
    </row>
    <row r="430" spans="1:24" x14ac:dyDescent="0.2">
      <c r="A430" t="str">
        <v>Keshawn Givins</v>
      </c>
      <c r="B430">
        <v>45884</v>
      </c>
      <c r="C430" t="str">
        <v>Francisco Tapia</v>
      </c>
      <c r="D430" t="str">
        <v>Fabrication</v>
      </c>
      <c r="E430" t="str">
        <v>Loading Dock</v>
      </c>
      <c r="F430" t="str">
        <v>Box Loader</v>
      </c>
      <c r="G430" t="str">
        <v>Sprain</v>
      </c>
      <c r="H430" t="str">
        <v xml:space="preserve">Rt - Ankle </v>
      </c>
      <c r="I430" t="str">
        <v>FA</v>
      </c>
      <c r="J430" t="str">
        <v>No</v>
      </c>
      <c r="K430">
        <v>2025</v>
      </c>
      <c r="L430" t="str">
        <v>August</v>
      </c>
      <c r="X430">
        <v>0</v>
      </c>
    </row>
    <row r="431" spans="1:24" x14ac:dyDescent="0.2">
      <c r="A431" t="str">
        <v>Jesus Morales Lopez</v>
      </c>
      <c r="B431">
        <v>45884</v>
      </c>
      <c r="C431" t="str">
        <v>marilyn herrera</v>
      </c>
      <c r="D431" t="str">
        <v>Harvest</v>
      </c>
      <c r="E431" t="str">
        <v>Corrals 100</v>
      </c>
      <c r="F431" t="str">
        <v>Herdsman</v>
      </c>
      <c r="G431" t="str">
        <v>Strain</v>
      </c>
      <c r="H431" t="str">
        <v>RT - Hip, Knee, planter</v>
      </c>
      <c r="I431" t="str">
        <v>FA</v>
      </c>
      <c r="J431" t="str">
        <v>No</v>
      </c>
      <c r="K431">
        <v>2025</v>
      </c>
      <c r="L431" t="str">
        <v>August</v>
      </c>
      <c r="X431">
        <v>0</v>
      </c>
    </row>
    <row r="432" spans="1:24" x14ac:dyDescent="0.2">
      <c r="A432" t="str">
        <v>Fredy Martinez</v>
      </c>
      <c r="B432">
        <v>45884</v>
      </c>
      <c r="C432" t="str">
        <v>Diego Soria</v>
      </c>
      <c r="D432" t="str">
        <v>Fabrication</v>
      </c>
      <c r="E432" t="str">
        <v>420</v>
      </c>
      <c r="F432" t="str">
        <v>Flat Trimmer</v>
      </c>
      <c r="G432" t="str">
        <v>Rash</v>
      </c>
      <c r="H432" t="str">
        <v>RT - Wrist</v>
      </c>
      <c r="I432" t="str">
        <v>FA</v>
      </c>
      <c r="J432" t="str">
        <v>No</v>
      </c>
      <c r="K432">
        <v>2025</v>
      </c>
      <c r="L432" t="str">
        <v>August</v>
      </c>
      <c r="X432">
        <v>0</v>
      </c>
    </row>
    <row r="433" spans="1:24" x14ac:dyDescent="0.2">
      <c r="A433" t="str">
        <v>Esmeralda Avalos</v>
      </c>
      <c r="B433">
        <v>45884</v>
      </c>
      <c r="C433" t="str">
        <v>Christian Lopez</v>
      </c>
      <c r="D433" t="str">
        <v>Harvest</v>
      </c>
      <c r="E433" t="str">
        <v>106</v>
      </c>
      <c r="F433" t="str">
        <v>SRM Remover</v>
      </c>
      <c r="G433" t="str">
        <v>Burn</v>
      </c>
      <c r="H433" t="str">
        <v>LT - Forearm</v>
      </c>
      <c r="I433" t="str">
        <v>FA</v>
      </c>
      <c r="J433" t="str">
        <v>No</v>
      </c>
      <c r="K433">
        <v>2025</v>
      </c>
      <c r="L433" t="str">
        <v>August</v>
      </c>
      <c r="X433">
        <v>0</v>
      </c>
    </row>
    <row r="434" spans="1:24" x14ac:dyDescent="0.2">
      <c r="A434" t="str">
        <v>Raul Reyes</v>
      </c>
      <c r="B434">
        <v>45882</v>
      </c>
      <c r="C434" t="str">
        <v>Chadu Moua</v>
      </c>
      <c r="D434" t="str">
        <v>Fabrication</v>
      </c>
      <c r="E434" t="str">
        <v>429</v>
      </c>
      <c r="F434" t="str">
        <v xml:space="preserve">Bone Saw Op. </v>
      </c>
      <c r="G434" t="str">
        <v>Strain</v>
      </c>
      <c r="H434" t="str">
        <v>Bilateral Forearms</v>
      </c>
      <c r="I434" t="str">
        <v>FA</v>
      </c>
      <c r="J434" t="str">
        <v>No</v>
      </c>
      <c r="K434">
        <v>2025</v>
      </c>
      <c r="L434" t="str">
        <v>August</v>
      </c>
      <c r="X434">
        <v>0</v>
      </c>
    </row>
    <row r="435" spans="1:24" x14ac:dyDescent="0.2">
      <c r="A435" t="str">
        <v>Angel Rivera</v>
      </c>
      <c r="B435">
        <v>45882</v>
      </c>
      <c r="C435" t="str">
        <v>Juan Rodriguez</v>
      </c>
      <c r="D435" t="str">
        <v>Fabrication</v>
      </c>
      <c r="E435" t="str">
        <v>415</v>
      </c>
      <c r="F435" t="str">
        <v>Chuck Bonner</v>
      </c>
      <c r="G435" t="str">
        <v>Strain</v>
      </c>
      <c r="H435" t="str">
        <v>LT - Palm</v>
      </c>
      <c r="I435" t="str">
        <v>FA</v>
      </c>
      <c r="J435" t="str">
        <v>No</v>
      </c>
      <c r="K435">
        <v>2025</v>
      </c>
      <c r="L435" t="str">
        <v>August</v>
      </c>
      <c r="X435">
        <v>0</v>
      </c>
    </row>
    <row r="436" spans="1:24" x14ac:dyDescent="0.2">
      <c r="A436" t="str">
        <v>Marcus Borrego</v>
      </c>
      <c r="B436">
        <v>45882</v>
      </c>
      <c r="C436" t="str">
        <v>Juan Ramirez</v>
      </c>
      <c r="D436" t="str">
        <v>Fabrication</v>
      </c>
      <c r="E436" t="str">
        <v>410</v>
      </c>
      <c r="F436" t="str">
        <v>Round Dropper</v>
      </c>
      <c r="G436" t="str">
        <v>Strain</v>
      </c>
      <c r="H436" t="str">
        <v>RT - Diggits</v>
      </c>
      <c r="I436" t="str">
        <v>FA</v>
      </c>
      <c r="J436" t="str">
        <v>No</v>
      </c>
      <c r="K436">
        <v>2025</v>
      </c>
      <c r="L436" t="str">
        <v>August</v>
      </c>
      <c r="X436">
        <v>0</v>
      </c>
    </row>
    <row r="437" spans="1:24" x14ac:dyDescent="0.2">
      <c r="A437" t="str">
        <v>Luis Sanchez</v>
      </c>
      <c r="B437">
        <v>45876</v>
      </c>
      <c r="C437" t="str">
        <v>Samuel Sierra</v>
      </c>
      <c r="D437" t="str">
        <v>Harvest</v>
      </c>
      <c r="E437" t="str">
        <v>109</v>
      </c>
      <c r="F437" t="str">
        <v>Tripe Wash</v>
      </c>
      <c r="G437" t="str">
        <v>Foreign boby in eye</v>
      </c>
      <c r="H437" t="str">
        <v xml:space="preserve">LT - Eye  </v>
      </c>
      <c r="I437" t="str">
        <v>FA</v>
      </c>
      <c r="J437" t="str">
        <v>No</v>
      </c>
      <c r="K437">
        <v>2025</v>
      </c>
      <c r="L437" t="str">
        <v>August</v>
      </c>
      <c r="X437">
        <v>0</v>
      </c>
    </row>
    <row r="438" spans="1:24" x14ac:dyDescent="0.2">
      <c r="A438" t="str">
        <v>Adolfo Reyes</v>
      </c>
      <c r="B438">
        <v>45875</v>
      </c>
      <c r="C438" t="str">
        <v>Ovidio Sanchez</v>
      </c>
      <c r="D438" t="str">
        <v>Fabrication</v>
      </c>
      <c r="E438" t="str">
        <v>400</v>
      </c>
      <c r="F438" t="str">
        <v>Knuckle Puller</v>
      </c>
      <c r="G438" t="str">
        <v>Strain</v>
      </c>
      <c r="H438" t="str">
        <v>LT - Hand Digits</v>
      </c>
      <c r="I438" t="str">
        <v>RPO</v>
      </c>
      <c r="J438" t="str">
        <v>No</v>
      </c>
      <c r="K438">
        <v>2025</v>
      </c>
      <c r="L438" t="str">
        <v>August</v>
      </c>
      <c r="X438">
        <v>0</v>
      </c>
    </row>
    <row r="439" spans="1:24" x14ac:dyDescent="0.2">
      <c r="A439" t="str">
        <v>Sukhbia Sandhu</v>
      </c>
      <c r="B439">
        <v>45874</v>
      </c>
      <c r="C439" t="str">
        <v>Jarrod Villareal</v>
      </c>
      <c r="D439" t="str">
        <v>Fabrication</v>
      </c>
      <c r="E439" t="str">
        <v>405</v>
      </c>
      <c r="F439" t="str">
        <v>Trim Sorter</v>
      </c>
      <c r="G439" t="str">
        <v>Strain</v>
      </c>
      <c r="H439" t="str">
        <v>RT - Neck &amp; RT - Lower Back</v>
      </c>
      <c r="I439" t="str">
        <v>FA</v>
      </c>
      <c r="J439" t="str">
        <v>No</v>
      </c>
      <c r="K439">
        <v>2025</v>
      </c>
      <c r="L439" t="str">
        <v>August</v>
      </c>
      <c r="X439">
        <v>0</v>
      </c>
    </row>
    <row r="440" spans="1:24" x14ac:dyDescent="0.2">
      <c r="A440" t="str">
        <v>Ralph Gonzalez</v>
      </c>
      <c r="B440">
        <v>45870</v>
      </c>
      <c r="C440" t="str">
        <v>Samuel Sierra</v>
      </c>
      <c r="D440" t="str">
        <v>Harvest</v>
      </c>
      <c r="E440" t="str">
        <v>107</v>
      </c>
      <c r="F440" t="str">
        <v>Chisler</v>
      </c>
      <c r="G440" t="str">
        <v>Crush Injury</v>
      </c>
      <c r="H440" t="str">
        <v>RT - Thumb</v>
      </c>
      <c r="I440" t="str">
        <v>RECORDABLE</v>
      </c>
      <c r="J440" t="str">
        <v>Yes</v>
      </c>
      <c r="K440">
        <v>2025</v>
      </c>
      <c r="L440" t="str">
        <v>August</v>
      </c>
      <c r="X440">
        <v>0</v>
      </c>
    </row>
    <row r="441" spans="1:24" x14ac:dyDescent="0.2">
      <c r="A441" t="str">
        <v>Jose Ramos</v>
      </c>
      <c r="B441">
        <v>45869</v>
      </c>
      <c r="C441" t="str">
        <v>marilyn herrera</v>
      </c>
      <c r="D441" t="str">
        <v>Harvest</v>
      </c>
      <c r="E441" t="str">
        <v>100</v>
      </c>
      <c r="F441" t="str">
        <v>Herdsman Lead</v>
      </c>
      <c r="G441" t="str">
        <v>Struck By Cattle</v>
      </c>
      <c r="H441" t="str">
        <v>LT - Rib &amp; RT Mid Back</v>
      </c>
      <c r="I441" t="str">
        <v>RECORDABLE</v>
      </c>
      <c r="J441" t="str">
        <v>Yes</v>
      </c>
      <c r="K441">
        <v>2025</v>
      </c>
      <c r="L441" t="str">
        <v>July</v>
      </c>
      <c r="X441">
        <v>0</v>
      </c>
    </row>
    <row r="442" spans="1:24" x14ac:dyDescent="0.2">
      <c r="A442" t="str">
        <v>Raul Reyes</v>
      </c>
      <c r="B442">
        <v>45861</v>
      </c>
      <c r="C442" t="str">
        <v>Chadu Moua</v>
      </c>
      <c r="D442" t="str">
        <v>Fabrication</v>
      </c>
      <c r="E442" t="str">
        <v>429</v>
      </c>
      <c r="F442" t="str">
        <v xml:space="preserve">Bone Saw Op. </v>
      </c>
      <c r="G442" t="str">
        <v>Strain</v>
      </c>
      <c r="H442" t="str">
        <v>RT - Forearm</v>
      </c>
      <c r="I442" t="str">
        <v>FA</v>
      </c>
      <c r="J442" t="str">
        <v>No</v>
      </c>
      <c r="K442">
        <v>2025</v>
      </c>
      <c r="L442" t="str">
        <v>July</v>
      </c>
      <c r="X442">
        <v>0</v>
      </c>
    </row>
    <row r="443" spans="1:24" x14ac:dyDescent="0.2">
      <c r="A443" t="str">
        <v>Raul Reyes</v>
      </c>
      <c r="B443">
        <v>45856</v>
      </c>
      <c r="C443" t="str">
        <v>Chadu Moua</v>
      </c>
      <c r="D443" t="str">
        <v>Fabrication</v>
      </c>
      <c r="E443" t="str">
        <v>429</v>
      </c>
      <c r="F443" t="str">
        <v xml:space="preserve">Bone Saw Op. </v>
      </c>
      <c r="G443" t="str">
        <v>Strain</v>
      </c>
      <c r="H443" t="str">
        <v>RT - Forearm</v>
      </c>
      <c r="I443" t="str">
        <v>FA</v>
      </c>
      <c r="J443" t="str">
        <v>No</v>
      </c>
      <c r="K443">
        <v>2025</v>
      </c>
      <c r="L443" t="str">
        <v>July</v>
      </c>
      <c r="X443">
        <v>0</v>
      </c>
    </row>
    <row r="444" spans="1:24" x14ac:dyDescent="0.2">
      <c r="A444" t="str">
        <v>Higinio Marin </v>
      </c>
      <c r="B444">
        <v>45855</v>
      </c>
      <c r="C444" t="str">
        <v>Juan Rodriguez</v>
      </c>
      <c r="D444" t="str">
        <v>Fabrication</v>
      </c>
      <c r="E444" t="str">
        <v>415</v>
      </c>
      <c r="F444" t="str">
        <v>Chuck Bonner</v>
      </c>
      <c r="G444" t="str">
        <v>Strain</v>
      </c>
      <c r="H444" t="str">
        <v>RT - Hand</v>
      </c>
      <c r="I444" t="str">
        <v>FA</v>
      </c>
      <c r="J444" t="str">
        <v>No</v>
      </c>
      <c r="K444">
        <v>2025</v>
      </c>
      <c r="L444" t="str">
        <v>July</v>
      </c>
      <c r="X444">
        <v>0</v>
      </c>
    </row>
    <row r="445" spans="1:24" x14ac:dyDescent="0.2">
      <c r="A445" t="str">
        <v>Christofer Diaz</v>
      </c>
      <c r="B445">
        <v>45854</v>
      </c>
      <c r="C445" t="str">
        <v>Francisco Tapia</v>
      </c>
      <c r="D445" t="str">
        <v>Fabrication</v>
      </c>
      <c r="E445" t="str">
        <v>Loading Dock</v>
      </c>
      <c r="F445" t="str">
        <v>Palletizer</v>
      </c>
      <c r="G445" t="str">
        <v>Struck By MPE</v>
      </c>
      <c r="H445" t="str">
        <v xml:space="preserve">LF - Ankle </v>
      </c>
      <c r="I445" t="str">
        <v>FA</v>
      </c>
      <c r="J445" t="str">
        <v>No</v>
      </c>
      <c r="K445">
        <v>2025</v>
      </c>
      <c r="L445" t="str">
        <v>July</v>
      </c>
      <c r="X445">
        <v>0</v>
      </c>
    </row>
    <row r="446" spans="1:24" x14ac:dyDescent="0.2">
      <c r="A446" t="str">
        <v>Morgan Branning</v>
      </c>
      <c r="B446">
        <v>45853</v>
      </c>
      <c r="C446" t="str">
        <v>Michael Orozco</v>
      </c>
      <c r="D446" t="str">
        <v>Harvest</v>
      </c>
      <c r="E446" t="str">
        <v>104</v>
      </c>
      <c r="F446" t="str">
        <v>Aitch Bone Saw</v>
      </c>
      <c r="G446" t="str">
        <v>Sprain</v>
      </c>
      <c r="H446" t="str">
        <v>LT - Wrist</v>
      </c>
      <c r="I446" t="str">
        <v>FA</v>
      </c>
      <c r="J446" t="str">
        <v>No</v>
      </c>
      <c r="K446">
        <v>2025</v>
      </c>
      <c r="L446" t="str">
        <v>July</v>
      </c>
      <c r="X446">
        <v>0</v>
      </c>
    </row>
    <row r="447" spans="1:24" x14ac:dyDescent="0.2">
      <c r="A447" t="str">
        <v>Melquisedec Quiroz</v>
      </c>
      <c r="B447">
        <v>45853</v>
      </c>
      <c r="C447" t="str">
        <v>Christian Lopez</v>
      </c>
      <c r="D447" t="str">
        <v>Harvest</v>
      </c>
      <c r="E447" t="str">
        <v>105</v>
      </c>
      <c r="F447" t="str">
        <v>Circular Saw</v>
      </c>
      <c r="G447" t="str">
        <v>Strain</v>
      </c>
      <c r="H447" t="str">
        <v>RT - Neck</v>
      </c>
      <c r="I447" t="str">
        <v>FA</v>
      </c>
      <c r="J447" t="str">
        <v>No</v>
      </c>
      <c r="K447">
        <v>2025</v>
      </c>
      <c r="L447" t="str">
        <v>July</v>
      </c>
      <c r="X447">
        <v>0</v>
      </c>
    </row>
    <row r="448" spans="1:24" x14ac:dyDescent="0.2">
      <c r="A448" t="str">
        <v>Aniken Robinson</v>
      </c>
      <c r="B448">
        <v>45853</v>
      </c>
      <c r="C448" t="str">
        <v>Michael Orozco</v>
      </c>
      <c r="D448" t="str">
        <v>Harvest</v>
      </c>
      <c r="E448" t="str">
        <v>105</v>
      </c>
      <c r="F448" t="str">
        <v xml:space="preserve">Split Saw Op. </v>
      </c>
      <c r="G448" t="str">
        <v>Heat Prostration</v>
      </c>
      <c r="H448" t="str">
        <v>All Body</v>
      </c>
      <c r="I448" t="str">
        <v>RPO</v>
      </c>
      <c r="J448" t="str">
        <v>No</v>
      </c>
      <c r="K448">
        <v>2025</v>
      </c>
      <c r="L448" t="str">
        <v>July</v>
      </c>
      <c r="X448">
        <v>0</v>
      </c>
    </row>
    <row r="449" spans="1:24" x14ac:dyDescent="0.2">
      <c r="A449" t="str">
        <v>Ralph Gonzalez</v>
      </c>
      <c r="B449">
        <v>45849</v>
      </c>
      <c r="C449" t="str">
        <v>Samuel Sierra</v>
      </c>
      <c r="D449" t="str">
        <v>Harvest</v>
      </c>
      <c r="E449" t="str">
        <v>107</v>
      </c>
      <c r="F449" t="str">
        <v>Chisler</v>
      </c>
      <c r="G449" t="str">
        <v xml:space="preserve">Burn </v>
      </c>
      <c r="H449" t="str">
        <v>LT - Arm</v>
      </c>
      <c r="I449" t="str">
        <v>FA</v>
      </c>
      <c r="J449" t="str">
        <v>No</v>
      </c>
      <c r="K449">
        <v>2025</v>
      </c>
      <c r="L449" t="str">
        <v>July</v>
      </c>
      <c r="X449">
        <v>0</v>
      </c>
    </row>
    <row r="450" spans="1:24" x14ac:dyDescent="0.2">
      <c r="A450" t="str">
        <v>Jesse Garduque</v>
      </c>
      <c r="B450">
        <v>45848</v>
      </c>
      <c r="C450" t="str">
        <v>Juan Rodriguez</v>
      </c>
      <c r="D450" t="str">
        <v>Fabrication</v>
      </c>
      <c r="E450" t="str">
        <v>415</v>
      </c>
      <c r="F450" t="str">
        <v>Chuck Roller</v>
      </c>
      <c r="G450" t="str">
        <v>Strain</v>
      </c>
      <c r="H450" t="str">
        <v>LT - Wrist</v>
      </c>
      <c r="I450" t="str">
        <v>FA</v>
      </c>
      <c r="J450" t="str">
        <v>No</v>
      </c>
      <c r="K450">
        <v>2025</v>
      </c>
      <c r="L450" t="str">
        <v>July</v>
      </c>
      <c r="X450">
        <v>0</v>
      </c>
    </row>
    <row r="451" spans="1:24" x14ac:dyDescent="0.2">
      <c r="A451" t="str">
        <v>Peter Voueth</v>
      </c>
      <c r="B451">
        <v>45846</v>
      </c>
      <c r="C451" t="str">
        <v>Richard Xiong</v>
      </c>
      <c r="D451" t="str">
        <v>Harvest</v>
      </c>
      <c r="E451" t="str">
        <v>101</v>
      </c>
      <c r="F451" t="str">
        <v>Schackler</v>
      </c>
      <c r="G451" t="str">
        <v>Sprain</v>
      </c>
      <c r="H451" t="str">
        <v xml:space="preserve">LT - Diggits  </v>
      </c>
      <c r="I451" t="str">
        <v>RPO</v>
      </c>
      <c r="J451" t="str">
        <v>No</v>
      </c>
      <c r="K451">
        <v>2025</v>
      </c>
      <c r="L451" t="str">
        <v>July</v>
      </c>
      <c r="X451">
        <v>0</v>
      </c>
    </row>
    <row r="452" spans="1:24" x14ac:dyDescent="0.2">
      <c r="A452" t="str">
        <v>Edalia Lopez</v>
      </c>
      <c r="B452">
        <v>45846</v>
      </c>
      <c r="C452" t="str">
        <v>Samuel Sierra</v>
      </c>
      <c r="D452" t="str">
        <v>Harvest</v>
      </c>
      <c r="E452" t="str">
        <v>107</v>
      </c>
      <c r="F452" t="str">
        <v xml:space="preserve">Whizzard Op. </v>
      </c>
      <c r="G452" t="str">
        <v>Strain</v>
      </c>
      <c r="H452" t="str">
        <v>LT - Shoulder</v>
      </c>
      <c r="I452" t="str">
        <v>RPO</v>
      </c>
      <c r="J452" t="str">
        <v>No</v>
      </c>
      <c r="K452">
        <v>2025</v>
      </c>
      <c r="L452" t="str">
        <v>July</v>
      </c>
      <c r="X452">
        <v>0</v>
      </c>
    </row>
    <row r="453" spans="1:24" x14ac:dyDescent="0.2">
      <c r="A453" t="str">
        <v>Israel Aldaz</v>
      </c>
      <c r="B453">
        <v>45845</v>
      </c>
      <c r="C453" t="str">
        <v>Juan Rodriguez</v>
      </c>
      <c r="D453" t="str">
        <v>Fabrication</v>
      </c>
      <c r="E453" t="str">
        <v>415</v>
      </c>
      <c r="F453" t="str">
        <v>Rib Eye</v>
      </c>
      <c r="G453" t="str">
        <v>Strain</v>
      </c>
      <c r="H453" t="str">
        <v>RT - Hand</v>
      </c>
      <c r="I453" t="str">
        <v>FA</v>
      </c>
      <c r="J453" t="str">
        <v>No</v>
      </c>
      <c r="K453">
        <v>2025</v>
      </c>
      <c r="L453" t="str">
        <v>July</v>
      </c>
      <c r="X453">
        <v>0</v>
      </c>
    </row>
    <row r="454" spans="1:24" x14ac:dyDescent="0.2">
      <c r="A454" t="str">
        <v>Moises Flores</v>
      </c>
      <c r="B454">
        <v>45841</v>
      </c>
      <c r="C454" t="str">
        <v>Juan Ramirez</v>
      </c>
      <c r="D454" t="str">
        <v>Fabrication</v>
      </c>
      <c r="E454" t="str">
        <v>410</v>
      </c>
      <c r="F454" t="str">
        <v>Tender Puller</v>
      </c>
      <c r="G454" t="str">
        <v>Strain</v>
      </c>
      <c r="H454" t="str">
        <v>RT - Wrist</v>
      </c>
      <c r="I454" t="str">
        <v>FA</v>
      </c>
      <c r="J454" t="str">
        <v>No</v>
      </c>
      <c r="K454">
        <v>2025</v>
      </c>
      <c r="L454" t="str">
        <v>July</v>
      </c>
      <c r="X454">
        <v>0</v>
      </c>
    </row>
    <row r="455" spans="1:24" x14ac:dyDescent="0.2">
      <c r="A455" t="str">
        <v>Taily Laynes</v>
      </c>
      <c r="B455">
        <v>45840</v>
      </c>
      <c r="C455" t="str">
        <v>Ovidio Sanchez</v>
      </c>
      <c r="D455" t="str">
        <v>Fabrication</v>
      </c>
      <c r="E455" t="str">
        <v>400</v>
      </c>
      <c r="F455" t="str">
        <v>Fajita Puller</v>
      </c>
      <c r="G455" t="str">
        <v>Struck-by Against Object</v>
      </c>
      <c r="H455" t="str">
        <v>LF - Face</v>
      </c>
      <c r="I455" t="str">
        <v>FA</v>
      </c>
      <c r="J455" t="str">
        <v>No</v>
      </c>
      <c r="K455">
        <v>2025</v>
      </c>
      <c r="L455" t="str">
        <v>July</v>
      </c>
      <c r="X455">
        <v>0</v>
      </c>
    </row>
    <row r="456" spans="1:24" x14ac:dyDescent="0.2">
      <c r="A456" t="str">
        <v>Ralph Gonzalez</v>
      </c>
      <c r="B456">
        <v>45834</v>
      </c>
      <c r="C456" t="str">
        <v>Samuel Sierra</v>
      </c>
      <c r="D456" t="str">
        <v>Harvest</v>
      </c>
      <c r="E456" t="str">
        <v>107</v>
      </c>
      <c r="F456" t="str">
        <v>Chisler</v>
      </c>
      <c r="G456" t="str">
        <v xml:space="preserve">Abrasion </v>
      </c>
      <c r="H456" t="str">
        <v>RT - Forearm</v>
      </c>
      <c r="I456" t="str">
        <v>FA</v>
      </c>
      <c r="J456" t="str">
        <v>No</v>
      </c>
      <c r="K456">
        <v>2025</v>
      </c>
      <c r="L456" t="str">
        <v>June</v>
      </c>
      <c r="X456">
        <v>0</v>
      </c>
    </row>
    <row r="457" spans="1:24" x14ac:dyDescent="0.2">
      <c r="A457" t="str">
        <v>Garbriel Sandhu</v>
      </c>
      <c r="B457">
        <v>45826</v>
      </c>
      <c r="C457" t="str">
        <v>Diego Soria</v>
      </c>
      <c r="D457" t="str">
        <v>Fabrication</v>
      </c>
      <c r="E457" t="str">
        <v>420</v>
      </c>
      <c r="F457" t="str">
        <v>Top Butt Trimmer</v>
      </c>
      <c r="G457" t="str">
        <v>Strain</v>
      </c>
      <c r="H457" t="str">
        <v>LT - Shoulder</v>
      </c>
      <c r="I457" t="str">
        <v>RPO</v>
      </c>
      <c r="J457" t="str">
        <v>No</v>
      </c>
      <c r="K457">
        <v>2025</v>
      </c>
      <c r="L457" t="str">
        <v>June</v>
      </c>
      <c r="X457">
        <v>0</v>
      </c>
    </row>
    <row r="458" spans="1:24" x14ac:dyDescent="0.2">
      <c r="A458" t="str">
        <v>Eduardo Haro Esquiuel</v>
      </c>
      <c r="B458">
        <v>45826</v>
      </c>
      <c r="C458" t="str">
        <v>Edwin Vega</v>
      </c>
      <c r="D458" t="str">
        <v>Fabrication</v>
      </c>
      <c r="E458" t="str">
        <v>124</v>
      </c>
      <c r="F458" t="str">
        <v>Cooler Pusher</v>
      </c>
      <c r="G458" t="str">
        <v>Struck</v>
      </c>
      <c r="H458" t="str">
        <v>LT Shoulder</v>
      </c>
      <c r="I458" t="str">
        <v>RPO</v>
      </c>
      <c r="J458" t="str">
        <v>No</v>
      </c>
      <c r="K458">
        <v>2025</v>
      </c>
      <c r="L458" t="str">
        <v>June</v>
      </c>
      <c r="X458">
        <v>0</v>
      </c>
    </row>
    <row r="459" spans="1:24" x14ac:dyDescent="0.2">
      <c r="A459" t="str">
        <v>Alan Aranda</v>
      </c>
      <c r="B459">
        <v>45825</v>
      </c>
      <c r="C459" t="str">
        <v>Diego Soria</v>
      </c>
      <c r="D459" t="str">
        <v>Fabrication</v>
      </c>
      <c r="E459" t="str">
        <v>420</v>
      </c>
      <c r="F459" t="str">
        <v>Trim Bonner</v>
      </c>
      <c r="G459" t="str">
        <v>Strain</v>
      </c>
      <c r="H459" t="str">
        <v>LF - Wrist</v>
      </c>
      <c r="I459" t="str">
        <v>FA</v>
      </c>
      <c r="J459" t="str">
        <v>No</v>
      </c>
      <c r="K459">
        <v>2025</v>
      </c>
      <c r="L459" t="str">
        <v>June</v>
      </c>
      <c r="X459">
        <v>0</v>
      </c>
    </row>
    <row r="460" spans="1:24" x14ac:dyDescent="0.2">
      <c r="A460" t="str">
        <v>Jose Ramos</v>
      </c>
      <c r="B460">
        <v>45825</v>
      </c>
      <c r="C460" t="str">
        <v>marilyn herrera</v>
      </c>
      <c r="D460" t="str">
        <v>Harvest</v>
      </c>
      <c r="E460" t="str">
        <v>100</v>
      </c>
      <c r="F460" t="str">
        <v>Herdsman Lead</v>
      </c>
      <c r="G460" t="str">
        <v>Pinch</v>
      </c>
      <c r="H460" t="str">
        <v>RT - Diggits</v>
      </c>
      <c r="I460" t="str">
        <v>RPO</v>
      </c>
      <c r="J460" t="str">
        <v>No</v>
      </c>
      <c r="K460">
        <v>2025</v>
      </c>
      <c r="L460" t="str">
        <v>June</v>
      </c>
      <c r="X460">
        <v>0</v>
      </c>
    </row>
    <row r="461" spans="1:24" x14ac:dyDescent="0.2">
      <c r="A461" t="str">
        <v>Yvonne Martinez</v>
      </c>
      <c r="B461">
        <v>45825</v>
      </c>
      <c r="C461" t="str">
        <v>Diego Soria</v>
      </c>
      <c r="D461" t="str">
        <v>Fabrication</v>
      </c>
      <c r="E461" t="str">
        <v>420</v>
      </c>
      <c r="F461" t="str">
        <v xml:space="preserve">Whizzard Op. </v>
      </c>
      <c r="G461" t="str">
        <v>Strain</v>
      </c>
      <c r="H461" t="str">
        <v>LT - Shoulder</v>
      </c>
      <c r="I461" t="str">
        <v>RPO</v>
      </c>
      <c r="J461" t="str">
        <v>No</v>
      </c>
      <c r="K461">
        <v>2025</v>
      </c>
      <c r="L461" t="str">
        <v>June</v>
      </c>
      <c r="X461">
        <v>0</v>
      </c>
    </row>
    <row r="462" spans="1:24" x14ac:dyDescent="0.2">
      <c r="A462" t="str">
        <v>Rosendo Granados</v>
      </c>
      <c r="B462">
        <v>45821</v>
      </c>
      <c r="C462" t="str">
        <v>Christian Lopez</v>
      </c>
      <c r="D462" t="str">
        <v>Harvest</v>
      </c>
      <c r="E462" t="str">
        <v>106</v>
      </c>
      <c r="F462" t="str">
        <v>Deffect Trimmer</v>
      </c>
      <c r="G462" t="str">
        <v>Strain</v>
      </c>
      <c r="H462" t="str">
        <v>RT - Shoulder</v>
      </c>
      <c r="I462" t="str">
        <v>FA</v>
      </c>
      <c r="J462" t="str">
        <v>No</v>
      </c>
      <c r="K462">
        <v>2025</v>
      </c>
      <c r="L462" t="str">
        <v>June</v>
      </c>
      <c r="X462">
        <v>0</v>
      </c>
    </row>
    <row r="463" spans="1:24" x14ac:dyDescent="0.2">
      <c r="A463" t="str">
        <v>Daniel Martinez</v>
      </c>
      <c r="B463">
        <v>45821</v>
      </c>
      <c r="C463" t="str">
        <v>Kamran Tavagar</v>
      </c>
      <c r="D463" t="str">
        <v>Maintnances</v>
      </c>
      <c r="E463" t="str">
        <v>Electrician</v>
      </c>
      <c r="F463" t="str">
        <v>Electrician</v>
      </c>
      <c r="G463" t="str">
        <v xml:space="preserve">Crush Injury </v>
      </c>
      <c r="H463" t="str">
        <v>LT - Ring Finger</v>
      </c>
      <c r="I463" t="str">
        <v>FA</v>
      </c>
      <c r="J463" t="str">
        <v>No</v>
      </c>
      <c r="K463">
        <v>2025</v>
      </c>
      <c r="L463" t="str">
        <v>June</v>
      </c>
      <c r="X463">
        <v>0</v>
      </c>
    </row>
    <row r="464" spans="1:24" x14ac:dyDescent="0.2">
      <c r="A464" t="str">
        <v>Mary Coffee</v>
      </c>
      <c r="B464">
        <v>45820</v>
      </c>
      <c r="C464" t="str">
        <v>Suky</v>
      </c>
      <c r="D464" t="str">
        <v>Fabrication</v>
      </c>
      <c r="E464" t="str">
        <v>Training Dept.</v>
      </c>
      <c r="F464" t="str">
        <v>NA</v>
      </c>
      <c r="G464" t="str">
        <v>Insect Sting</v>
      </c>
      <c r="H464" t="str">
        <v>LF - Shoulder</v>
      </c>
      <c r="I464" t="str">
        <v>RPO</v>
      </c>
      <c r="J464" t="str">
        <v>No</v>
      </c>
      <c r="K464">
        <v>2025</v>
      </c>
      <c r="L464" t="str">
        <v>June</v>
      </c>
      <c r="X464">
        <v>0</v>
      </c>
    </row>
    <row r="465" spans="1:24" x14ac:dyDescent="0.2">
      <c r="A465" t="str">
        <v>Cosme De Anda</v>
      </c>
      <c r="B465">
        <v>45819</v>
      </c>
      <c r="C465" t="str">
        <v>Jesus Avila</v>
      </c>
      <c r="D465" t="str">
        <v>WH</v>
      </c>
      <c r="E465" t="str">
        <v>Warehouse</v>
      </c>
      <c r="F465" t="str">
        <v xml:space="preserve">Forklift Op. </v>
      </c>
      <c r="G465" t="str">
        <v>Pinch</v>
      </c>
      <c r="H465" t="str">
        <v>LT - Hand</v>
      </c>
      <c r="I465" t="str">
        <v>RPO</v>
      </c>
      <c r="J465" t="str">
        <v>No</v>
      </c>
      <c r="K465">
        <v>2025</v>
      </c>
      <c r="L465" t="str">
        <v>June</v>
      </c>
      <c r="X465">
        <v>0</v>
      </c>
    </row>
    <row r="466" spans="1:24" x14ac:dyDescent="0.2">
      <c r="A466" t="str">
        <v>Juan Lugardo</v>
      </c>
      <c r="B466">
        <v>45818</v>
      </c>
      <c r="C466" t="str">
        <v>Ray Mascorro</v>
      </c>
      <c r="D466" t="str">
        <v>Harvest</v>
      </c>
      <c r="E466" t="str">
        <v>103</v>
      </c>
      <c r="F466" t="str">
        <v>Knife Sharpener</v>
      </c>
      <c r="G466" t="str">
        <v>Strain</v>
      </c>
      <c r="H466" t="str">
        <v>RT - Shoulder</v>
      </c>
      <c r="I466" t="str">
        <v>RPO</v>
      </c>
      <c r="J466" t="str">
        <v>No</v>
      </c>
      <c r="K466">
        <v>2025</v>
      </c>
      <c r="L466" t="str">
        <v>June</v>
      </c>
      <c r="X466">
        <v>0</v>
      </c>
    </row>
    <row r="467" spans="1:24" x14ac:dyDescent="0.2">
      <c r="A467" t="str">
        <v>Gladys Lujan</v>
      </c>
      <c r="B467">
        <v>45818</v>
      </c>
      <c r="C467" t="str">
        <v>Christian Lopez</v>
      </c>
      <c r="D467" t="str">
        <v>Harvest</v>
      </c>
      <c r="E467" t="str">
        <v>106</v>
      </c>
      <c r="F467" t="str">
        <v>Spinal Cord Remover</v>
      </c>
      <c r="G467" t="str">
        <v xml:space="preserve">Burn </v>
      </c>
      <c r="H467" t="str">
        <v>RT - Foot</v>
      </c>
      <c r="I467" t="str">
        <v>RPO</v>
      </c>
      <c r="J467" t="str">
        <v>No</v>
      </c>
      <c r="K467">
        <v>2025</v>
      </c>
      <c r="L467" t="str">
        <v>June</v>
      </c>
      <c r="X467">
        <v>0</v>
      </c>
    </row>
    <row r="468" spans="1:24" x14ac:dyDescent="0.2">
      <c r="A468" t="str">
        <v>Raymundo Vargas Jr</v>
      </c>
      <c r="B468">
        <v>45814</v>
      </c>
      <c r="C468" t="str">
        <v>Ovidio Sanchez</v>
      </c>
      <c r="D468" t="str">
        <v>Fabrication</v>
      </c>
      <c r="E468" t="str">
        <v>400</v>
      </c>
      <c r="F468" t="str">
        <v>Circular Saw</v>
      </c>
      <c r="G468" t="str">
        <v>Strain</v>
      </c>
      <c r="H468" t="str">
        <v>RT - Wrist</v>
      </c>
      <c r="I468" t="str">
        <v>FA</v>
      </c>
      <c r="J468" t="str">
        <v>No</v>
      </c>
      <c r="K468">
        <v>2025</v>
      </c>
      <c r="L468" t="str">
        <v>June</v>
      </c>
      <c r="X468">
        <v>0</v>
      </c>
    </row>
    <row r="469" spans="1:24" x14ac:dyDescent="0.2">
      <c r="A469" t="str">
        <v>Normal Ortega</v>
      </c>
      <c r="B469">
        <v>45814</v>
      </c>
      <c r="C469" t="str">
        <v>Diego Soria</v>
      </c>
      <c r="D469" t="str">
        <v>Fabrication</v>
      </c>
      <c r="E469" t="str">
        <v>420</v>
      </c>
      <c r="F469" t="str">
        <v>Flank Trimmer</v>
      </c>
      <c r="G469" t="str">
        <v>Strain</v>
      </c>
      <c r="H469">
        <v>0</v>
      </c>
      <c r="I469" t="str">
        <v>FA</v>
      </c>
      <c r="J469" t="str">
        <v>No</v>
      </c>
      <c r="K469">
        <v>2025</v>
      </c>
      <c r="L469" t="str">
        <v>June</v>
      </c>
      <c r="X469">
        <v>0</v>
      </c>
    </row>
    <row r="470" spans="1:24" x14ac:dyDescent="0.2">
      <c r="A470" t="str">
        <v>Ezequiel Ambriz</v>
      </c>
      <c r="B470">
        <v>45814</v>
      </c>
      <c r="C470" t="str">
        <v>Carlos Mata</v>
      </c>
      <c r="D470" t="str">
        <v>Maintnances</v>
      </c>
      <c r="E470" t="str">
        <v>Utilities</v>
      </c>
      <c r="F470" t="str">
        <v xml:space="preserve">Utilities Op. </v>
      </c>
      <c r="G470" t="str">
        <v>Strain</v>
      </c>
      <c r="H470" t="str">
        <v>RT - Wrist</v>
      </c>
      <c r="I470" t="str">
        <v>RECORDABLE</v>
      </c>
      <c r="J470" t="str">
        <v>Yes</v>
      </c>
      <c r="K470">
        <v>2025</v>
      </c>
      <c r="L470" t="str">
        <v>June</v>
      </c>
      <c r="X470">
        <v>0</v>
      </c>
    </row>
    <row r="471" spans="1:24" x14ac:dyDescent="0.2">
      <c r="A471" t="str">
        <v>Victor Urenas</v>
      </c>
      <c r="B471">
        <v>45811</v>
      </c>
      <c r="C471" t="str">
        <v>Clara Salazar</v>
      </c>
      <c r="D471" t="str">
        <v>Recycling</v>
      </c>
      <c r="E471" t="str">
        <v>Outside Clean Up</v>
      </c>
      <c r="F471" t="str">
        <v>Outside Clean Up</v>
      </c>
      <c r="G471" t="str">
        <v>Contact Stress</v>
      </c>
      <c r="H471" t="str">
        <v>RT - Thumb</v>
      </c>
      <c r="I471" t="str">
        <v>FA</v>
      </c>
      <c r="J471" t="str">
        <v>No</v>
      </c>
      <c r="K471">
        <v>2025</v>
      </c>
      <c r="L471" t="str">
        <v>June</v>
      </c>
      <c r="X471">
        <v>0</v>
      </c>
    </row>
    <row r="472" spans="1:24" x14ac:dyDescent="0.2">
      <c r="A472" t="str">
        <v>Gregorio Montemayor</v>
      </c>
      <c r="B472">
        <v>45811</v>
      </c>
      <c r="C472" t="str">
        <v>Clara Salazar</v>
      </c>
      <c r="D472" t="str">
        <v>Recycling</v>
      </c>
      <c r="E472" t="str">
        <v>Outside Clean Up</v>
      </c>
      <c r="F472" t="str">
        <v>Outside Clean Up</v>
      </c>
      <c r="G472" t="str">
        <v>Contact Stress</v>
      </c>
      <c r="H472" t="str">
        <v>LF - Thumb</v>
      </c>
      <c r="I472" t="str">
        <v>FA</v>
      </c>
      <c r="J472" t="str">
        <v>No</v>
      </c>
      <c r="K472">
        <v>2025</v>
      </c>
      <c r="L472" t="str">
        <v>June</v>
      </c>
      <c r="X472">
        <v>0</v>
      </c>
    </row>
    <row r="473" spans="1:24" x14ac:dyDescent="0.2">
      <c r="A473" t="str">
        <v>Rogelio Mendoza</v>
      </c>
      <c r="B473">
        <v>45811</v>
      </c>
      <c r="C473" t="str">
        <v>Manuel Alanis</v>
      </c>
      <c r="D473" t="str">
        <v>Maintnances</v>
      </c>
      <c r="E473" t="str">
        <v>Harvest Maint</v>
      </c>
      <c r="F473" t="str">
        <v>Maintenance</v>
      </c>
      <c r="G473" t="str">
        <v>Electric Shock</v>
      </c>
      <c r="H473" t="str">
        <v>Bilateral Hands</v>
      </c>
      <c r="I473" t="str">
        <v>RPO</v>
      </c>
      <c r="J473" t="str">
        <v>No</v>
      </c>
      <c r="K473">
        <v>2025</v>
      </c>
      <c r="L473" t="str">
        <v>June</v>
      </c>
      <c r="X473">
        <v>0</v>
      </c>
    </row>
    <row r="474" spans="1:24" x14ac:dyDescent="0.2">
      <c r="A474" t="str">
        <v>Francisco Chavez</v>
      </c>
      <c r="B474">
        <v>45811</v>
      </c>
      <c r="C474" t="str">
        <v>Michael Orozco</v>
      </c>
      <c r="D474" t="str">
        <v>Harvest</v>
      </c>
      <c r="E474" t="str">
        <v>105</v>
      </c>
      <c r="F474" t="str">
        <v>Heart Precenter</v>
      </c>
      <c r="G474" t="str">
        <v>Foreign boby in eye</v>
      </c>
      <c r="H474" t="str">
        <v xml:space="preserve">RT - Eye </v>
      </c>
      <c r="I474" t="str">
        <v>RPO</v>
      </c>
      <c r="J474" t="str">
        <v>No</v>
      </c>
      <c r="K474">
        <v>2025</v>
      </c>
      <c r="L474" t="str">
        <v>June</v>
      </c>
      <c r="X474">
        <v>0</v>
      </c>
    </row>
    <row r="475" spans="1:24" x14ac:dyDescent="0.2">
      <c r="A475" t="str">
        <v>Ismael Aldana</v>
      </c>
      <c r="B475">
        <v>45811</v>
      </c>
      <c r="C475" t="str">
        <v>Juan Rodriguez</v>
      </c>
      <c r="D475" t="str">
        <v>Fabrication</v>
      </c>
      <c r="E475" t="str">
        <v>415</v>
      </c>
      <c r="F475" t="str">
        <v>Chuck Bonner</v>
      </c>
      <c r="G475" t="str">
        <v>Struck-by Against Object</v>
      </c>
      <c r="H475" t="str">
        <v>RT - Thumb</v>
      </c>
      <c r="I475" t="str">
        <v>FA</v>
      </c>
      <c r="J475" t="str">
        <v>No</v>
      </c>
      <c r="K475">
        <v>2025</v>
      </c>
      <c r="L475" t="str">
        <v>June</v>
      </c>
      <c r="X475">
        <v>0</v>
      </c>
    </row>
    <row r="476" spans="1:24" x14ac:dyDescent="0.2">
      <c r="A476" t="str">
        <v>Jonny Garcia Soto</v>
      </c>
      <c r="B476">
        <v>45810</v>
      </c>
      <c r="C476" t="str">
        <v>marilyn herrera</v>
      </c>
      <c r="D476" t="str">
        <v>Harvest</v>
      </c>
      <c r="E476" t="str">
        <v>100</v>
      </c>
      <c r="F476" t="str">
        <v>Herdsman</v>
      </c>
      <c r="G476" t="str">
        <v>Puncture</v>
      </c>
      <c r="H476" t="str">
        <v>LF - Pinky &amp; Ring Finger</v>
      </c>
      <c r="I476" t="str">
        <v>FA</v>
      </c>
      <c r="J476" t="str">
        <v>No</v>
      </c>
      <c r="K476">
        <v>2025</v>
      </c>
      <c r="L476" t="str">
        <v>June</v>
      </c>
      <c r="X476">
        <v>0</v>
      </c>
    </row>
    <row r="477" spans="1:24" x14ac:dyDescent="0.2">
      <c r="A477" t="str">
        <v>Alejandra Ruiz</v>
      </c>
      <c r="B477">
        <v>45807</v>
      </c>
      <c r="C477" t="str">
        <v>Raymond Trevino</v>
      </c>
      <c r="D477" t="str">
        <v>FSQA</v>
      </c>
      <c r="E477" t="str">
        <v>QA</v>
      </c>
      <c r="F477" t="str">
        <v>QA</v>
      </c>
      <c r="G477" t="str">
        <v xml:space="preserve">Burn </v>
      </c>
      <c r="H477" t="str">
        <v>RT Hand</v>
      </c>
      <c r="I477" t="str">
        <v>FA</v>
      </c>
      <c r="J477" t="str">
        <v>No</v>
      </c>
      <c r="K477">
        <v>2025</v>
      </c>
      <c r="L477" t="str">
        <v>May</v>
      </c>
      <c r="X477">
        <v>0</v>
      </c>
    </row>
    <row r="478" spans="1:24" x14ac:dyDescent="0.2">
      <c r="A478" t="str">
        <v>David Cruz</v>
      </c>
      <c r="B478">
        <v>45807</v>
      </c>
      <c r="C478" t="str">
        <v>Richard Xiong</v>
      </c>
      <c r="D478" t="str">
        <v>Harvest</v>
      </c>
      <c r="E478" t="str">
        <v>101</v>
      </c>
      <c r="F478" t="str">
        <v>2nd Legger</v>
      </c>
      <c r="G478" t="str">
        <v>Contact Stress</v>
      </c>
      <c r="H478" t="str">
        <v>RT - Pinky</v>
      </c>
      <c r="I478" t="str">
        <v>RPO</v>
      </c>
      <c r="J478" t="str">
        <v>No</v>
      </c>
      <c r="K478">
        <v>2025</v>
      </c>
      <c r="L478" t="str">
        <v>May</v>
      </c>
      <c r="X478">
        <v>0</v>
      </c>
    </row>
    <row r="479" spans="1:24" x14ac:dyDescent="0.2">
      <c r="A479" t="str">
        <v>Rosendo Granados</v>
      </c>
      <c r="B479">
        <v>45806</v>
      </c>
      <c r="C479" t="str">
        <v>Christian Lopez</v>
      </c>
      <c r="D479" t="str">
        <v>Harvest</v>
      </c>
      <c r="E479" t="str">
        <v>106</v>
      </c>
      <c r="F479" t="str">
        <v>USDA Rail Out</v>
      </c>
      <c r="G479" t="str">
        <v>Strain</v>
      </c>
      <c r="H479" t="str">
        <v>RT - Shoulder</v>
      </c>
      <c r="I479" t="str">
        <v>FA</v>
      </c>
      <c r="J479" t="str">
        <v>No</v>
      </c>
      <c r="K479">
        <v>2025</v>
      </c>
      <c r="L479" t="str">
        <v>May</v>
      </c>
      <c r="X479">
        <v>0</v>
      </c>
    </row>
    <row r="480" spans="1:24" x14ac:dyDescent="0.2">
      <c r="A480" t="str">
        <v>Berenise Diaz</v>
      </c>
      <c r="B480">
        <v>45806</v>
      </c>
      <c r="C480" t="str">
        <v>Raymond Trevino</v>
      </c>
      <c r="D480" t="str">
        <v>FSQA</v>
      </c>
      <c r="E480" t="str">
        <v>QA</v>
      </c>
      <c r="F480" t="str">
        <v>QA</v>
      </c>
      <c r="G480" t="str">
        <v xml:space="preserve">Burn </v>
      </c>
      <c r="H480" t="str">
        <v>RT - Palm</v>
      </c>
      <c r="I480" t="str">
        <v>FA</v>
      </c>
      <c r="J480" t="str">
        <v>No</v>
      </c>
      <c r="K480">
        <v>2025</v>
      </c>
      <c r="L480" t="str">
        <v>May</v>
      </c>
      <c r="X480">
        <v>0</v>
      </c>
    </row>
    <row r="481" spans="1:24" x14ac:dyDescent="0.2">
      <c r="A481" t="str">
        <v>Esmeralda Avalos</v>
      </c>
      <c r="B481">
        <v>45806</v>
      </c>
      <c r="C481" t="str">
        <v>Christian Lopez</v>
      </c>
      <c r="D481" t="str">
        <v>Harvest</v>
      </c>
      <c r="E481" t="str">
        <v>106</v>
      </c>
      <c r="F481" t="str">
        <v>SRM Remover</v>
      </c>
      <c r="G481" t="str">
        <v xml:space="preserve">Burn </v>
      </c>
      <c r="H481" t="str">
        <v>Buttocks</v>
      </c>
      <c r="I481" t="str">
        <v>FA</v>
      </c>
      <c r="J481" t="str">
        <v>No</v>
      </c>
      <c r="K481">
        <v>2025</v>
      </c>
      <c r="L481" t="str">
        <v>May</v>
      </c>
      <c r="X481">
        <v>0</v>
      </c>
    </row>
    <row r="482" spans="1:24" x14ac:dyDescent="0.2">
      <c r="A482" t="str">
        <v>Noe Fraga Ruiz</v>
      </c>
      <c r="B482">
        <v>45805</v>
      </c>
      <c r="C482" t="str">
        <v>Ovidio Sanchez</v>
      </c>
      <c r="D482" t="str">
        <v>Fabrication</v>
      </c>
      <c r="E482" t="str">
        <v>400</v>
      </c>
      <c r="F482" t="str">
        <v>Brisket Boner</v>
      </c>
      <c r="G482" t="str">
        <v>Falling Object</v>
      </c>
      <c r="H482" t="str">
        <v>LT - Leg (Shin)</v>
      </c>
      <c r="I482" t="str">
        <v>FA</v>
      </c>
      <c r="J482" t="str">
        <v>No</v>
      </c>
      <c r="K482">
        <v>2025</v>
      </c>
      <c r="L482" t="str">
        <v>May</v>
      </c>
      <c r="X482">
        <v>0</v>
      </c>
    </row>
    <row r="483" spans="1:24" x14ac:dyDescent="0.2">
      <c r="A483" t="str">
        <v>Giberto Villasenor</v>
      </c>
      <c r="B483">
        <v>45799</v>
      </c>
      <c r="C483" t="str">
        <v>Francisco Tapia</v>
      </c>
      <c r="D483" t="str">
        <v>Fabrication</v>
      </c>
      <c r="E483" t="str">
        <v>Loading Dock</v>
      </c>
      <c r="F483" t="str">
        <v xml:space="preserve">Forklift Op. </v>
      </c>
      <c r="G483" t="str">
        <v>Strain</v>
      </c>
      <c r="H483" t="str">
        <v>Rt - Lower Back</v>
      </c>
      <c r="I483" t="str">
        <v>FA</v>
      </c>
      <c r="J483" t="str">
        <v>No</v>
      </c>
      <c r="K483">
        <v>2025</v>
      </c>
      <c r="L483" t="str">
        <v>May</v>
      </c>
      <c r="X483">
        <v>0</v>
      </c>
    </row>
    <row r="484" spans="1:24" x14ac:dyDescent="0.2">
      <c r="A484" t="str">
        <v>Michael Rocha Reyez</v>
      </c>
      <c r="B484">
        <v>45799</v>
      </c>
      <c r="C484" t="str">
        <v>Ovidio Sanchez</v>
      </c>
      <c r="D484" t="str">
        <v>Fabrication</v>
      </c>
      <c r="E484" t="str">
        <v>400</v>
      </c>
      <c r="F484" t="str">
        <v>Clod Puller</v>
      </c>
      <c r="G484" t="str">
        <v>Foreign boby in eye</v>
      </c>
      <c r="H484" t="str">
        <v xml:space="preserve">RT - Eye </v>
      </c>
      <c r="I484" t="str">
        <v>RPO</v>
      </c>
      <c r="J484" t="str">
        <v>No</v>
      </c>
      <c r="K484">
        <v>2025</v>
      </c>
      <c r="L484" t="str">
        <v>May</v>
      </c>
      <c r="X484">
        <v>0</v>
      </c>
    </row>
    <row r="485" spans="1:24" x14ac:dyDescent="0.2">
      <c r="A485" t="str">
        <v>Melissa  Rajshup</v>
      </c>
      <c r="B485">
        <v>45799</v>
      </c>
      <c r="C485" t="str">
        <v>Samuel Sierra</v>
      </c>
      <c r="D485" t="str">
        <v>Harvest</v>
      </c>
      <c r="E485" t="str">
        <v>109</v>
      </c>
      <c r="F485" t="str">
        <v>Liver Pack Off</v>
      </c>
      <c r="G485" t="str">
        <v>Strain</v>
      </c>
      <c r="H485" t="str">
        <v>RT - Shoulder</v>
      </c>
      <c r="I485" t="str">
        <v>FA</v>
      </c>
      <c r="J485" t="str">
        <v>No</v>
      </c>
      <c r="K485">
        <v>2025</v>
      </c>
      <c r="L485" t="str">
        <v>May</v>
      </c>
      <c r="X485">
        <v>0</v>
      </c>
    </row>
    <row r="486" spans="1:24" x14ac:dyDescent="0.2">
      <c r="A486" t="str">
        <v>Jose Lopez</v>
      </c>
      <c r="B486">
        <v>45798</v>
      </c>
      <c r="C486" t="str">
        <v>Richard Xiong</v>
      </c>
      <c r="D486" t="str">
        <v>Harvest</v>
      </c>
      <c r="E486" t="str">
        <v>101</v>
      </c>
      <c r="F486" t="str">
        <v>1st Butter/ Air Knife</v>
      </c>
      <c r="G486" t="str">
        <v>Bending</v>
      </c>
      <c r="H486" t="str">
        <v>Mid &amp; Lower Back</v>
      </c>
      <c r="I486" t="str">
        <v>FA</v>
      </c>
      <c r="J486" t="str">
        <v>No</v>
      </c>
      <c r="K486">
        <v>2025</v>
      </c>
      <c r="L486" t="str">
        <v>May</v>
      </c>
      <c r="X486">
        <v>0</v>
      </c>
    </row>
    <row r="487" spans="1:24" x14ac:dyDescent="0.2">
      <c r="A487" t="str">
        <v>Peter Voueth</v>
      </c>
      <c r="B487">
        <v>45798</v>
      </c>
      <c r="C487" t="str">
        <v>Richard Xiong</v>
      </c>
      <c r="D487" t="str">
        <v>Harvest</v>
      </c>
      <c r="E487" t="str">
        <v>101</v>
      </c>
      <c r="F487" t="str">
        <v xml:space="preserve">Shackler </v>
      </c>
      <c r="G487" t="str">
        <v>Struck-by Against Object</v>
      </c>
      <c r="H487" t="str">
        <v>Back of Neck</v>
      </c>
      <c r="I487" t="str">
        <v>RPO</v>
      </c>
      <c r="J487" t="str">
        <v>No</v>
      </c>
      <c r="K487">
        <v>2025</v>
      </c>
      <c r="L487" t="str">
        <v>May</v>
      </c>
      <c r="X487">
        <v>0</v>
      </c>
    </row>
    <row r="488" spans="1:24" x14ac:dyDescent="0.2">
      <c r="A488" t="str">
        <v>Candelario Pena</v>
      </c>
      <c r="B488">
        <v>45798</v>
      </c>
      <c r="C488" t="str">
        <v>Michael Orozco</v>
      </c>
      <c r="D488" t="str">
        <v>Harvest</v>
      </c>
      <c r="E488" t="str">
        <v>105</v>
      </c>
      <c r="F488" t="str">
        <v>Pre - Gutter</v>
      </c>
      <c r="G488" t="str">
        <v>Rash</v>
      </c>
      <c r="H488" t="str">
        <v xml:space="preserve">Neck </v>
      </c>
      <c r="I488" t="str">
        <v>RPO</v>
      </c>
      <c r="J488" t="str">
        <v>No</v>
      </c>
      <c r="K488">
        <v>2025</v>
      </c>
      <c r="L488" t="str">
        <v>May</v>
      </c>
      <c r="X488">
        <v>0</v>
      </c>
    </row>
    <row r="489" spans="1:24" x14ac:dyDescent="0.2">
      <c r="A489" t="str">
        <v>Noe Fraga Ruiz</v>
      </c>
      <c r="B489">
        <v>45797</v>
      </c>
      <c r="C489" t="str">
        <v>Ovidio Sanchez</v>
      </c>
      <c r="D489" t="str">
        <v>Fabrication</v>
      </c>
      <c r="E489" t="str">
        <v>400</v>
      </c>
      <c r="F489" t="str">
        <v>Brisket Boner</v>
      </c>
      <c r="G489" t="str">
        <v>Strain</v>
      </c>
      <c r="H489" t="str">
        <v>LT - Shoulder</v>
      </c>
      <c r="I489" t="str">
        <v>FA</v>
      </c>
      <c r="J489" t="str">
        <v>No</v>
      </c>
      <c r="K489">
        <v>2025</v>
      </c>
      <c r="L489" t="str">
        <v>May</v>
      </c>
      <c r="X489">
        <v>0</v>
      </c>
    </row>
    <row r="490" spans="1:24" x14ac:dyDescent="0.2">
      <c r="A490" t="str">
        <v>Chue Her</v>
      </c>
      <c r="B490">
        <v>45797</v>
      </c>
      <c r="C490" t="str">
        <v>Mary Coffee</v>
      </c>
      <c r="D490" t="str">
        <v>Fabrication</v>
      </c>
      <c r="E490" t="str">
        <v>Trainer</v>
      </c>
      <c r="F490" t="str">
        <v>Chuck Roller</v>
      </c>
      <c r="G490" t="str">
        <v>Strain</v>
      </c>
      <c r="H490" t="str">
        <v>LT - Lower back</v>
      </c>
      <c r="I490" t="str">
        <v>FA</v>
      </c>
      <c r="J490" t="str">
        <v>No</v>
      </c>
      <c r="K490">
        <v>2025</v>
      </c>
      <c r="L490" t="str">
        <v>May</v>
      </c>
      <c r="X490">
        <v>0</v>
      </c>
    </row>
    <row r="491" spans="1:24" x14ac:dyDescent="0.2">
      <c r="A491" t="str">
        <v>Robyn Evan</v>
      </c>
      <c r="B491">
        <v>45793</v>
      </c>
      <c r="C491" t="str">
        <v>Samuel Sierra</v>
      </c>
      <c r="D491" t="str">
        <v>Harvest</v>
      </c>
      <c r="E491" t="str">
        <v>109</v>
      </c>
      <c r="F491" t="str">
        <v>Box Maker</v>
      </c>
      <c r="G491" t="str">
        <v>Laceration</v>
      </c>
      <c r="H491" t="str">
        <v>LT - Forearm</v>
      </c>
      <c r="I491" t="str">
        <v>RPO</v>
      </c>
      <c r="J491" t="str">
        <v>No</v>
      </c>
      <c r="K491">
        <v>2025</v>
      </c>
      <c r="L491" t="str">
        <v>May</v>
      </c>
      <c r="X491">
        <v>0</v>
      </c>
    </row>
    <row r="492" spans="1:24" x14ac:dyDescent="0.2">
      <c r="A492" t="str">
        <v>Jesus Alatorre</v>
      </c>
      <c r="B492">
        <v>45792</v>
      </c>
      <c r="C492" t="str">
        <v>Christian Lopez</v>
      </c>
      <c r="D492" t="str">
        <v>Harvest</v>
      </c>
      <c r="E492" t="str">
        <v>106</v>
      </c>
      <c r="F492" t="str">
        <v>Pauch Puller</v>
      </c>
      <c r="G492" t="str">
        <v>Puncture</v>
      </c>
      <c r="H492" t="str">
        <v>LT - Diggits (Pinky)</v>
      </c>
      <c r="I492" t="str">
        <v>RPO</v>
      </c>
      <c r="J492" t="str">
        <v>No</v>
      </c>
      <c r="K492">
        <v>2025</v>
      </c>
      <c r="L492" t="str">
        <v>May</v>
      </c>
      <c r="X492">
        <v>0</v>
      </c>
    </row>
    <row r="493" spans="1:24" x14ac:dyDescent="0.2">
      <c r="A493" t="str">
        <v>Normal Ortega</v>
      </c>
      <c r="B493">
        <v>45791</v>
      </c>
      <c r="C493" t="str">
        <v>Diego Soria</v>
      </c>
      <c r="D493" t="str">
        <v>Fabrication</v>
      </c>
      <c r="E493" t="str">
        <v>420</v>
      </c>
      <c r="F493" t="str">
        <v>Flat Trimmer</v>
      </c>
      <c r="G493" t="str">
        <v>Strain</v>
      </c>
      <c r="H493" t="str">
        <v>LT - Wrist</v>
      </c>
      <c r="I493" t="str">
        <v>FA</v>
      </c>
      <c r="J493" t="str">
        <v>No</v>
      </c>
      <c r="K493">
        <v>2025</v>
      </c>
      <c r="L493" t="str">
        <v>May</v>
      </c>
      <c r="X493">
        <v>0</v>
      </c>
    </row>
    <row r="494" spans="1:24" x14ac:dyDescent="0.2">
      <c r="A494" t="str">
        <v>Melissa  Rajshup</v>
      </c>
      <c r="B494">
        <v>45784</v>
      </c>
      <c r="C494" t="str">
        <v>Samuel Sierra</v>
      </c>
      <c r="D494" t="str">
        <v>Harvest</v>
      </c>
      <c r="E494" t="str">
        <v>109</v>
      </c>
      <c r="F494" t="str">
        <v>Liver Pack Off</v>
      </c>
      <c r="G494" t="str">
        <v>Strain</v>
      </c>
      <c r="H494" t="str">
        <v>Mid - Lower Back</v>
      </c>
      <c r="I494" t="str">
        <v>FA</v>
      </c>
      <c r="J494" t="str">
        <v>No</v>
      </c>
      <c r="K494">
        <v>2025</v>
      </c>
      <c r="L494" t="str">
        <v>May</v>
      </c>
      <c r="X494">
        <v>0</v>
      </c>
    </row>
    <row r="495" spans="1:24" x14ac:dyDescent="0.2">
      <c r="A495" t="str">
        <v>Jose Lopez</v>
      </c>
      <c r="B495">
        <v>45784</v>
      </c>
      <c r="C495" t="str">
        <v>Richard Xiong</v>
      </c>
      <c r="D495" t="str">
        <v>Harvest</v>
      </c>
      <c r="E495" t="str">
        <v>101</v>
      </c>
      <c r="F495" t="str">
        <v>1st Butter/ Air Knife</v>
      </c>
      <c r="G495" t="str">
        <v xml:space="preserve">Burn </v>
      </c>
      <c r="H495" t="str">
        <v>RT - Hand</v>
      </c>
      <c r="I495" t="str">
        <v>FA</v>
      </c>
      <c r="J495" t="str">
        <v>No</v>
      </c>
      <c r="K495">
        <v>2025</v>
      </c>
      <c r="L495" t="str">
        <v>May</v>
      </c>
      <c r="X495">
        <v>0</v>
      </c>
    </row>
    <row r="496" spans="1:24" x14ac:dyDescent="0.2">
      <c r="A496" t="str">
        <v>Fernando Ortega</v>
      </c>
      <c r="B496">
        <v>45783</v>
      </c>
      <c r="C496" t="str">
        <v>Ovidio Sanchez</v>
      </c>
      <c r="D496" t="str">
        <v>Fabrication</v>
      </c>
      <c r="E496" t="str">
        <v>400</v>
      </c>
      <c r="F496" t="str">
        <v>Brisket Saw Op</v>
      </c>
      <c r="G496" t="str">
        <v>Strain</v>
      </c>
      <c r="H496" t="str">
        <v>LT - Hand</v>
      </c>
      <c r="I496" t="str">
        <v>FA</v>
      </c>
      <c r="J496" t="str">
        <v>No</v>
      </c>
      <c r="K496">
        <v>2025</v>
      </c>
      <c r="L496" t="str">
        <v>May</v>
      </c>
      <c r="X496">
        <v>0</v>
      </c>
    </row>
    <row r="497" spans="1:24" x14ac:dyDescent="0.2">
      <c r="A497" t="str">
        <v>Juan Rangel</v>
      </c>
      <c r="B497">
        <v>45783</v>
      </c>
      <c r="C497" t="str">
        <v>Michael Orozco</v>
      </c>
      <c r="D497" t="str">
        <v>Harvest</v>
      </c>
      <c r="E497" t="str">
        <v>105</v>
      </c>
      <c r="F497" t="str">
        <v>Gutter</v>
      </c>
      <c r="G497" t="str">
        <v>Strain</v>
      </c>
      <c r="H497" t="str">
        <v>RT - Shoulder</v>
      </c>
      <c r="I497" t="str">
        <v>FA</v>
      </c>
      <c r="J497" t="str">
        <v>No</v>
      </c>
      <c r="K497">
        <v>2025</v>
      </c>
      <c r="L497" t="str">
        <v>May</v>
      </c>
      <c r="X497">
        <v>0</v>
      </c>
    </row>
    <row r="498" spans="1:24" x14ac:dyDescent="0.2">
      <c r="A498" t="str">
        <v>Pascuala Rodriguez</v>
      </c>
      <c r="B498">
        <v>45779</v>
      </c>
      <c r="C498" t="str">
        <v>Chadu Moua</v>
      </c>
      <c r="D498" t="str">
        <v>Fabrication</v>
      </c>
      <c r="E498" t="str">
        <v>429</v>
      </c>
      <c r="F498" t="str">
        <v xml:space="preserve">Diffect Trimmer </v>
      </c>
      <c r="G498" t="str">
        <v>Laceration</v>
      </c>
      <c r="H498" t="str">
        <v>RT - Thumb</v>
      </c>
      <c r="I498" t="str">
        <v>FA</v>
      </c>
      <c r="J498" t="str">
        <v>No</v>
      </c>
      <c r="K498">
        <v>2025</v>
      </c>
      <c r="L498" t="str">
        <v>May</v>
      </c>
      <c r="X498">
        <v>0</v>
      </c>
    </row>
    <row r="499" spans="1:24" x14ac:dyDescent="0.2">
      <c r="A499" t="str">
        <v>Jesica Roman</v>
      </c>
      <c r="B499">
        <v>45776</v>
      </c>
      <c r="C499" t="str">
        <v>Clara Salazar</v>
      </c>
      <c r="D499" t="str">
        <v>Recycling</v>
      </c>
      <c r="E499" t="str">
        <v>Outside Clean Up</v>
      </c>
      <c r="F499" t="str">
        <v>Clean Up</v>
      </c>
      <c r="G499" t="str">
        <v>Sprain</v>
      </c>
      <c r="H499" t="str">
        <v>LT - Ankle</v>
      </c>
      <c r="I499" t="str">
        <v>FA</v>
      </c>
      <c r="J499" t="str">
        <v>No</v>
      </c>
      <c r="K499">
        <v>2025</v>
      </c>
      <c r="L499" t="str">
        <v>April</v>
      </c>
      <c r="X499">
        <v>0</v>
      </c>
    </row>
    <row r="500" spans="1:24" x14ac:dyDescent="0.2">
      <c r="A500" t="str">
        <v>Jorge Maldonado</v>
      </c>
      <c r="B500">
        <v>45776</v>
      </c>
      <c r="C500" t="str">
        <v>Jarrod Villareal</v>
      </c>
      <c r="D500" t="str">
        <v>Fabrication</v>
      </c>
      <c r="E500" t="str">
        <v>405</v>
      </c>
      <c r="F500" t="str">
        <v>Plate Boner</v>
      </c>
      <c r="G500" t="str">
        <v>Puncture</v>
      </c>
      <c r="H500" t="str">
        <v>Lt - Thumb</v>
      </c>
      <c r="I500" t="str">
        <v>RPO</v>
      </c>
      <c r="J500" t="str">
        <v>No</v>
      </c>
      <c r="K500">
        <v>2025</v>
      </c>
      <c r="L500" t="str">
        <v>April</v>
      </c>
      <c r="X500">
        <v>0</v>
      </c>
    </row>
    <row r="501" spans="1:24" x14ac:dyDescent="0.2">
      <c r="A501" t="str">
        <v>Luis Perez</v>
      </c>
      <c r="B501">
        <v>45776</v>
      </c>
      <c r="C501" t="str">
        <v>Richard Xiong</v>
      </c>
      <c r="D501" t="str">
        <v>Harvest</v>
      </c>
      <c r="E501" t="str">
        <v>101</v>
      </c>
      <c r="F501" t="str">
        <v>Lead</v>
      </c>
      <c r="G501" t="str">
        <v xml:space="preserve">Burn </v>
      </c>
      <c r="H501" t="str">
        <v>Lower back</v>
      </c>
      <c r="I501" t="str">
        <v>FA</v>
      </c>
      <c r="J501" t="str">
        <v>No</v>
      </c>
      <c r="K501">
        <v>2025</v>
      </c>
      <c r="L501" t="str">
        <v>April</v>
      </c>
      <c r="X501">
        <v>0</v>
      </c>
    </row>
    <row r="502" spans="1:24" x14ac:dyDescent="0.2">
      <c r="A502" t="str">
        <v xml:space="preserve">Maria Martinez </v>
      </c>
      <c r="B502">
        <v>45776</v>
      </c>
      <c r="C502" t="str">
        <v>Francisco Tapia</v>
      </c>
      <c r="D502" t="str">
        <v>Fabrication</v>
      </c>
      <c r="E502" t="str">
        <v>Loading Dock</v>
      </c>
      <c r="F502" t="str">
        <v xml:space="preserve">Pallet Jack Op. </v>
      </c>
      <c r="G502" t="str">
        <v>Slip, Trip, &amp; Fall</v>
      </c>
      <c r="H502" t="str">
        <v>RT - Shoulder</v>
      </c>
      <c r="I502" t="str">
        <v>FA</v>
      </c>
      <c r="J502" t="str">
        <v>No</v>
      </c>
      <c r="K502">
        <v>2025</v>
      </c>
      <c r="L502" t="str">
        <v>April</v>
      </c>
      <c r="X502">
        <v>0</v>
      </c>
    </row>
    <row r="503" spans="1:24" x14ac:dyDescent="0.2">
      <c r="A503" t="str">
        <v>Alan Aranda</v>
      </c>
      <c r="B503">
        <v>45772</v>
      </c>
      <c r="C503" t="str">
        <v>Chadu Moua</v>
      </c>
      <c r="D503" t="str">
        <v>Fabrication</v>
      </c>
      <c r="E503" t="str">
        <v>429</v>
      </c>
      <c r="F503" t="str">
        <v>Bone New York</v>
      </c>
      <c r="G503" t="str">
        <v>Strain</v>
      </c>
      <c r="H503" t="str">
        <v>RT - Forearm</v>
      </c>
      <c r="I503" t="str">
        <v>FA</v>
      </c>
      <c r="J503" t="str">
        <v>No</v>
      </c>
      <c r="K503">
        <v>2025</v>
      </c>
      <c r="L503" t="str">
        <v>April</v>
      </c>
      <c r="X503">
        <v>0</v>
      </c>
    </row>
    <row r="504" spans="1:24" x14ac:dyDescent="0.2">
      <c r="A504" t="str">
        <v>Vereniz Carrillo</v>
      </c>
      <c r="B504">
        <v>45772</v>
      </c>
      <c r="C504" t="str">
        <v>Chadu Moua</v>
      </c>
      <c r="D504" t="str">
        <v>Fabrication</v>
      </c>
      <c r="E504" t="str">
        <v>429</v>
      </c>
      <c r="F504" t="str">
        <v>Trim Sorter</v>
      </c>
      <c r="G504" t="str">
        <v>Strain</v>
      </c>
      <c r="H504" t="str">
        <v>RT - Wrist</v>
      </c>
      <c r="I504" t="str">
        <v>FA</v>
      </c>
      <c r="J504" t="str">
        <v>No</v>
      </c>
      <c r="K504">
        <v>2025</v>
      </c>
      <c r="L504" t="str">
        <v>April</v>
      </c>
      <c r="X504">
        <v>0</v>
      </c>
    </row>
    <row r="505" spans="1:24" x14ac:dyDescent="0.2">
      <c r="A505" t="str">
        <v>Ismael Aldana</v>
      </c>
      <c r="B505">
        <v>45771</v>
      </c>
      <c r="C505" t="str">
        <v>Juan Rodriguez</v>
      </c>
      <c r="D505" t="str">
        <v>Fabrication</v>
      </c>
      <c r="E505" t="str">
        <v>415</v>
      </c>
      <c r="F505" t="str">
        <v>Chuck Bonner</v>
      </c>
      <c r="G505" t="str">
        <v>Strain</v>
      </c>
      <c r="H505" t="str">
        <v>RT - Shoulder &amp; Forearm</v>
      </c>
      <c r="I505" t="str">
        <v>FA</v>
      </c>
      <c r="J505" t="str">
        <v>No</v>
      </c>
      <c r="K505">
        <v>2025</v>
      </c>
      <c r="L505" t="str">
        <v>April</v>
      </c>
      <c r="X505">
        <v>0</v>
      </c>
    </row>
    <row r="506" spans="1:24" x14ac:dyDescent="0.2">
      <c r="A506" t="str">
        <v>Froylan Nunez</v>
      </c>
      <c r="B506">
        <v>45771</v>
      </c>
      <c r="C506" t="str">
        <v>Michael Orozco</v>
      </c>
      <c r="D506" t="str">
        <v>Harvest</v>
      </c>
      <c r="E506" t="str">
        <v>104</v>
      </c>
      <c r="F506" t="str">
        <v>Head Dropper</v>
      </c>
      <c r="G506" t="str">
        <v>Strain</v>
      </c>
      <c r="H506" t="str">
        <v>RT - Elbow</v>
      </c>
      <c r="I506" t="str">
        <v>FA</v>
      </c>
      <c r="J506" t="str">
        <v>No</v>
      </c>
      <c r="K506">
        <v>2025</v>
      </c>
      <c r="L506" t="str">
        <v>April</v>
      </c>
      <c r="X506">
        <v>0</v>
      </c>
    </row>
    <row r="507" spans="1:24" x14ac:dyDescent="0.2">
      <c r="A507" t="str">
        <v>Edgar Gutierrez Rodriguez</v>
      </c>
      <c r="B507">
        <v>45769</v>
      </c>
      <c r="C507" t="str">
        <v>Jarrod Villareal</v>
      </c>
      <c r="D507" t="str">
        <v>Fabrication</v>
      </c>
      <c r="E507" t="str">
        <v>405</v>
      </c>
      <c r="F507" t="str">
        <v>Plate Boner</v>
      </c>
      <c r="G507" t="str">
        <v>Strain</v>
      </c>
      <c r="H507" t="str">
        <v>Both wrist and back</v>
      </c>
      <c r="I507" t="str">
        <v>FA</v>
      </c>
      <c r="J507" t="str">
        <v>No</v>
      </c>
      <c r="K507">
        <v>2025</v>
      </c>
      <c r="L507" t="str">
        <v>April</v>
      </c>
      <c r="X507">
        <v>0</v>
      </c>
    </row>
    <row r="508" spans="1:24" x14ac:dyDescent="0.2">
      <c r="A508" t="str">
        <v xml:space="preserve">Julia Orosco </v>
      </c>
      <c r="B508">
        <v>45765</v>
      </c>
      <c r="C508" t="str">
        <v>Michael Orozco</v>
      </c>
      <c r="D508" t="str">
        <v>Harvest</v>
      </c>
      <c r="E508" t="str">
        <v>102</v>
      </c>
      <c r="F508" t="str">
        <v xml:space="preserve">Wiz. Op. </v>
      </c>
      <c r="G508" t="str">
        <v>Strain</v>
      </c>
      <c r="H508" t="str">
        <v>Mid Back</v>
      </c>
      <c r="I508" t="str">
        <v>FA</v>
      </c>
      <c r="J508" t="str">
        <v>No</v>
      </c>
      <c r="K508">
        <v>2025</v>
      </c>
      <c r="L508" t="str">
        <v>April</v>
      </c>
      <c r="X508">
        <v>0</v>
      </c>
    </row>
    <row r="509" spans="1:24" x14ac:dyDescent="0.2">
      <c r="A509" t="str">
        <v xml:space="preserve">Maria Martinez </v>
      </c>
      <c r="B509">
        <v>45765</v>
      </c>
      <c r="C509" t="str">
        <v>Rutilio Rodriguez</v>
      </c>
      <c r="D509" t="str">
        <v>Harvest</v>
      </c>
      <c r="E509" t="str">
        <v>106</v>
      </c>
      <c r="F509" t="str">
        <v>Final Trim</v>
      </c>
      <c r="G509" t="str">
        <v>Contact Stress</v>
      </c>
      <c r="H509" t="str">
        <v>RT Shoulder</v>
      </c>
      <c r="I509" t="str">
        <v>RPO</v>
      </c>
      <c r="J509" t="str">
        <v>No</v>
      </c>
      <c r="K509">
        <v>2025</v>
      </c>
      <c r="L509" t="str">
        <v>April</v>
      </c>
      <c r="X509">
        <v>0</v>
      </c>
    </row>
    <row r="510" spans="1:24" x14ac:dyDescent="0.2">
      <c r="A510" t="str">
        <v>Luis Meza</v>
      </c>
      <c r="B510">
        <v>45758</v>
      </c>
      <c r="C510" t="str">
        <v>Juan Ramirez</v>
      </c>
      <c r="D510" t="str">
        <v>Fabrication</v>
      </c>
      <c r="E510" t="str">
        <v>410</v>
      </c>
      <c r="F510" t="str">
        <v>Tender Puller</v>
      </c>
      <c r="G510" t="str">
        <v>Strain</v>
      </c>
      <c r="H510" t="str">
        <v>LT - Lower Back</v>
      </c>
      <c r="I510" t="str">
        <v>FA</v>
      </c>
      <c r="J510" t="str">
        <v>No</v>
      </c>
      <c r="K510">
        <v>2025</v>
      </c>
      <c r="L510" t="str">
        <v>April</v>
      </c>
      <c r="X510">
        <v>0</v>
      </c>
    </row>
    <row r="511" spans="1:24" x14ac:dyDescent="0.2">
      <c r="A511" t="str">
        <v>Evangelina Marron</v>
      </c>
      <c r="B511">
        <v>45756</v>
      </c>
      <c r="C511" t="str">
        <v>Chadu Moua</v>
      </c>
      <c r="D511" t="str">
        <v>Fabrication</v>
      </c>
      <c r="E511" t="str">
        <v>420</v>
      </c>
      <c r="F511" t="str">
        <v>Trimmer</v>
      </c>
      <c r="G511" t="str">
        <v>Strain</v>
      </c>
      <c r="H511" t="str">
        <v>LT - Wrist</v>
      </c>
      <c r="I511" t="str">
        <v>FA</v>
      </c>
      <c r="J511" t="str">
        <v>No</v>
      </c>
      <c r="K511">
        <v>2025</v>
      </c>
      <c r="L511" t="str">
        <v>April</v>
      </c>
      <c r="X511">
        <v>0</v>
      </c>
    </row>
    <row r="512" spans="1:24" x14ac:dyDescent="0.2">
      <c r="A512" t="str">
        <v>Maritza Martinez</v>
      </c>
      <c r="B512">
        <v>45755</v>
      </c>
      <c r="C512" t="str">
        <v>Jarrod Villareal</v>
      </c>
      <c r="D512" t="str">
        <v>Fabrication</v>
      </c>
      <c r="E512" t="str">
        <v>405</v>
      </c>
      <c r="F512" t="str">
        <v xml:space="preserve">Rib Tester? </v>
      </c>
      <c r="G512" t="str">
        <v>Strain</v>
      </c>
      <c r="H512" t="str">
        <v>RT - Hand/ Palm</v>
      </c>
      <c r="I512" t="str">
        <v>FA</v>
      </c>
      <c r="J512" t="str">
        <v>No</v>
      </c>
      <c r="K512">
        <v>2025</v>
      </c>
      <c r="L512" t="str">
        <v>April</v>
      </c>
      <c r="X512">
        <v>0</v>
      </c>
    </row>
    <row r="513" spans="1:24" x14ac:dyDescent="0.2">
      <c r="A513" t="str">
        <v>Lao Yang</v>
      </c>
      <c r="B513">
        <v>45755</v>
      </c>
      <c r="C513" t="str">
        <v>Ovidio Sanchez</v>
      </c>
      <c r="D513" t="str">
        <v>Fabrication</v>
      </c>
      <c r="E513" t="str">
        <v>400</v>
      </c>
      <c r="F513" t="str">
        <v>Front Shank Boner</v>
      </c>
      <c r="G513" t="str">
        <v>Struck-by Against Object</v>
      </c>
      <c r="H513" t="str">
        <v>RT - Shoulder</v>
      </c>
      <c r="I513" t="str">
        <v>FA</v>
      </c>
      <c r="J513" t="str">
        <v>No</v>
      </c>
      <c r="K513">
        <v>2025</v>
      </c>
      <c r="L513" t="str">
        <v>April</v>
      </c>
      <c r="X513">
        <v>0</v>
      </c>
    </row>
    <row r="514" spans="1:24" x14ac:dyDescent="0.2">
      <c r="A514" t="str">
        <v>Reynaldo Betancourt</v>
      </c>
      <c r="B514">
        <v>45751</v>
      </c>
      <c r="C514" t="str">
        <v>Francisco Tapia</v>
      </c>
      <c r="D514" t="str">
        <v>Fabrication</v>
      </c>
      <c r="E514" t="str">
        <v>Loading Dock</v>
      </c>
      <c r="F514" t="str">
        <v>Box Loader</v>
      </c>
      <c r="G514" t="str">
        <v>Sprain</v>
      </c>
      <c r="H514" t="str">
        <v>Lower back</v>
      </c>
      <c r="I514" t="str">
        <v>FA</v>
      </c>
      <c r="J514" t="str">
        <v>No</v>
      </c>
      <c r="K514">
        <v>2025</v>
      </c>
      <c r="L514" t="str">
        <v>April</v>
      </c>
      <c r="X514">
        <v>0</v>
      </c>
    </row>
    <row r="515" spans="1:24" x14ac:dyDescent="0.2">
      <c r="A515" t="str">
        <v>Bernardo Gonzalez</v>
      </c>
      <c r="B515">
        <v>45750</v>
      </c>
      <c r="C515" t="str">
        <v>Jarrod Villareal</v>
      </c>
      <c r="D515" t="str">
        <v>Fabrication</v>
      </c>
      <c r="E515" t="str">
        <v>405</v>
      </c>
      <c r="F515" t="str">
        <v>Rib Chine Saw</v>
      </c>
      <c r="G515" t="str">
        <v>Strain</v>
      </c>
      <c r="H515" t="str">
        <v>LT - Hand Wrist
RT - Index &amp; Middle Finger</v>
      </c>
      <c r="I515" t="str">
        <v>FA</v>
      </c>
      <c r="J515" t="str">
        <v>No</v>
      </c>
      <c r="K515">
        <v>2025</v>
      </c>
      <c r="L515" t="str">
        <v>April</v>
      </c>
      <c r="X515">
        <v>0</v>
      </c>
    </row>
    <row r="516" spans="1:24" x14ac:dyDescent="0.2">
      <c r="A516" t="str">
        <v>Matthew Marquez</v>
      </c>
      <c r="B516">
        <v>45744</v>
      </c>
      <c r="C516" t="str">
        <v>Michael Orozco</v>
      </c>
      <c r="D516" t="str">
        <v>Harvest</v>
      </c>
      <c r="E516" t="str">
        <v>105</v>
      </c>
      <c r="F516" t="str">
        <v>Pre - Gutter</v>
      </c>
      <c r="G516" t="str">
        <v xml:space="preserve">Burn </v>
      </c>
      <c r="H516" t="str">
        <v xml:space="preserve">RT - Wrist/ Hand/ Palm/ Fingers. </v>
      </c>
      <c r="I516" t="str">
        <v>RECORDABLE</v>
      </c>
      <c r="J516" t="str">
        <v>Yes</v>
      </c>
      <c r="K516">
        <v>2025</v>
      </c>
      <c r="L516" t="str">
        <v>March</v>
      </c>
      <c r="X516">
        <v>0</v>
      </c>
    </row>
    <row r="517" spans="1:24" x14ac:dyDescent="0.2">
      <c r="A517" t="str">
        <v>Higinio Marin </v>
      </c>
      <c r="B517">
        <v>45741</v>
      </c>
      <c r="C517" t="str">
        <v>Juan Rodriguez</v>
      </c>
      <c r="D517" t="str">
        <v>Fabrication</v>
      </c>
      <c r="E517" t="str">
        <v>415</v>
      </c>
      <c r="F517" t="str">
        <v>Plate Boner</v>
      </c>
      <c r="G517" t="str">
        <v>Strain</v>
      </c>
      <c r="H517" t="str">
        <v>RT - Wrist</v>
      </c>
      <c r="I517" t="str">
        <v>FA</v>
      </c>
      <c r="J517" t="str">
        <v>No</v>
      </c>
      <c r="K517">
        <v>2025</v>
      </c>
      <c r="L517" t="str">
        <v>March</v>
      </c>
      <c r="X517">
        <v>0</v>
      </c>
    </row>
    <row r="518" spans="1:24" x14ac:dyDescent="0.2">
      <c r="A518" t="str">
        <v>Tania Banegas</v>
      </c>
      <c r="B518">
        <v>45737</v>
      </c>
      <c r="C518" t="str">
        <v>Ovidio Sanchez</v>
      </c>
      <c r="D518" t="str">
        <v>Fabrication</v>
      </c>
      <c r="E518" t="str">
        <v>400</v>
      </c>
      <c r="F518" t="str">
        <v xml:space="preserve">Brisket Wiz. Op. </v>
      </c>
      <c r="G518" t="str">
        <v>Strain</v>
      </c>
      <c r="H518" t="str">
        <v>RT - Elbow</v>
      </c>
      <c r="I518" t="str">
        <v>FA</v>
      </c>
      <c r="J518" t="str">
        <v>No</v>
      </c>
      <c r="K518">
        <v>2025</v>
      </c>
      <c r="L518" t="str">
        <v>March</v>
      </c>
      <c r="X518">
        <v>0</v>
      </c>
    </row>
    <row r="519" spans="1:24" x14ac:dyDescent="0.2">
      <c r="A519" t="str">
        <v>Jazmine Gonzalez</v>
      </c>
      <c r="B519">
        <v>45737</v>
      </c>
      <c r="C519" t="str">
        <v>Michael Orozco</v>
      </c>
      <c r="D519" t="str">
        <v>Harvest</v>
      </c>
      <c r="E519" t="str">
        <v>102</v>
      </c>
      <c r="F519" t="str">
        <v xml:space="preserve">Whizzard Op. </v>
      </c>
      <c r="G519">
        <v>0</v>
      </c>
      <c r="H519">
        <v>0</v>
      </c>
      <c r="I519" t="str">
        <v>RPO</v>
      </c>
      <c r="J519" t="str">
        <v>No</v>
      </c>
      <c r="K519">
        <v>2025</v>
      </c>
      <c r="L519" t="str">
        <v>March</v>
      </c>
      <c r="X519">
        <v>0</v>
      </c>
    </row>
    <row r="520" spans="1:24" x14ac:dyDescent="0.2">
      <c r="A520" t="str">
        <v>Saray Pedroza</v>
      </c>
      <c r="B520">
        <v>45736</v>
      </c>
      <c r="C520" t="str">
        <v>Samuel Sierra</v>
      </c>
      <c r="D520" t="str">
        <v>Harvest</v>
      </c>
      <c r="E520" t="str">
        <v>109</v>
      </c>
      <c r="F520" t="str">
        <v>Ox Tail Wash</v>
      </c>
      <c r="G520" t="str">
        <v xml:space="preserve">Burn </v>
      </c>
      <c r="H520" t="str">
        <v>LT - Shoulder</v>
      </c>
      <c r="I520" t="str">
        <v>FA</v>
      </c>
      <c r="J520" t="str">
        <v>No</v>
      </c>
      <c r="K520">
        <v>2025</v>
      </c>
      <c r="L520" t="str">
        <v>March</v>
      </c>
      <c r="X520">
        <v>0</v>
      </c>
    </row>
    <row r="521" spans="1:24" x14ac:dyDescent="0.2">
      <c r="A521" t="str">
        <v>Emmanuel Nunez</v>
      </c>
      <c r="B521">
        <v>45735</v>
      </c>
      <c r="C521" t="str">
        <v>Michael Orozco</v>
      </c>
      <c r="D521" t="str">
        <v>Harvest</v>
      </c>
      <c r="E521" t="str">
        <v>105</v>
      </c>
      <c r="F521" t="str">
        <v>Paunch Puller</v>
      </c>
      <c r="G521" t="str">
        <v>Sprain</v>
      </c>
      <c r="H521" t="str">
        <v>LT - Forearm &amp; Wrist</v>
      </c>
      <c r="I521" t="str">
        <v>FA</v>
      </c>
      <c r="J521" t="str">
        <v>No</v>
      </c>
      <c r="K521">
        <v>2025</v>
      </c>
      <c r="L521" t="str">
        <v>March</v>
      </c>
      <c r="X521">
        <v>0</v>
      </c>
    </row>
    <row r="522" spans="1:24" x14ac:dyDescent="0.2">
      <c r="A522" t="str">
        <v>Cruz Lopez</v>
      </c>
      <c r="B522">
        <v>45735</v>
      </c>
      <c r="C522" t="str">
        <v>Michael Orozco</v>
      </c>
      <c r="D522" t="str">
        <v>Harvest</v>
      </c>
      <c r="E522" t="str">
        <v>105</v>
      </c>
      <c r="F522" t="str">
        <v>Gutter</v>
      </c>
      <c r="G522" t="str">
        <v>Laceration</v>
      </c>
      <c r="H522" t="str">
        <v>RT - Palm</v>
      </c>
      <c r="I522" t="str">
        <v>RPO</v>
      </c>
      <c r="J522" t="str">
        <v>No</v>
      </c>
      <c r="K522">
        <v>2025</v>
      </c>
      <c r="L522" t="str">
        <v>March</v>
      </c>
      <c r="X522">
        <v>0</v>
      </c>
    </row>
    <row r="523" spans="1:24" x14ac:dyDescent="0.2">
      <c r="A523" t="str">
        <v>Noe Fraga Ruiz</v>
      </c>
      <c r="B523">
        <v>45730</v>
      </c>
      <c r="C523" t="str">
        <v>Ovidio Sanchez</v>
      </c>
      <c r="D523" t="str">
        <v>Fabrication</v>
      </c>
      <c r="E523" t="str">
        <v>400</v>
      </c>
      <c r="F523" t="str">
        <v>Brisket Boner</v>
      </c>
      <c r="G523" t="str">
        <v>Strain</v>
      </c>
      <c r="H523" t="str">
        <v>Upper - Back</v>
      </c>
      <c r="I523" t="str">
        <v>FA</v>
      </c>
      <c r="J523" t="str">
        <v>No</v>
      </c>
      <c r="K523">
        <v>2025</v>
      </c>
      <c r="L523" t="str">
        <v>March</v>
      </c>
      <c r="X523">
        <v>0</v>
      </c>
    </row>
    <row r="524" spans="1:24" x14ac:dyDescent="0.2">
      <c r="A524" t="str">
        <v>Alexander Ruiz Flores</v>
      </c>
      <c r="B524">
        <v>45730</v>
      </c>
      <c r="C524" t="str">
        <v>Ovidio Sanchez</v>
      </c>
      <c r="D524" t="str">
        <v>Fabrication</v>
      </c>
      <c r="E524" t="str">
        <v>400</v>
      </c>
      <c r="F524" t="str">
        <v>CO2 Injector</v>
      </c>
      <c r="G524" t="str">
        <v>Strain</v>
      </c>
      <c r="H524" t="str">
        <v xml:space="preserve">RT - Hand / LT - Shoulder </v>
      </c>
      <c r="I524" t="str">
        <v>FA</v>
      </c>
      <c r="J524" t="str">
        <v>No</v>
      </c>
      <c r="K524">
        <v>2025</v>
      </c>
      <c r="L524" t="str">
        <v>March</v>
      </c>
      <c r="X524">
        <v>0</v>
      </c>
    </row>
    <row r="525" spans="1:24" x14ac:dyDescent="0.2">
      <c r="A525" t="str">
        <v>Sergio Torres Jimenez</v>
      </c>
      <c r="B525">
        <v>45730</v>
      </c>
      <c r="C525" t="str">
        <v>Samuel Sierra</v>
      </c>
      <c r="D525" t="str">
        <v>Harvest</v>
      </c>
      <c r="E525" t="str">
        <v>109</v>
      </c>
      <c r="F525" t="str">
        <v>Tripe Pack Off</v>
      </c>
      <c r="G525" t="str">
        <v>Rash</v>
      </c>
      <c r="H525" t="str">
        <v xml:space="preserve">LT - RT Hands, Thumbs &amp; Fingers. </v>
      </c>
      <c r="I525" t="str">
        <v>FA</v>
      </c>
      <c r="J525" t="str">
        <v>No</v>
      </c>
      <c r="K525">
        <v>2025</v>
      </c>
      <c r="L525" t="str">
        <v>March</v>
      </c>
      <c r="X525">
        <v>0</v>
      </c>
    </row>
    <row r="526" spans="1:24" x14ac:dyDescent="0.2">
      <c r="A526" t="str">
        <v>Yvonne Martinez</v>
      </c>
      <c r="B526">
        <v>45730</v>
      </c>
      <c r="C526" t="str">
        <v>Veronica Figueroa</v>
      </c>
      <c r="D526" t="str">
        <v>Fabrication</v>
      </c>
      <c r="E526" t="str">
        <v>420</v>
      </c>
      <c r="F526" t="str">
        <v xml:space="preserve">Whizzard Op. </v>
      </c>
      <c r="G526" t="str">
        <v>Strain</v>
      </c>
      <c r="H526" t="str">
        <v>RT - Diggits</v>
      </c>
      <c r="I526" t="str">
        <v>FA</v>
      </c>
      <c r="J526" t="str">
        <v>No</v>
      </c>
      <c r="K526">
        <v>2025</v>
      </c>
      <c r="L526" t="str">
        <v>March</v>
      </c>
      <c r="X526">
        <v>0</v>
      </c>
    </row>
    <row r="527" spans="1:24" x14ac:dyDescent="0.2">
      <c r="A527" t="str">
        <v>Carlos Jose Castano</v>
      </c>
      <c r="B527">
        <v>45730</v>
      </c>
      <c r="C527" t="str">
        <v>Christopher Moreno</v>
      </c>
      <c r="D527" t="str">
        <v>Maintnances</v>
      </c>
      <c r="E527" t="str">
        <v>BG</v>
      </c>
      <c r="F527" t="str">
        <v>Glift Mechanic</v>
      </c>
      <c r="G527" t="str">
        <v xml:space="preserve">Impact? </v>
      </c>
      <c r="H527" t="str">
        <v>Right - Toe</v>
      </c>
      <c r="I527" t="str">
        <v>RPO</v>
      </c>
      <c r="J527" t="str">
        <v>No</v>
      </c>
      <c r="K527">
        <v>2025</v>
      </c>
      <c r="L527" t="str">
        <v>March</v>
      </c>
      <c r="X527">
        <v>0</v>
      </c>
    </row>
    <row r="528" spans="1:24" x14ac:dyDescent="0.2">
      <c r="A528" t="str">
        <v>Enrique Ramos Serrano</v>
      </c>
      <c r="B528">
        <v>45728</v>
      </c>
      <c r="C528" t="str">
        <v>Jarrod Villareal</v>
      </c>
      <c r="D528" t="str">
        <v>Fabrication</v>
      </c>
      <c r="E528" t="str">
        <v>405</v>
      </c>
      <c r="F528" t="str">
        <v>3 Bonner</v>
      </c>
      <c r="G528" t="str">
        <v>Strain</v>
      </c>
      <c r="H528" t="str">
        <v>LT - Hand, digits, and forearm</v>
      </c>
      <c r="I528" t="str">
        <v>FA</v>
      </c>
      <c r="J528" t="str">
        <v>No</v>
      </c>
      <c r="K528">
        <v>2025</v>
      </c>
      <c r="L528" t="str">
        <v>March</v>
      </c>
      <c r="X528">
        <v>0</v>
      </c>
    </row>
    <row r="529" spans="1:24" x14ac:dyDescent="0.2">
      <c r="A529" t="str">
        <v>Jonny Garcia Soto</v>
      </c>
      <c r="B529">
        <v>45728</v>
      </c>
      <c r="C529" t="str">
        <v>marilyn herrera</v>
      </c>
      <c r="D529" t="str">
        <v>Harvest</v>
      </c>
      <c r="E529" t="str">
        <v>100</v>
      </c>
      <c r="F529" t="str">
        <v>Herdsman</v>
      </c>
      <c r="G529" t="str">
        <v>Crush Injury</v>
      </c>
      <c r="H529" t="str">
        <v>RT - Arm</v>
      </c>
      <c r="I529" t="str">
        <v>RPO</v>
      </c>
      <c r="J529" t="str">
        <v>No</v>
      </c>
      <c r="K529">
        <v>2025</v>
      </c>
      <c r="L529" t="str">
        <v>March</v>
      </c>
      <c r="X529">
        <v>0</v>
      </c>
    </row>
    <row r="530" spans="1:24" x14ac:dyDescent="0.2">
      <c r="A530" t="str">
        <v>Anthony Valdez</v>
      </c>
      <c r="B530">
        <v>45728</v>
      </c>
      <c r="C530" t="str">
        <v>marilyn herrera</v>
      </c>
      <c r="D530" t="str">
        <v>Harvest</v>
      </c>
      <c r="E530" t="str">
        <v>100</v>
      </c>
      <c r="F530" t="str">
        <v>Herdsman</v>
      </c>
      <c r="G530" t="str">
        <v>Crush Injury</v>
      </c>
      <c r="H530" t="str">
        <v>RT - Knee, Leg</v>
      </c>
      <c r="I530" t="str">
        <v>FA</v>
      </c>
      <c r="J530" t="str">
        <v>No</v>
      </c>
      <c r="K530">
        <v>2025</v>
      </c>
      <c r="L530" t="str">
        <v>March</v>
      </c>
      <c r="X530">
        <v>0</v>
      </c>
    </row>
    <row r="531" spans="1:24" x14ac:dyDescent="0.2">
      <c r="A531" t="str">
        <v>Ra Thach</v>
      </c>
      <c r="B531">
        <v>45728</v>
      </c>
      <c r="C531" t="str">
        <v>Juan Ramirez</v>
      </c>
      <c r="D531" t="str">
        <v>Fabrication</v>
      </c>
      <c r="E531" t="str">
        <v>410</v>
      </c>
      <c r="F531" t="str">
        <v>Aitch Boner</v>
      </c>
      <c r="G531" t="str">
        <v>Rash</v>
      </c>
      <c r="H531" t="str">
        <v>RT - Forearm</v>
      </c>
      <c r="I531" t="str">
        <v>FA</v>
      </c>
      <c r="J531" t="str">
        <v>No</v>
      </c>
      <c r="K531">
        <v>2025</v>
      </c>
      <c r="L531" t="str">
        <v>March</v>
      </c>
      <c r="X531">
        <v>0</v>
      </c>
    </row>
    <row r="532" spans="1:24" x14ac:dyDescent="0.2">
      <c r="A532" t="str">
        <v xml:space="preserve">Berenize Carrillo </v>
      </c>
      <c r="B532">
        <v>45727</v>
      </c>
      <c r="C532" t="str">
        <v>Chadu Moua</v>
      </c>
      <c r="D532" t="str">
        <v>Fabrication</v>
      </c>
      <c r="E532" t="str">
        <v>429</v>
      </c>
      <c r="F532" t="str">
        <v>Product Sorter</v>
      </c>
      <c r="G532" t="str">
        <v>Sprain</v>
      </c>
      <c r="H532" t="str">
        <v>LT - Forearm</v>
      </c>
      <c r="I532" t="str">
        <v>FA</v>
      </c>
      <c r="J532" t="str">
        <v>No</v>
      </c>
      <c r="K532">
        <v>2025</v>
      </c>
      <c r="L532" t="str">
        <v>March</v>
      </c>
      <c r="X532">
        <v>0</v>
      </c>
    </row>
    <row r="533" spans="1:24" x14ac:dyDescent="0.2">
      <c r="A533" t="str">
        <v>Jose Gonzalez</v>
      </c>
      <c r="B533">
        <v>45723</v>
      </c>
      <c r="C533" t="str">
        <v>Juan Rodriguez</v>
      </c>
      <c r="D533" t="str">
        <v>Fabrication</v>
      </c>
      <c r="E533" t="str">
        <v>415</v>
      </c>
      <c r="F533" t="str">
        <v>Chuck Roller</v>
      </c>
      <c r="G533" t="str">
        <v>Strain</v>
      </c>
      <c r="H533" t="str">
        <v>LT - Shoulder</v>
      </c>
      <c r="I533" t="str">
        <v>FA</v>
      </c>
      <c r="J533" t="str">
        <v>No</v>
      </c>
      <c r="K533">
        <v>2025</v>
      </c>
      <c r="L533" t="str">
        <v>March</v>
      </c>
      <c r="X533">
        <v>0</v>
      </c>
    </row>
    <row r="534" spans="1:24" x14ac:dyDescent="0.2">
      <c r="A534" t="str">
        <v>Jesus Reyes Martinez</v>
      </c>
      <c r="B534">
        <v>45722</v>
      </c>
      <c r="C534" t="str">
        <v>Samuel Sierra</v>
      </c>
      <c r="D534" t="str">
        <v>Harvest</v>
      </c>
      <c r="E534" t="str">
        <v>107</v>
      </c>
      <c r="F534" t="str">
        <v>Chisler</v>
      </c>
      <c r="G534" t="str">
        <v>Strain</v>
      </c>
      <c r="H534" t="str">
        <v>RT - Wrist</v>
      </c>
      <c r="I534" t="str">
        <v>FA</v>
      </c>
      <c r="J534" t="str">
        <v>No</v>
      </c>
      <c r="K534">
        <v>2025</v>
      </c>
      <c r="L534" t="str">
        <v>March</v>
      </c>
      <c r="X534">
        <v>0</v>
      </c>
    </row>
    <row r="535" spans="1:24" x14ac:dyDescent="0.2">
      <c r="A535" t="str">
        <v>Jesus Reyes Martinez</v>
      </c>
      <c r="B535">
        <v>45722</v>
      </c>
      <c r="C535" t="str">
        <v>Samuel Sierra</v>
      </c>
      <c r="D535" t="str">
        <v>Harvest</v>
      </c>
      <c r="E535" t="str">
        <v>107</v>
      </c>
      <c r="F535" t="str">
        <v>Chisler</v>
      </c>
      <c r="G535" t="str">
        <v>Strain</v>
      </c>
      <c r="H535" t="str">
        <v>RT - Knee</v>
      </c>
      <c r="I535" t="str">
        <v>FA</v>
      </c>
      <c r="J535" t="str">
        <v>No</v>
      </c>
      <c r="K535">
        <v>2025</v>
      </c>
      <c r="L535" t="str">
        <v>March</v>
      </c>
      <c r="X535">
        <v>0</v>
      </c>
    </row>
    <row r="536" spans="1:24" x14ac:dyDescent="0.2">
      <c r="A536" t="str">
        <v>Rosedo Grenados</v>
      </c>
      <c r="B536">
        <v>45721</v>
      </c>
      <c r="C536" t="str">
        <v>Rutilio Rodriguez</v>
      </c>
      <c r="D536" t="str">
        <v>Harvest</v>
      </c>
      <c r="E536" t="str">
        <v>106</v>
      </c>
      <c r="F536" t="str">
        <v>Diffect Trimmer K</v>
      </c>
      <c r="G536" t="str">
        <v>Sprain</v>
      </c>
      <c r="H536" t="str">
        <v>RT - Wrist</v>
      </c>
      <c r="I536" t="str">
        <v>FA</v>
      </c>
      <c r="J536" t="str">
        <v>No</v>
      </c>
      <c r="K536">
        <v>2025</v>
      </c>
      <c r="L536" t="str">
        <v>March</v>
      </c>
      <c r="X536">
        <v>0</v>
      </c>
    </row>
    <row r="537" spans="1:24" x14ac:dyDescent="0.2">
      <c r="A537" t="str">
        <v>Jesus Morales Lopez</v>
      </c>
      <c r="B537">
        <v>45721</v>
      </c>
      <c r="C537" t="str">
        <v>marilyn herrera</v>
      </c>
      <c r="D537" t="str">
        <v>Harvest</v>
      </c>
      <c r="E537" t="str">
        <v>111</v>
      </c>
      <c r="F537" t="str">
        <v>Goat Truck Driver</v>
      </c>
      <c r="G537" t="str">
        <v>Struck By- Against Object</v>
      </c>
      <c r="H537" t="str">
        <v xml:space="preserve">RT - Eye </v>
      </c>
      <c r="I537" t="str">
        <v>FA</v>
      </c>
      <c r="J537" t="str">
        <v>No</v>
      </c>
      <c r="K537">
        <v>2025</v>
      </c>
      <c r="L537" t="str">
        <v>March</v>
      </c>
      <c r="X537">
        <v>0</v>
      </c>
    </row>
    <row r="538" spans="1:24" x14ac:dyDescent="0.2">
      <c r="A538" t="str">
        <v>Eliza Lopez Leon</v>
      </c>
      <c r="B538">
        <v>45720</v>
      </c>
      <c r="C538" t="str">
        <v>Samuel Sierra</v>
      </c>
      <c r="D538" t="str">
        <v>Harvest</v>
      </c>
      <c r="E538" t="str">
        <v>107</v>
      </c>
      <c r="F538" t="str">
        <v>Intestine Pack Off</v>
      </c>
      <c r="G538" t="str">
        <v>Above Shoulder Work</v>
      </c>
      <c r="H538" t="str">
        <v>RT - Wrist</v>
      </c>
      <c r="I538" t="str">
        <v>FA</v>
      </c>
      <c r="J538" t="str">
        <v>No</v>
      </c>
      <c r="K538">
        <v>2025</v>
      </c>
      <c r="L538" t="str">
        <v>March</v>
      </c>
      <c r="X538">
        <v>0</v>
      </c>
    </row>
    <row r="539" spans="1:24" x14ac:dyDescent="0.2">
      <c r="A539" t="str">
        <v>Rosaangela Rodriguez</v>
      </c>
      <c r="B539">
        <v>45720</v>
      </c>
      <c r="C539" t="str">
        <v>Veronica Figueroa</v>
      </c>
      <c r="D539" t="str">
        <v>Fabrication</v>
      </c>
      <c r="E539" t="str">
        <v>420</v>
      </c>
      <c r="F539" t="str">
        <v xml:space="preserve">Whizzard Op. </v>
      </c>
      <c r="G539" t="str">
        <v>Strain</v>
      </c>
      <c r="H539" t="str">
        <v>RT - Shoulder</v>
      </c>
      <c r="I539" t="str">
        <v>FA</v>
      </c>
      <c r="J539" t="str">
        <v>No</v>
      </c>
      <c r="K539">
        <v>2025</v>
      </c>
      <c r="L539" t="str">
        <v>March</v>
      </c>
      <c r="X539">
        <v>0</v>
      </c>
    </row>
    <row r="540" spans="1:24" x14ac:dyDescent="0.2">
      <c r="A540" t="str">
        <v>Tomas Garcia</v>
      </c>
      <c r="B540">
        <v>45716</v>
      </c>
      <c r="C540" t="str">
        <v>Jarrod Villareal</v>
      </c>
      <c r="D540" t="str">
        <v>Fabrication</v>
      </c>
      <c r="E540" t="str">
        <v>405</v>
      </c>
      <c r="F540" t="str">
        <v>Plate Boner</v>
      </c>
      <c r="G540" t="str">
        <v>Contact Stress</v>
      </c>
      <c r="H540" t="str">
        <v>LT - Index Finger</v>
      </c>
      <c r="I540" t="str">
        <v>FA</v>
      </c>
      <c r="J540" t="str">
        <v>No</v>
      </c>
      <c r="K540">
        <v>2025</v>
      </c>
      <c r="L540" t="str">
        <v>February</v>
      </c>
      <c r="X540">
        <v>0</v>
      </c>
    </row>
    <row r="541" spans="1:24" x14ac:dyDescent="0.2">
      <c r="A541" t="str">
        <v>Jonathan Campas</v>
      </c>
      <c r="B541">
        <v>45716</v>
      </c>
      <c r="C541" t="str">
        <v>Samuel Sierra</v>
      </c>
      <c r="D541" t="str">
        <v>Harvest</v>
      </c>
      <c r="E541" t="str">
        <v>107</v>
      </c>
      <c r="F541" t="str">
        <v>Cheeker</v>
      </c>
      <c r="G541" t="str">
        <v>Struck-by Against Object</v>
      </c>
      <c r="H541" t="str">
        <v>RT - Diggits</v>
      </c>
      <c r="I541" t="str">
        <v>FA</v>
      </c>
      <c r="J541" t="str">
        <v>No</v>
      </c>
      <c r="K541">
        <v>2025</v>
      </c>
      <c r="L541" t="str">
        <v>February</v>
      </c>
      <c r="X541">
        <v>0</v>
      </c>
    </row>
    <row r="542" spans="1:24" x14ac:dyDescent="0.2">
      <c r="A542" t="str">
        <v>Morgan Branning</v>
      </c>
      <c r="B542">
        <v>45715</v>
      </c>
      <c r="C542" t="str">
        <v>Michael Orozco</v>
      </c>
      <c r="D542" t="str">
        <v>Harvest</v>
      </c>
      <c r="E542" t="str">
        <v>104</v>
      </c>
      <c r="F542" t="str">
        <v>Aitch Bone Saw</v>
      </c>
      <c r="G542" t="str">
        <v>Strain</v>
      </c>
      <c r="H542" t="str">
        <v xml:space="preserve">RT - Thumb </v>
      </c>
      <c r="I542" t="str">
        <v>FA</v>
      </c>
      <c r="J542" t="str">
        <v>No</v>
      </c>
      <c r="K542">
        <v>2025</v>
      </c>
      <c r="L542" t="str">
        <v>February</v>
      </c>
      <c r="X542">
        <v>0</v>
      </c>
    </row>
    <row r="543" spans="1:24" x14ac:dyDescent="0.2">
      <c r="A543" t="str">
        <v>Eduardo Contreras</v>
      </c>
      <c r="B543">
        <v>45715</v>
      </c>
      <c r="C543" t="str">
        <v>Michael Orozco</v>
      </c>
      <c r="D543" t="str">
        <v>Harvest</v>
      </c>
      <c r="E543" t="str">
        <v>102</v>
      </c>
      <c r="F543" t="str">
        <v>Paper Remvoer</v>
      </c>
      <c r="G543" t="str">
        <v>Slip, Trip, &amp; Fall</v>
      </c>
      <c r="H543" t="str">
        <v>NA</v>
      </c>
      <c r="I543" t="str">
        <v>RPO</v>
      </c>
      <c r="J543" t="str">
        <v>No</v>
      </c>
      <c r="K543">
        <v>2025</v>
      </c>
      <c r="L543" t="str">
        <v>February</v>
      </c>
      <c r="X543">
        <v>0</v>
      </c>
    </row>
    <row r="544" spans="1:24" x14ac:dyDescent="0.2">
      <c r="A544" t="str">
        <v>Salvador Maravilla</v>
      </c>
      <c r="B544">
        <v>45713</v>
      </c>
      <c r="C544" t="str">
        <v>marilyn herrera</v>
      </c>
      <c r="D544" t="str">
        <v>Harvest</v>
      </c>
      <c r="E544" t="str">
        <v>111</v>
      </c>
      <c r="F544" t="str">
        <v>Rendering</v>
      </c>
      <c r="G544" t="str">
        <v xml:space="preserve">Burn </v>
      </c>
      <c r="H544" t="str">
        <v>LT - Forearm</v>
      </c>
      <c r="I544" t="str">
        <v>FA</v>
      </c>
      <c r="J544" t="str">
        <v>No</v>
      </c>
      <c r="K544">
        <v>2025</v>
      </c>
      <c r="L544" t="str">
        <v>February</v>
      </c>
      <c r="X544">
        <v>0</v>
      </c>
    </row>
    <row r="545" spans="1:24" x14ac:dyDescent="0.2">
      <c r="A545" t="str">
        <v>Raul Reyes</v>
      </c>
      <c r="B545">
        <v>45713</v>
      </c>
      <c r="C545" t="str">
        <v>Richard Xiong</v>
      </c>
      <c r="D545" t="str">
        <v>Harvest</v>
      </c>
      <c r="E545" t="str">
        <v>101</v>
      </c>
      <c r="F545" t="str">
        <v>Lactic Acid Spray</v>
      </c>
      <c r="G545" t="str">
        <v xml:space="preserve">Inhalation </v>
      </c>
      <c r="H545" t="str">
        <v>Respiratory System</v>
      </c>
      <c r="I545" t="str">
        <v>FA</v>
      </c>
      <c r="J545" t="str">
        <v>No</v>
      </c>
      <c r="K545">
        <v>2025</v>
      </c>
      <c r="L545" t="str">
        <v>February</v>
      </c>
      <c r="X545">
        <v>0</v>
      </c>
    </row>
    <row r="546" spans="1:24" x14ac:dyDescent="0.2">
      <c r="A546" t="str">
        <v>Christian Nicholas</v>
      </c>
      <c r="B546">
        <v>45711</v>
      </c>
      <c r="C546" t="str">
        <v>Michael Orozco</v>
      </c>
      <c r="D546" t="str">
        <v>Harvest</v>
      </c>
      <c r="E546" t="str">
        <v>105</v>
      </c>
      <c r="F546" t="str">
        <v>Gutter</v>
      </c>
      <c r="G546" t="str">
        <v>Rash</v>
      </c>
      <c r="H546" t="str">
        <v>RT - Arm</v>
      </c>
      <c r="I546" t="str">
        <v>RPO</v>
      </c>
      <c r="J546" t="str">
        <v>No</v>
      </c>
      <c r="K546">
        <v>2025</v>
      </c>
      <c r="L546" t="str">
        <v>February</v>
      </c>
      <c r="X546">
        <v>0</v>
      </c>
    </row>
    <row r="547" spans="1:24" x14ac:dyDescent="0.2">
      <c r="A547" t="str">
        <v>Victor Garcia</v>
      </c>
      <c r="B547">
        <v>45709</v>
      </c>
      <c r="C547" t="str">
        <v>Chadu Moua</v>
      </c>
      <c r="D547" t="str">
        <v>Fabrication</v>
      </c>
      <c r="E547" t="str">
        <v>429</v>
      </c>
      <c r="F547" t="str">
        <v>Clean Up</v>
      </c>
      <c r="G547" t="str">
        <v>Laceration</v>
      </c>
      <c r="H547" t="str">
        <v>LT pointing Finger</v>
      </c>
      <c r="I547" t="str">
        <v>FA</v>
      </c>
      <c r="J547" t="str">
        <v>No</v>
      </c>
      <c r="K547">
        <v>2025</v>
      </c>
      <c r="L547" t="str">
        <v>February</v>
      </c>
      <c r="X547">
        <v>0</v>
      </c>
    </row>
    <row r="548" spans="1:24" x14ac:dyDescent="0.2">
      <c r="A548" t="str">
        <v>Nicholas Gonzales</v>
      </c>
      <c r="B548">
        <v>45707</v>
      </c>
      <c r="C548" t="str">
        <v>Jarrod Villareal</v>
      </c>
      <c r="D548" t="str">
        <v>Fabrication</v>
      </c>
      <c r="E548" t="str">
        <v>405</v>
      </c>
      <c r="F548" t="str">
        <v>Rib Bonner</v>
      </c>
      <c r="G548" t="str">
        <v>Strain</v>
      </c>
      <c r="H548" t="str">
        <v>RT - Thummb</v>
      </c>
      <c r="I548" t="str">
        <v>FA</v>
      </c>
      <c r="J548" t="str">
        <v>No</v>
      </c>
      <c r="K548">
        <v>2025</v>
      </c>
      <c r="L548" t="str">
        <v>February</v>
      </c>
      <c r="X548">
        <v>0</v>
      </c>
    </row>
    <row r="549" spans="1:24" x14ac:dyDescent="0.2">
      <c r="A549" t="str">
        <v>Manuel Rodriguez</v>
      </c>
      <c r="B549">
        <v>45702</v>
      </c>
      <c r="C549" t="str">
        <v>Michael Orozco</v>
      </c>
      <c r="D549" t="str">
        <v>Harvest</v>
      </c>
      <c r="E549" t="str">
        <v>102</v>
      </c>
      <c r="F549" t="str">
        <v>Paper Knock Holes</v>
      </c>
      <c r="G549" t="str">
        <v>Strain</v>
      </c>
      <c r="H549" t="str">
        <v>LT-RT Wrist</v>
      </c>
      <c r="I549" t="str">
        <v>FA</v>
      </c>
      <c r="J549" t="str">
        <v>No</v>
      </c>
      <c r="K549">
        <v>2025</v>
      </c>
      <c r="L549" t="str">
        <v>February</v>
      </c>
      <c r="X549">
        <v>0</v>
      </c>
    </row>
    <row r="550" spans="1:24" x14ac:dyDescent="0.2">
      <c r="A550" t="str">
        <v>Victor Garcia</v>
      </c>
      <c r="B550">
        <v>45702</v>
      </c>
      <c r="C550" t="str">
        <v>Chadu Moua</v>
      </c>
      <c r="D550" t="str">
        <v>Fabrication</v>
      </c>
      <c r="E550" t="str">
        <v>429</v>
      </c>
      <c r="F550" t="str">
        <v>Clean Up</v>
      </c>
      <c r="G550" t="str">
        <v>Laceration</v>
      </c>
      <c r="H550" t="str">
        <v xml:space="preserve">RT - Thumb </v>
      </c>
      <c r="I550" t="str">
        <v>FA</v>
      </c>
      <c r="J550" t="str">
        <v>No</v>
      </c>
      <c r="K550">
        <v>2025</v>
      </c>
      <c r="L550" t="str">
        <v>February</v>
      </c>
      <c r="X550">
        <v>0</v>
      </c>
    </row>
    <row r="551" spans="1:24" x14ac:dyDescent="0.2">
      <c r="A551" t="str">
        <v>Jesus Morales Lopez</v>
      </c>
      <c r="B551">
        <v>45700</v>
      </c>
      <c r="C551" t="str">
        <v>marilyn herrera</v>
      </c>
      <c r="D551" t="str">
        <v>Harvest</v>
      </c>
      <c r="E551" t="str">
        <v>111</v>
      </c>
      <c r="F551" t="str">
        <v>Goat Truck Driver</v>
      </c>
      <c r="G551" t="str">
        <v>Sprain</v>
      </c>
      <c r="H551" t="str">
        <v xml:space="preserve">RT - Popliteal      </v>
      </c>
      <c r="I551" t="str">
        <v>FA</v>
      </c>
      <c r="J551" t="str">
        <v>No</v>
      </c>
      <c r="K551">
        <v>2025</v>
      </c>
      <c r="L551" t="str">
        <v>February</v>
      </c>
      <c r="X551">
        <v>0</v>
      </c>
    </row>
    <row r="552" spans="1:24" x14ac:dyDescent="0.2">
      <c r="A552" t="str">
        <v>Cristo Robles Torres</v>
      </c>
      <c r="B552">
        <v>45700</v>
      </c>
      <c r="C552" t="str">
        <v>Michael Orozco</v>
      </c>
      <c r="D552" t="str">
        <v>Harvest</v>
      </c>
      <c r="E552" t="str">
        <v>102</v>
      </c>
      <c r="F552" t="str">
        <v xml:space="preserve">Whizzard Op. </v>
      </c>
      <c r="G552" t="str">
        <v>Strain</v>
      </c>
      <c r="H552" t="str">
        <v>RT - Wrist</v>
      </c>
      <c r="I552" t="str">
        <v>RECORDABLE</v>
      </c>
      <c r="J552" t="str">
        <v>Yes</v>
      </c>
      <c r="K552">
        <v>2025</v>
      </c>
      <c r="L552" t="str">
        <v>February</v>
      </c>
      <c r="X552">
        <v>0</v>
      </c>
    </row>
    <row r="553" spans="1:24" x14ac:dyDescent="0.2">
      <c r="A553" t="str">
        <v>Maria Sanchez</v>
      </c>
      <c r="B553">
        <v>45700</v>
      </c>
      <c r="C553" t="str">
        <v>Ovidio Sanchez</v>
      </c>
      <c r="D553" t="str">
        <v>Fabrication</v>
      </c>
      <c r="E553" t="str">
        <v>400</v>
      </c>
      <c r="F553" t="str">
        <v>Clean Up</v>
      </c>
      <c r="G553" t="str">
        <v>Struck By- Against Object</v>
      </c>
      <c r="H553" t="str">
        <v>RT - Knee</v>
      </c>
      <c r="I553" t="str">
        <v>FA</v>
      </c>
      <c r="J553" t="str">
        <v>No</v>
      </c>
      <c r="K553">
        <v>2025</v>
      </c>
      <c r="L553" t="str">
        <v>February</v>
      </c>
      <c r="X553">
        <v>0</v>
      </c>
    </row>
    <row r="554" spans="1:24" x14ac:dyDescent="0.2">
      <c r="A554" t="str">
        <v>Angel Damian</v>
      </c>
      <c r="B554">
        <v>45695</v>
      </c>
      <c r="C554" t="str">
        <v>Michael Orozco</v>
      </c>
      <c r="D554" t="str">
        <v>Harvest</v>
      </c>
      <c r="E554" t="str">
        <v>102</v>
      </c>
      <c r="F554" t="str">
        <v>Skinner Bull Head</v>
      </c>
      <c r="G554" t="str">
        <v>Laceration</v>
      </c>
      <c r="H554" t="str">
        <v>LT - Shoulder</v>
      </c>
      <c r="I554" t="str">
        <v>RECORDABLE</v>
      </c>
      <c r="J554" t="str">
        <v>Yes</v>
      </c>
      <c r="K554">
        <v>2025</v>
      </c>
      <c r="L554" t="str">
        <v>February</v>
      </c>
      <c r="X554">
        <v>0</v>
      </c>
    </row>
    <row r="555" spans="1:24" x14ac:dyDescent="0.2">
      <c r="A555" t="str">
        <v>Melisa Salazar</v>
      </c>
      <c r="B555">
        <v>45694</v>
      </c>
      <c r="C555" t="str">
        <v>Maria Garcia</v>
      </c>
      <c r="D555" t="str">
        <v>Fabrication</v>
      </c>
      <c r="E555" t="str">
        <v>445</v>
      </c>
      <c r="F555" t="str">
        <v>Bagger</v>
      </c>
      <c r="G555" t="str">
        <v>Bending</v>
      </c>
      <c r="H555" t="str">
        <v>Upper - Back</v>
      </c>
      <c r="I555" t="str">
        <v>RECORDABLE</v>
      </c>
      <c r="J555" t="str">
        <v>Yes</v>
      </c>
      <c r="K555">
        <v>2025</v>
      </c>
      <c r="L555" t="str">
        <v>February</v>
      </c>
      <c r="X555">
        <v>0</v>
      </c>
    </row>
    <row r="556" spans="1:24" x14ac:dyDescent="0.2">
      <c r="A556" t="str">
        <v>Miguel Sanchez</v>
      </c>
      <c r="B556">
        <v>45694</v>
      </c>
      <c r="C556" t="str">
        <v>Ray Mascorro</v>
      </c>
      <c r="D556" t="str">
        <v>Harvest</v>
      </c>
      <c r="E556" t="str">
        <v>104</v>
      </c>
      <c r="F556" t="str">
        <v>Wesand Rod</v>
      </c>
      <c r="G556" t="str">
        <v>Strain</v>
      </c>
      <c r="H556" t="str">
        <v>Lower back</v>
      </c>
      <c r="I556" t="str">
        <v>FA</v>
      </c>
      <c r="J556" t="str">
        <v>No</v>
      </c>
      <c r="K556">
        <v>2025</v>
      </c>
      <c r="L556" t="str">
        <v>February</v>
      </c>
      <c r="X556">
        <v>0</v>
      </c>
    </row>
    <row r="557" spans="1:24" x14ac:dyDescent="0.2">
      <c r="A557" t="str">
        <v>Amado Jardon Flores</v>
      </c>
      <c r="B557">
        <v>45693</v>
      </c>
      <c r="C557" t="str">
        <v>Rene Canas</v>
      </c>
      <c r="D557" t="str">
        <v>FSQA</v>
      </c>
      <c r="E557" t="str">
        <v>QA</v>
      </c>
      <c r="F557" t="str">
        <v>FSQA</v>
      </c>
      <c r="G557" t="str">
        <v>Struck-by- against Object</v>
      </c>
      <c r="H557" t="str">
        <v>Lower back</v>
      </c>
      <c r="I557" t="str">
        <v>RPO</v>
      </c>
      <c r="J557" t="str">
        <v>No</v>
      </c>
      <c r="K557">
        <v>2025</v>
      </c>
      <c r="L557" t="str">
        <v>February</v>
      </c>
      <c r="X557">
        <v>0</v>
      </c>
    </row>
    <row r="558" spans="1:24" x14ac:dyDescent="0.2">
      <c r="A558" t="str">
        <v>Jorge Vanancio</v>
      </c>
      <c r="B558">
        <v>45692</v>
      </c>
      <c r="C558" t="str">
        <v>Michael Orozco</v>
      </c>
      <c r="D558" t="str">
        <v>Harvest</v>
      </c>
      <c r="E558" t="str">
        <v>102</v>
      </c>
      <c r="F558" t="str">
        <v>Flanlter</v>
      </c>
      <c r="G558" t="str">
        <v>Sprain</v>
      </c>
      <c r="H558" t="str">
        <v>LT- Lower back</v>
      </c>
      <c r="I558" t="str">
        <v>FA</v>
      </c>
      <c r="J558" t="str">
        <v>No</v>
      </c>
      <c r="K558">
        <v>2025</v>
      </c>
      <c r="L558" t="str">
        <v>February</v>
      </c>
      <c r="X558">
        <v>0</v>
      </c>
    </row>
    <row r="559" spans="1:24" x14ac:dyDescent="0.2">
      <c r="A559" t="str">
        <v>Jonathon Campas</v>
      </c>
      <c r="B559">
        <v>45687</v>
      </c>
      <c r="C559" t="str">
        <v>Samuel Sierra</v>
      </c>
      <c r="D559" t="str">
        <v>Harvest</v>
      </c>
      <c r="E559" t="str">
        <v>109</v>
      </c>
      <c r="F559" t="str">
        <v>Cheeker</v>
      </c>
      <c r="G559" t="str">
        <v>Foreign boby in eye</v>
      </c>
      <c r="H559" t="str">
        <v>RT- Eye &amp; Nose</v>
      </c>
      <c r="I559" t="str">
        <v>FA</v>
      </c>
      <c r="J559" t="str">
        <v>No</v>
      </c>
      <c r="K559">
        <v>2025</v>
      </c>
      <c r="L559" t="str">
        <v>January</v>
      </c>
      <c r="X559">
        <v>0</v>
      </c>
    </row>
    <row r="560" spans="1:24" x14ac:dyDescent="0.2">
      <c r="A560" t="str">
        <v>Mayra Solarte</v>
      </c>
      <c r="B560">
        <v>45687</v>
      </c>
      <c r="C560" t="str">
        <v>Michael Orozco</v>
      </c>
      <c r="D560" t="str">
        <v>Harvest</v>
      </c>
      <c r="E560" t="str">
        <v>102</v>
      </c>
      <c r="F560" t="str">
        <v xml:space="preserve">Whizzard Op. </v>
      </c>
      <c r="G560" t="str">
        <v xml:space="preserve">Burn </v>
      </c>
      <c r="H560" t="str">
        <v>Lt - Chest</v>
      </c>
      <c r="I560" t="str">
        <v>FA</v>
      </c>
      <c r="J560" t="str">
        <v>No</v>
      </c>
      <c r="K560">
        <v>2025</v>
      </c>
      <c r="L560" t="str">
        <v>January</v>
      </c>
      <c r="X560">
        <v>0</v>
      </c>
    </row>
    <row r="561" spans="1:24" x14ac:dyDescent="0.2">
      <c r="A561" t="str">
        <v>Raul Reyes</v>
      </c>
      <c r="B561">
        <v>45685</v>
      </c>
      <c r="C561" t="str">
        <v>Jarrod Villareal</v>
      </c>
      <c r="D561" t="str">
        <v>Fabrication</v>
      </c>
      <c r="E561" t="str">
        <v>429</v>
      </c>
      <c r="F561" t="str">
        <v>Bone Sorter</v>
      </c>
      <c r="G561" t="str">
        <v>Strain</v>
      </c>
      <c r="H561" t="str">
        <v>RT - Elbow</v>
      </c>
      <c r="I561" t="str">
        <v>FA</v>
      </c>
      <c r="J561" t="str">
        <v>No</v>
      </c>
      <c r="K561">
        <v>2025</v>
      </c>
      <c r="L561" t="str">
        <v>January</v>
      </c>
      <c r="X561">
        <v>0</v>
      </c>
    </row>
    <row r="562" spans="1:24" x14ac:dyDescent="0.2">
      <c r="A562" t="str">
        <v>Raul Reyes</v>
      </c>
      <c r="B562">
        <v>45685</v>
      </c>
      <c r="C562" t="str">
        <v>Jarrod Villareal</v>
      </c>
      <c r="D562" t="str">
        <v>Fabrication</v>
      </c>
      <c r="E562" t="str">
        <v>429</v>
      </c>
      <c r="F562" t="str">
        <v>Clean Up</v>
      </c>
      <c r="G562" t="str">
        <v>Sprain</v>
      </c>
      <c r="H562" t="str">
        <v>Rt - Lower Back</v>
      </c>
      <c r="I562" t="str">
        <v>FA</v>
      </c>
      <c r="J562" t="str">
        <v>No</v>
      </c>
      <c r="K562">
        <v>2025</v>
      </c>
      <c r="L562" t="str">
        <v>January</v>
      </c>
      <c r="X562">
        <v>0</v>
      </c>
    </row>
    <row r="563" spans="1:24" x14ac:dyDescent="0.2">
      <c r="A563" t="str">
        <v>Domingo Camberos</v>
      </c>
      <c r="B563">
        <v>45681</v>
      </c>
      <c r="C563" t="str">
        <v>Rutilio Rodriguez</v>
      </c>
      <c r="D563" t="str">
        <v>Harvest</v>
      </c>
      <c r="E563" t="str">
        <v>106</v>
      </c>
      <c r="F563" t="str">
        <v>Diffect Trimmer K</v>
      </c>
      <c r="G563" t="str">
        <v>Puncture</v>
      </c>
      <c r="H563" t="str">
        <v>RT - Hand</v>
      </c>
      <c r="I563" t="str">
        <v>FA</v>
      </c>
      <c r="J563" t="str">
        <v>No</v>
      </c>
      <c r="K563">
        <v>2025</v>
      </c>
      <c r="L563" t="str">
        <v>January</v>
      </c>
      <c r="X563">
        <v>0</v>
      </c>
    </row>
    <row r="564" spans="1:24" x14ac:dyDescent="0.2">
      <c r="A564" t="str">
        <v>Daniel Ortega</v>
      </c>
      <c r="B564">
        <v>45680</v>
      </c>
      <c r="C564" t="str">
        <v>Michael Orozco</v>
      </c>
      <c r="D564" t="str">
        <v>Harvest</v>
      </c>
      <c r="E564" t="str">
        <v>102</v>
      </c>
      <c r="F564" t="str">
        <v>Low Backer</v>
      </c>
      <c r="G564" t="str">
        <v>Crush</v>
      </c>
      <c r="H564" t="str">
        <v>Lt - Thumb</v>
      </c>
      <c r="I564" t="str">
        <v>FA</v>
      </c>
      <c r="J564" t="str">
        <v>No</v>
      </c>
      <c r="K564">
        <v>2025</v>
      </c>
      <c r="L564" t="str">
        <v>January</v>
      </c>
      <c r="X564">
        <v>0</v>
      </c>
    </row>
    <row r="565" spans="1:24" x14ac:dyDescent="0.2">
      <c r="A565" t="str">
        <v>Daniel Vega</v>
      </c>
      <c r="B565">
        <v>45678</v>
      </c>
      <c r="C565" t="str">
        <v>Maria Garcia</v>
      </c>
      <c r="D565" t="str">
        <v>Fabrication</v>
      </c>
      <c r="E565" t="str">
        <v>447</v>
      </c>
      <c r="F565" t="str">
        <v>Boxing</v>
      </c>
      <c r="G565" t="str">
        <v>Strain</v>
      </c>
      <c r="H565" t="str">
        <v>Rt - Shoulder</v>
      </c>
      <c r="I565" t="str">
        <v>FA</v>
      </c>
      <c r="J565" t="str">
        <v>No</v>
      </c>
      <c r="K565">
        <v>2025</v>
      </c>
      <c r="L565" t="str">
        <v>January</v>
      </c>
      <c r="X565">
        <v>0</v>
      </c>
    </row>
    <row r="566" spans="1:24" x14ac:dyDescent="0.2">
      <c r="A566" t="str">
        <v>Juan Lugardo</v>
      </c>
      <c r="B566">
        <v>45678</v>
      </c>
      <c r="C566" t="str">
        <v>Froy Rios</v>
      </c>
      <c r="D566" t="str">
        <v>Harvest</v>
      </c>
      <c r="E566" t="str">
        <v>103</v>
      </c>
      <c r="F566" t="str">
        <v>Sharpener</v>
      </c>
      <c r="G566" t="str">
        <v xml:space="preserve">Vibration </v>
      </c>
      <c r="H566" t="str">
        <v>Rt - Shoulder</v>
      </c>
      <c r="I566" t="str">
        <v>FA</v>
      </c>
      <c r="J566" t="str">
        <v>No</v>
      </c>
      <c r="K566">
        <v>2025</v>
      </c>
      <c r="L566" t="str">
        <v>January</v>
      </c>
      <c r="X566">
        <v>0</v>
      </c>
    </row>
    <row r="567" spans="1:24" x14ac:dyDescent="0.2">
      <c r="A567" t="str">
        <v>Antonio Gomez</v>
      </c>
      <c r="B567">
        <v>45674</v>
      </c>
      <c r="C567" t="str">
        <v>Francisco Tapia</v>
      </c>
      <c r="D567" t="str">
        <v>Fabrication</v>
      </c>
      <c r="E567" t="str">
        <v>Loading Dock</v>
      </c>
      <c r="F567" t="str">
        <v>Lead</v>
      </c>
      <c r="G567" t="str">
        <v>Sprain</v>
      </c>
      <c r="H567" t="str">
        <v>LT - Ankle</v>
      </c>
      <c r="I567" t="str">
        <v>FA</v>
      </c>
      <c r="J567" t="str">
        <v>No</v>
      </c>
      <c r="K567">
        <v>2025</v>
      </c>
      <c r="L567" t="str">
        <v>January</v>
      </c>
      <c r="X567">
        <v>0</v>
      </c>
    </row>
    <row r="568" spans="1:24" x14ac:dyDescent="0.2">
      <c r="A568" t="str">
        <v>Jonathan Campas</v>
      </c>
      <c r="B568">
        <v>45673</v>
      </c>
      <c r="C568" t="str">
        <v>Ray Mascorro</v>
      </c>
      <c r="D568" t="str">
        <v>Harvest</v>
      </c>
      <c r="E568" t="str">
        <v>107</v>
      </c>
      <c r="F568" t="str">
        <v>Cheeker</v>
      </c>
      <c r="G568" t="str">
        <v>Sprain</v>
      </c>
      <c r="H568" t="str">
        <v>LT - Middle Finger</v>
      </c>
      <c r="I568" t="str">
        <v>FA</v>
      </c>
      <c r="J568" t="str">
        <v>No</v>
      </c>
      <c r="K568">
        <v>2025</v>
      </c>
      <c r="L568" t="str">
        <v>January</v>
      </c>
      <c r="X568">
        <v>0</v>
      </c>
    </row>
    <row r="569" spans="1:24" x14ac:dyDescent="0.2">
      <c r="A569" t="str">
        <v>Raul Reyes</v>
      </c>
      <c r="B569">
        <v>45673</v>
      </c>
      <c r="C569" t="str">
        <v>Jarrod Villareal</v>
      </c>
      <c r="D569" t="str">
        <v>Fabrication</v>
      </c>
      <c r="E569" t="str">
        <v>429</v>
      </c>
      <c r="F569" t="str">
        <v>Clean Up</v>
      </c>
      <c r="G569" t="str">
        <v>Puncture</v>
      </c>
      <c r="H569" t="str">
        <v>LT - Middle Finger</v>
      </c>
      <c r="I569" t="str">
        <v>FA</v>
      </c>
      <c r="J569" t="str">
        <v>No</v>
      </c>
      <c r="K569">
        <v>2025</v>
      </c>
      <c r="L569" t="str">
        <v>January</v>
      </c>
      <c r="X569">
        <v>0</v>
      </c>
    </row>
    <row r="570" spans="1:24" x14ac:dyDescent="0.2">
      <c r="A570" t="str">
        <v>Jose Luis Ramirez</v>
      </c>
      <c r="B570">
        <v>45673</v>
      </c>
      <c r="C570" t="str">
        <v>Rutilio Rodriguez</v>
      </c>
      <c r="D570" t="str">
        <v>Harvest</v>
      </c>
      <c r="E570" t="str">
        <v>106</v>
      </c>
      <c r="F570" t="str">
        <v>Lugger</v>
      </c>
      <c r="G570" t="str">
        <v>Struck-by Against Object</v>
      </c>
      <c r="H570" t="str">
        <v>RT - Hand</v>
      </c>
      <c r="I570" t="str">
        <v>RECORDABLE</v>
      </c>
      <c r="J570" t="str">
        <v>Yes</v>
      </c>
      <c r="K570">
        <v>2025</v>
      </c>
      <c r="L570" t="str">
        <v>January</v>
      </c>
      <c r="X570">
        <v>0</v>
      </c>
    </row>
    <row r="571" spans="1:24" x14ac:dyDescent="0.2">
      <c r="A571" t="str">
        <v>Leobardo Avila</v>
      </c>
      <c r="B571">
        <v>45672</v>
      </c>
      <c r="C571" t="str">
        <v>Jarrod Villareal</v>
      </c>
      <c r="D571" t="str">
        <v>Fabrication</v>
      </c>
      <c r="E571" t="str">
        <v>429</v>
      </c>
      <c r="F571" t="str">
        <v>X-Ray</v>
      </c>
      <c r="G571" t="str">
        <v>Strain</v>
      </c>
      <c r="H571" t="str">
        <v xml:space="preserve">Rt - Wrist  </v>
      </c>
      <c r="I571" t="str">
        <v>FA</v>
      </c>
      <c r="J571" t="str">
        <v>No</v>
      </c>
      <c r="K571">
        <v>2025</v>
      </c>
      <c r="L571" t="str">
        <v>January</v>
      </c>
      <c r="X571">
        <v>0</v>
      </c>
    </row>
    <row r="572" spans="1:24" x14ac:dyDescent="0.2">
      <c r="A572" t="str">
        <v>Jose Lopez</v>
      </c>
      <c r="B572">
        <v>45671</v>
      </c>
      <c r="C572" t="str">
        <v>Richard Xiong</v>
      </c>
      <c r="D572" t="str">
        <v>Harvest</v>
      </c>
      <c r="E572" t="str">
        <v>101</v>
      </c>
      <c r="F572" t="str">
        <v>Air Knife</v>
      </c>
      <c r="G572" t="str">
        <v>Laceration</v>
      </c>
      <c r="H572" t="str">
        <v>LT - Middle Finger</v>
      </c>
      <c r="I572" t="str">
        <v>FA</v>
      </c>
      <c r="J572" t="str">
        <v>No</v>
      </c>
      <c r="K572">
        <v>2025</v>
      </c>
      <c r="L572" t="str">
        <v>January</v>
      </c>
      <c r="X572">
        <v>0</v>
      </c>
    </row>
    <row r="573" spans="1:24" x14ac:dyDescent="0.2">
      <c r="A573" t="str">
        <v>Luz Torres</v>
      </c>
      <c r="B573">
        <v>45667</v>
      </c>
      <c r="C573" t="str">
        <v>Juan Rodriguez</v>
      </c>
      <c r="D573" t="str">
        <v>Fabrication</v>
      </c>
      <c r="E573" t="str">
        <v>415</v>
      </c>
      <c r="F573" t="str">
        <v xml:space="preserve">Wiz. Op. </v>
      </c>
      <c r="G573" t="str">
        <v>Struck-by equipment</v>
      </c>
      <c r="H573" t="str">
        <v>LT/ Rt Hands/ Index Fingers</v>
      </c>
      <c r="I573" t="str">
        <v>FA</v>
      </c>
      <c r="J573" t="str">
        <v>No</v>
      </c>
      <c r="K573">
        <v>2025</v>
      </c>
      <c r="L573" t="str">
        <v>January</v>
      </c>
      <c r="X573">
        <v>0</v>
      </c>
    </row>
    <row r="574" spans="1:24" x14ac:dyDescent="0.2">
      <c r="A574" t="str">
        <v>Fernando Robles</v>
      </c>
      <c r="B574">
        <v>45666</v>
      </c>
      <c r="C574" t="str">
        <v>Spencer H</v>
      </c>
      <c r="D574" t="str">
        <v>Fabrication</v>
      </c>
      <c r="E574" t="str">
        <v>FSQA</v>
      </c>
      <c r="F574" t="str">
        <v>QA</v>
      </c>
      <c r="G574" t="str">
        <v>Strain</v>
      </c>
      <c r="H574" t="str">
        <v xml:space="preserve">Rt - Ankle </v>
      </c>
      <c r="I574" t="str">
        <v>RPO</v>
      </c>
      <c r="J574" t="str">
        <v>No</v>
      </c>
      <c r="K574">
        <v>2025</v>
      </c>
      <c r="L574" t="str">
        <v>January</v>
      </c>
      <c r="X574">
        <v>0</v>
      </c>
    </row>
    <row r="575" spans="1:24" x14ac:dyDescent="0.2">
      <c r="A575" t="str">
        <v>Marcos Marroquin</v>
      </c>
      <c r="B575">
        <v>45666</v>
      </c>
      <c r="C575" t="str">
        <v>Francisco Tapia</v>
      </c>
      <c r="D575" t="str">
        <v>Fabrication</v>
      </c>
      <c r="E575" t="str">
        <v>Loading Dock</v>
      </c>
      <c r="F575" t="str">
        <v>Scanner</v>
      </c>
      <c r="G575" t="str">
        <v>NA</v>
      </c>
      <c r="H575" t="str">
        <v>Rt - Thumb/ Nail</v>
      </c>
      <c r="I575" t="str">
        <v>RPO</v>
      </c>
      <c r="J575" t="str">
        <v>No</v>
      </c>
      <c r="K575">
        <v>2025</v>
      </c>
      <c r="L575" t="str">
        <v>January</v>
      </c>
      <c r="X575">
        <v>0</v>
      </c>
    </row>
    <row r="576" spans="1:24" x14ac:dyDescent="0.2">
      <c r="A576" t="str">
        <v>Alejandro Calvillo</v>
      </c>
      <c r="B576">
        <v>45665</v>
      </c>
      <c r="C576" t="str">
        <v>Ovidio Sanchez</v>
      </c>
      <c r="D576" t="str">
        <v>Fabrication</v>
      </c>
      <c r="E576" t="str">
        <v>400</v>
      </c>
      <c r="F576" t="str">
        <v>Brisket Puller</v>
      </c>
      <c r="G576" t="str">
        <v>Sprain</v>
      </c>
      <c r="H576" t="str">
        <v>Rt - Wrist &amp; Thumb</v>
      </c>
      <c r="I576" t="str">
        <v>FA</v>
      </c>
      <c r="J576" t="str">
        <v>No</v>
      </c>
      <c r="K576">
        <v>2025</v>
      </c>
      <c r="L576" t="str">
        <v>January</v>
      </c>
      <c r="X576">
        <v>0</v>
      </c>
    </row>
    <row r="577" spans="1:24" x14ac:dyDescent="0.2">
      <c r="A577" t="str">
        <v>Pascuala Rodriguez</v>
      </c>
      <c r="B577">
        <v>45665</v>
      </c>
      <c r="C577" t="str">
        <v>Jarrod Villareal</v>
      </c>
      <c r="D577" t="str">
        <v>Fabrication</v>
      </c>
      <c r="E577" t="str">
        <v>429</v>
      </c>
      <c r="F577" t="str">
        <v>Trimmer</v>
      </c>
      <c r="G577" t="str">
        <v>Sprain</v>
      </c>
      <c r="H577" t="str">
        <v>Rt - Shoulder</v>
      </c>
      <c r="I577" t="str">
        <v>FA</v>
      </c>
      <c r="J577" t="str">
        <v>No</v>
      </c>
      <c r="K577">
        <v>2025</v>
      </c>
      <c r="L577" t="str">
        <v>January</v>
      </c>
      <c r="X577">
        <v>0</v>
      </c>
    </row>
    <row r="578" spans="1:24" x14ac:dyDescent="0.2">
      <c r="A578" t="str">
        <v xml:space="preserve">Dulce Monjardin  </v>
      </c>
      <c r="B578">
        <v>45665</v>
      </c>
      <c r="C578" t="str">
        <v>Michael Orozco</v>
      </c>
      <c r="D578" t="str">
        <v>Harvest</v>
      </c>
      <c r="E578" t="str">
        <v>102</v>
      </c>
      <c r="F578" t="str">
        <v>CIS Operator</v>
      </c>
      <c r="G578" t="str">
        <v>Strain</v>
      </c>
      <c r="H578" t="str">
        <v xml:space="preserve">Abdomon </v>
      </c>
      <c r="I578" t="str">
        <v>FA</v>
      </c>
      <c r="J578" t="str">
        <v>No</v>
      </c>
      <c r="K578">
        <v>2025</v>
      </c>
      <c r="L578" t="str">
        <v>January</v>
      </c>
      <c r="X578">
        <v>0</v>
      </c>
    </row>
    <row r="579" spans="1:24" x14ac:dyDescent="0.2">
      <c r="A579" t="str">
        <v>Jesus Avila</v>
      </c>
      <c r="B579">
        <v>45664</v>
      </c>
      <c r="C579" t="str">
        <v>Michael Orozco</v>
      </c>
      <c r="D579" t="str">
        <v>Harvest</v>
      </c>
      <c r="E579" t="str">
        <v>102</v>
      </c>
      <c r="F579" t="str">
        <v>Knock Hole</v>
      </c>
      <c r="G579" t="str">
        <v xml:space="preserve">Burn </v>
      </c>
      <c r="H579" t="str">
        <v xml:space="preserve">LT - Eye/ Face/ Arm, Shoulder. </v>
      </c>
      <c r="I579" t="str">
        <v>FA</v>
      </c>
      <c r="J579" t="str">
        <v>No</v>
      </c>
      <c r="K579">
        <v>2025</v>
      </c>
      <c r="L579" t="str">
        <v>January</v>
      </c>
      <c r="X579">
        <v>0</v>
      </c>
    </row>
    <row r="580" spans="1:24" x14ac:dyDescent="0.2">
      <c r="A580" t="str">
        <v xml:space="preserve">Manuel Flores </v>
      </c>
      <c r="B580">
        <v>45664</v>
      </c>
      <c r="C580" t="str">
        <v>Ovidio Sanchez</v>
      </c>
      <c r="D580" t="str">
        <v>Fabrication</v>
      </c>
      <c r="E580" t="str">
        <v>400</v>
      </c>
      <c r="F580" t="str">
        <v>Knuckle Puller</v>
      </c>
      <c r="G580" t="str">
        <v>Strain</v>
      </c>
      <c r="H580" t="str">
        <v>Rt - Wrist &amp; Thumb</v>
      </c>
      <c r="I580" t="str">
        <v>FA</v>
      </c>
      <c r="J580" t="str">
        <v>No</v>
      </c>
      <c r="K580">
        <v>2025</v>
      </c>
      <c r="L580" t="str">
        <v>January</v>
      </c>
      <c r="X580">
        <v>0</v>
      </c>
    </row>
    <row r="581" spans="1:24" x14ac:dyDescent="0.2">
      <c r="A581" t="str">
        <v>Kenneth Rayburn</v>
      </c>
      <c r="B581">
        <v>45660</v>
      </c>
      <c r="C581" t="str">
        <v>Ovidio Sanchez</v>
      </c>
      <c r="D581" t="str">
        <v>Fabrication</v>
      </c>
      <c r="E581" t="str">
        <v>400</v>
      </c>
      <c r="F581" t="str">
        <v>Wing Dropper</v>
      </c>
      <c r="G581" t="str">
        <v>Contact Stress</v>
      </c>
      <c r="H581" t="str">
        <v>LT - Index Finger</v>
      </c>
      <c r="I581" t="str">
        <v>FA</v>
      </c>
      <c r="J581" t="str">
        <v>No</v>
      </c>
      <c r="K581">
        <v>2025</v>
      </c>
      <c r="L581" t="str">
        <v>January</v>
      </c>
      <c r="X581">
        <v>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B8B7E-3D13-42EF-A97E-ADFDEF12E9E1}">
  <dimension ref="A1:R120"/>
  <sheetViews>
    <sheetView showGridLines="0" zoomScale="62" zoomScaleNormal="85" workbookViewId="0">
      <selection activeCell="A102" sqref="A102"/>
    </sheetView>
  </sheetViews>
  <sheetFormatPr defaultRowHeight="14.25" x14ac:dyDescent="0.2"/>
  <cols>
    <col min="1" max="1" width="30.625" customWidth="1"/>
    <col min="2" max="2" width="51.5" bestFit="1" customWidth="1"/>
    <col min="3" max="8" width="18.375" customWidth="1"/>
    <col min="9" max="9" width="23.375" customWidth="1"/>
    <col min="10" max="10" width="25" customWidth="1"/>
    <col min="11" max="11" width="18.375" customWidth="1"/>
    <col min="12" max="12" width="16.625" customWidth="1"/>
    <col min="13" max="13" width="20" customWidth="1"/>
    <col min="14" max="14" width="18.375" customWidth="1"/>
    <col min="15" max="15" width="21.625" customWidth="1"/>
    <col min="16" max="16" width="18.375" customWidth="1"/>
    <col min="17" max="18" width="15" customWidth="1"/>
  </cols>
  <sheetData>
    <row r="1" spans="1:18" ht="34.5" customHeight="1" x14ac:dyDescent="0.45">
      <c r="A1" s="36"/>
      <c r="B1" s="37"/>
      <c r="C1" s="37"/>
      <c r="D1" s="37"/>
      <c r="E1" s="37"/>
      <c r="F1" s="37"/>
      <c r="G1" s="37"/>
      <c r="H1" s="37"/>
      <c r="I1" s="37"/>
      <c r="J1" s="37"/>
      <c r="K1" s="37"/>
      <c r="L1" s="37"/>
      <c r="M1" s="37"/>
      <c r="N1" s="37"/>
      <c r="O1" s="38"/>
      <c r="P1" s="38"/>
      <c r="Q1" s="38"/>
      <c r="R1" s="38"/>
    </row>
    <row r="2" spans="1:18" ht="21.75" customHeight="1" x14ac:dyDescent="0.3">
      <c r="A2" s="39"/>
      <c r="B2" s="37"/>
      <c r="C2" s="37"/>
      <c r="D2" s="37"/>
      <c r="E2" s="37"/>
      <c r="F2" s="37"/>
      <c r="G2" s="37"/>
      <c r="H2" s="37"/>
      <c r="I2" s="37"/>
      <c r="J2" s="37"/>
      <c r="K2" s="37"/>
      <c r="L2" s="37"/>
      <c r="M2" s="37"/>
      <c r="N2" s="37"/>
      <c r="O2" s="38"/>
      <c r="P2" s="38"/>
      <c r="Q2" s="38"/>
      <c r="R2" s="38"/>
    </row>
    <row r="3" spans="1:18" s="93" customFormat="1" ht="3" customHeight="1" x14ac:dyDescent="0.3">
      <c r="A3" s="90"/>
      <c r="B3" s="91"/>
      <c r="C3" s="91"/>
      <c r="D3" s="91"/>
      <c r="E3" s="91"/>
      <c r="F3" s="91"/>
      <c r="G3" s="91"/>
      <c r="H3" s="91"/>
      <c r="I3" s="91"/>
      <c r="J3" s="91"/>
      <c r="K3" s="91"/>
      <c r="L3" s="91"/>
      <c r="M3" s="91"/>
      <c r="N3" s="91"/>
      <c r="O3" s="92"/>
      <c r="P3" s="92"/>
      <c r="Q3" s="92"/>
      <c r="R3" s="92"/>
    </row>
    <row r="4" spans="1:18" s="3" customFormat="1" ht="21.75" customHeight="1" x14ac:dyDescent="0.35">
      <c r="A4" s="83" t="str">
        <f ca="1">TEXT(Data!B2,"mmm dd, yyyy")&amp;" · Focus "&amp;Data!B3&amp;" · "&amp;Data!B17&amp;" · Sev "&amp;Data!B96</f>
        <v>Jul 27, 2026 · Focus 2026 · Medium Risk · Sev 43</v>
      </c>
      <c r="B4" s="94"/>
      <c r="C4" s="94"/>
      <c r="D4" s="94"/>
      <c r="E4" s="94"/>
      <c r="F4" s="94"/>
      <c r="G4" s="94"/>
      <c r="H4" s="94"/>
      <c r="I4" s="94"/>
      <c r="J4" s="94"/>
      <c r="K4" s="94"/>
      <c r="L4" s="94"/>
      <c r="M4" s="94"/>
      <c r="N4" s="94"/>
      <c r="O4" s="94"/>
      <c r="P4" s="94"/>
      <c r="Q4" s="95" t="s">
        <v>1231</v>
      </c>
      <c r="R4" s="96">
        <f>Data!B3</f>
        <v>2026</v>
      </c>
    </row>
    <row r="5" spans="1:18" ht="18" customHeight="1" x14ac:dyDescent="0.3">
      <c r="A5" s="41" t="s">
        <v>1183</v>
      </c>
      <c r="B5" s="40"/>
      <c r="C5" s="144" t="s">
        <v>1196</v>
      </c>
      <c r="D5" s="145"/>
      <c r="E5" s="145"/>
      <c r="F5" s="145"/>
      <c r="G5" s="40"/>
      <c r="H5" s="40"/>
      <c r="I5" s="40"/>
      <c r="J5" s="40"/>
      <c r="K5" s="40"/>
      <c r="L5" s="40"/>
      <c r="M5" s="40"/>
      <c r="N5" s="40"/>
      <c r="O5" s="126" t="s">
        <v>1182</v>
      </c>
      <c r="P5" s="127"/>
      <c r="Q5" s="126"/>
      <c r="R5" s="126"/>
    </row>
    <row r="6" spans="1:18" ht="36" customHeight="1" x14ac:dyDescent="0.6">
      <c r="A6" s="60">
        <f>Data!B11</f>
        <v>2.5454545454545455E-2</v>
      </c>
      <c r="B6" s="40"/>
      <c r="C6" s="146">
        <f ca="1">INT(Data!B12)</f>
        <v>26</v>
      </c>
      <c r="D6" s="147"/>
      <c r="E6" s="147"/>
      <c r="F6" s="147"/>
      <c r="G6" s="40"/>
      <c r="H6" s="40"/>
      <c r="I6" s="40"/>
      <c r="J6" s="40"/>
      <c r="K6" s="40"/>
      <c r="L6" s="40"/>
      <c r="M6" s="40"/>
      <c r="N6" s="40"/>
      <c r="O6" s="128" t="str">
        <f ca="1">Data!B17</f>
        <v>Medium Risk</v>
      </c>
      <c r="P6" s="129"/>
      <c r="Q6" s="129"/>
      <c r="R6" s="129"/>
    </row>
    <row r="7" spans="1:18" ht="15.95" customHeight="1" x14ac:dyDescent="0.3">
      <c r="A7" s="40"/>
      <c r="B7" s="40"/>
      <c r="C7" s="40"/>
      <c r="D7" s="40"/>
      <c r="E7" s="40"/>
      <c r="F7" s="40"/>
      <c r="G7" s="40"/>
      <c r="H7" s="40"/>
      <c r="I7" s="40"/>
      <c r="J7" s="40"/>
      <c r="K7" s="40"/>
      <c r="L7" s="40"/>
      <c r="M7" s="40"/>
      <c r="N7" s="40"/>
      <c r="O7" s="40"/>
      <c r="P7" s="40"/>
      <c r="Q7" s="40"/>
      <c r="R7" s="40"/>
    </row>
    <row r="8" spans="1:18" ht="5.0999999999999996" customHeight="1" x14ac:dyDescent="0.3">
      <c r="A8" s="61"/>
      <c r="B8" s="61"/>
      <c r="C8" s="62"/>
      <c r="D8" s="62"/>
      <c r="E8" s="63"/>
      <c r="F8" s="63"/>
      <c r="G8" s="64"/>
      <c r="H8" s="64"/>
      <c r="I8" s="65"/>
      <c r="J8" s="65"/>
      <c r="K8" s="66"/>
      <c r="L8" s="66"/>
      <c r="M8" s="67"/>
      <c r="N8" s="67"/>
      <c r="O8" s="68"/>
      <c r="P8" s="68"/>
      <c r="Q8" s="40"/>
      <c r="R8" s="40"/>
    </row>
    <row r="9" spans="1:18" ht="20.100000000000001" customHeight="1" x14ac:dyDescent="0.3">
      <c r="A9" s="130" t="s">
        <v>1184</v>
      </c>
      <c r="B9" s="136"/>
      <c r="C9" s="130" t="s">
        <v>76</v>
      </c>
      <c r="D9" s="136"/>
      <c r="E9" s="130" t="s">
        <v>1185</v>
      </c>
      <c r="F9" s="136"/>
      <c r="G9" s="130" t="s">
        <v>1186</v>
      </c>
      <c r="H9" s="136"/>
      <c r="I9" s="130" t="s">
        <v>1187</v>
      </c>
      <c r="J9" s="136"/>
      <c r="K9" s="130" t="s">
        <v>1188</v>
      </c>
      <c r="L9" s="136"/>
      <c r="M9" s="130" t="s">
        <v>1189</v>
      </c>
      <c r="N9" s="136"/>
      <c r="O9" s="130" t="s">
        <v>1190</v>
      </c>
      <c r="P9" s="131"/>
      <c r="Q9" s="40"/>
      <c r="R9" s="40"/>
    </row>
    <row r="10" spans="1:18" ht="24" customHeight="1" x14ac:dyDescent="0.3">
      <c r="A10" s="121">
        <f>Data!B7</f>
        <v>275</v>
      </c>
      <c r="B10" s="122"/>
      <c r="C10" s="121">
        <f>Data!B8</f>
        <v>7</v>
      </c>
      <c r="D10" s="122"/>
      <c r="E10" s="121">
        <f>Data!B9</f>
        <v>228</v>
      </c>
      <c r="F10" s="122"/>
      <c r="G10" s="121">
        <f>Data!B10</f>
        <v>40</v>
      </c>
      <c r="H10" s="122"/>
      <c r="I10" s="137">
        <f>Data!B11</f>
        <v>2.5454545454545455E-2</v>
      </c>
      <c r="J10" s="138"/>
      <c r="K10" s="140">
        <f ca="1">INT(Data!B12)</f>
        <v>26</v>
      </c>
      <c r="L10" s="141"/>
      <c r="M10" s="132" t="str">
        <f>Data!B13</f>
        <v>Strain</v>
      </c>
      <c r="N10" s="148"/>
      <c r="O10" s="132" t="str">
        <f>Data!B14</f>
        <v>Fabrication</v>
      </c>
      <c r="P10" s="133"/>
      <c r="Q10" s="40"/>
      <c r="R10" s="40"/>
    </row>
    <row r="11" spans="1:18" ht="24" customHeight="1" x14ac:dyDescent="0.3">
      <c r="A11" s="123"/>
      <c r="B11" s="122"/>
      <c r="C11" s="123"/>
      <c r="D11" s="122"/>
      <c r="E11" s="123"/>
      <c r="F11" s="122"/>
      <c r="G11" s="123"/>
      <c r="H11" s="122"/>
      <c r="I11" s="139"/>
      <c r="J11" s="138"/>
      <c r="K11" s="142"/>
      <c r="L11" s="141"/>
      <c r="M11" s="134"/>
      <c r="N11" s="148"/>
      <c r="O11" s="134"/>
      <c r="P11" s="133"/>
      <c r="Q11" s="40"/>
      <c r="R11" s="40"/>
    </row>
    <row r="12" spans="1:18" ht="36" customHeight="1" x14ac:dyDescent="0.3">
      <c r="A12" s="124" t="str">
        <f>Data!B87</f>
        <v>▲ +95% vs YTD</v>
      </c>
      <c r="B12" s="125"/>
      <c r="C12" s="124" t="str">
        <f>Data!B88</f>
        <v>● +0 vs YTD</v>
      </c>
      <c r="D12" s="125"/>
      <c r="E12" s="124" t="str">
        <f>Data!B89</f>
        <v>83% of YTD</v>
      </c>
      <c r="F12" s="125"/>
      <c r="G12" s="124" t="str">
        <f>Data!B90</f>
        <v>15% of YTD</v>
      </c>
      <c r="H12" s="125"/>
      <c r="I12" s="124" t="str">
        <f>Data!B91</f>
        <v>▼ -2.4%</v>
      </c>
      <c r="J12" s="125"/>
      <c r="K12" s="124" t="str">
        <f>Data!B92</f>
        <v>7/1 · 30+ goal</v>
      </c>
      <c r="L12" s="125"/>
      <c r="M12" s="124" t="str">
        <f>Data!B93</f>
        <v>97 cases</v>
      </c>
      <c r="N12" s="125"/>
      <c r="O12" s="124" t="str">
        <f>Data!B94</f>
        <v>48% share</v>
      </c>
      <c r="P12" s="135"/>
      <c r="Q12" s="40"/>
      <c r="R12" s="40"/>
    </row>
    <row r="13" spans="1:18" ht="8.1" customHeight="1" x14ac:dyDescent="0.3">
      <c r="A13" s="40"/>
      <c r="B13" s="40"/>
      <c r="C13" s="40"/>
      <c r="D13" s="40"/>
      <c r="E13" s="40"/>
      <c r="F13" s="40"/>
      <c r="G13" s="40"/>
      <c r="H13" s="40"/>
      <c r="I13" s="40"/>
      <c r="J13" s="40"/>
      <c r="K13" s="40"/>
      <c r="L13" s="40"/>
      <c r="M13" s="40"/>
      <c r="N13" s="40"/>
      <c r="O13" s="40"/>
      <c r="P13" s="40"/>
      <c r="Q13" s="40"/>
      <c r="R13" s="40"/>
    </row>
    <row r="14" spans="1:18" ht="15" customHeight="1" x14ac:dyDescent="0.3">
      <c r="A14" s="69" t="s">
        <v>1057</v>
      </c>
      <c r="B14" s="69"/>
      <c r="C14" s="69"/>
      <c r="D14" s="69"/>
      <c r="E14" s="69"/>
      <c r="F14" s="69"/>
      <c r="G14" s="69"/>
      <c r="H14" s="69"/>
      <c r="I14" s="70" t="s">
        <v>1203</v>
      </c>
      <c r="J14" s="69"/>
      <c r="K14" s="69"/>
      <c r="L14" s="69"/>
      <c r="M14" s="40"/>
      <c r="N14" s="40"/>
      <c r="O14" s="40"/>
      <c r="P14" s="40"/>
      <c r="Q14" s="40"/>
      <c r="R14" s="40"/>
    </row>
    <row r="15" spans="1:18" ht="24" customHeight="1" x14ac:dyDescent="0.3">
      <c r="A15" s="42" t="str">
        <f>Data!B63&amp;": "&amp;Data!B64&amp;" inc ("&amp;Data!B84&amp;" "&amp;TEXT(Data!B66,"+0;-0")&amp;" MoM)"</f>
        <v>July: 43 inc (▼ -13 MoM)</v>
      </c>
      <c r="B15" s="43"/>
      <c r="C15" s="44"/>
      <c r="D15" s="44"/>
      <c r="E15" s="44"/>
      <c r="F15" s="44"/>
      <c r="G15" s="44"/>
      <c r="H15" s="44"/>
      <c r="I15" s="45" t="s">
        <v>1044</v>
      </c>
      <c r="J15" s="45" t="s">
        <v>1192</v>
      </c>
      <c r="K15" s="45" t="s">
        <v>1193</v>
      </c>
      <c r="L15" s="45" t="s">
        <v>1232</v>
      </c>
      <c r="M15" s="40"/>
      <c r="N15" s="40"/>
      <c r="O15" s="40"/>
      <c r="P15" s="40"/>
      <c r="Q15" s="40"/>
      <c r="R15" s="40"/>
    </row>
    <row r="16" spans="1:18" ht="24" customHeight="1" x14ac:dyDescent="0.3">
      <c r="A16" s="42" t="str">
        <f>Data!B14&amp;" leads ("&amp;TEXT(Data!B67,"0%")&amp;")"</f>
        <v>Fabrication leads (48%)</v>
      </c>
      <c r="B16" s="43"/>
      <c r="C16" s="44"/>
      <c r="D16" s="44"/>
      <c r="E16" s="44"/>
      <c r="F16" s="44"/>
      <c r="G16" s="44"/>
      <c r="H16" s="44"/>
      <c r="I16" s="47" t="s">
        <v>1055</v>
      </c>
      <c r="J16" s="73">
        <f>Data!B7</f>
        <v>275</v>
      </c>
      <c r="K16" s="73">
        <f>Data!D7</f>
        <v>141</v>
      </c>
      <c r="L16" s="75" t="str">
        <f>Data!B101</f>
        <v>▲ +134</v>
      </c>
      <c r="M16" s="40"/>
      <c r="N16" s="40"/>
      <c r="O16" s="40"/>
      <c r="P16" s="40"/>
      <c r="Q16" s="40"/>
      <c r="R16" s="40"/>
    </row>
    <row r="17" spans="1:18" ht="24" customHeight="1" x14ac:dyDescent="0.3">
      <c r="A17" s="42" t="str">
        <f>Data!B13&amp;" #1 injury ("&amp;INDEX(_xlfn.ANCHORARRAY(Data!$G$65),1,2)&amp;")"</f>
        <v>Strain #1 injury (97)</v>
      </c>
      <c r="B17" s="43"/>
      <c r="C17" s="44"/>
      <c r="D17" s="44"/>
      <c r="E17" s="44"/>
      <c r="F17" s="44"/>
      <c r="G17" s="44"/>
      <c r="H17" s="44"/>
      <c r="I17" s="47" t="s">
        <v>1054</v>
      </c>
      <c r="J17" s="73">
        <f>Data!B8</f>
        <v>7</v>
      </c>
      <c r="K17" s="73">
        <f>Data!D8</f>
        <v>7</v>
      </c>
      <c r="L17" s="75" t="str">
        <f>Data!B102</f>
        <v>● 0</v>
      </c>
      <c r="M17" s="40"/>
      <c r="N17" s="40"/>
      <c r="O17" s="40"/>
      <c r="P17" s="40"/>
      <c r="Q17" s="40"/>
      <c r="R17" s="40"/>
    </row>
    <row r="18" spans="1:18" ht="24" customHeight="1" x14ac:dyDescent="0.3">
      <c r="A18" s="42" t="str">
        <f>"Rec "&amp;Data!B8&amp;" vs "&amp;Data!D8&amp;" · rate "&amp;TEXT(Data!B11,"0.0%")</f>
        <v>Rec 7 vs 7 · rate 2.5%</v>
      </c>
      <c r="B18" s="43"/>
      <c r="C18" s="44"/>
      <c r="D18" s="44"/>
      <c r="E18" s="44"/>
      <c r="F18" s="44"/>
      <c r="G18" s="44"/>
      <c r="H18" s="44"/>
      <c r="I18" s="47" t="s">
        <v>1194</v>
      </c>
      <c r="J18" s="73">
        <f>Data!B9</f>
        <v>228</v>
      </c>
      <c r="K18" s="73">
        <f>Data!D9</f>
        <v>104</v>
      </c>
      <c r="L18" s="75" t="str">
        <f>Data!B103</f>
        <v>▲ +124</v>
      </c>
      <c r="M18" s="40"/>
      <c r="N18" s="40"/>
      <c r="O18" s="40"/>
      <c r="P18" s="40"/>
      <c r="Q18" s="40"/>
      <c r="R18" s="40"/>
    </row>
    <row r="19" spans="1:18" ht="24" customHeight="1" x14ac:dyDescent="0.3">
      <c r="A19" s="42" t="str">
        <f>"YTD "&amp;Data!B7&amp;" vs "&amp;Data!D7&amp;" ("&amp;TEXT(Data!B68,"+0%;-0%")&amp;")"</f>
        <v>YTD 275 vs 141 (+95%)</v>
      </c>
      <c r="B19" s="43"/>
      <c r="C19" s="44"/>
      <c r="D19" s="44"/>
      <c r="E19" s="44"/>
      <c r="F19" s="44"/>
      <c r="G19" s="44"/>
      <c r="H19" s="44"/>
      <c r="I19" s="47" t="s">
        <v>278</v>
      </c>
      <c r="J19" s="73">
        <f>Data!B10</f>
        <v>40</v>
      </c>
      <c r="K19" s="73">
        <f>Data!D10</f>
        <v>30</v>
      </c>
      <c r="L19" s="75" t="str">
        <f>Data!B104</f>
        <v>▲ +10</v>
      </c>
      <c r="M19" s="40"/>
      <c r="N19" s="40"/>
      <c r="O19" s="40"/>
      <c r="P19" s="40"/>
      <c r="Q19" s="40"/>
      <c r="R19" s="40"/>
    </row>
    <row r="20" spans="1:18" ht="27.95" customHeight="1" x14ac:dyDescent="0.3">
      <c r="A20" s="72" t="str">
        <f ca="1">"ACTION: "&amp;Data!B110</f>
        <v>ACTION: Focus ergo &amp; coaching in Fabrication; reduce Strain exposures.</v>
      </c>
      <c r="B20" s="71"/>
      <c r="C20" s="71"/>
      <c r="D20" s="71"/>
      <c r="E20" s="71"/>
      <c r="F20" s="71"/>
      <c r="G20" s="71"/>
      <c r="H20" s="71"/>
      <c r="I20" s="47" t="s">
        <v>1195</v>
      </c>
      <c r="J20" s="74">
        <f>Data!B11</f>
        <v>2.5454545454545455E-2</v>
      </c>
      <c r="K20" s="74">
        <f>Data!D11</f>
        <v>4.9645390070921988E-2</v>
      </c>
      <c r="L20" s="76" t="str">
        <f>Data!B105</f>
        <v>▼ -2.4%</v>
      </c>
      <c r="M20" s="40"/>
      <c r="N20" s="40"/>
      <c r="O20" s="40"/>
      <c r="P20" s="40"/>
      <c r="Q20" s="40"/>
      <c r="R20" s="40"/>
    </row>
    <row r="21" spans="1:18" ht="16.5" x14ac:dyDescent="0.3">
      <c r="A21" s="69" t="s">
        <v>1260</v>
      </c>
      <c r="B21" s="69"/>
      <c r="C21" s="69"/>
      <c r="D21" s="69"/>
      <c r="E21" s="69"/>
      <c r="F21" s="69"/>
      <c r="G21" s="69"/>
      <c r="H21" s="69"/>
      <c r="I21" s="40"/>
      <c r="J21" s="40"/>
      <c r="K21" s="40"/>
      <c r="L21" s="40"/>
      <c r="M21" s="40"/>
      <c r="N21" s="40"/>
      <c r="O21" s="40"/>
      <c r="P21" s="40"/>
      <c r="Q21" s="40"/>
      <c r="R21" s="40"/>
    </row>
    <row r="22" spans="1:18" ht="16.5" x14ac:dyDescent="0.3">
      <c r="A22" s="46" t="s">
        <v>1197</v>
      </c>
      <c r="B22" s="42" t="str">
        <f>INDEX(_xlfn.ANCHORARRAY(Data!$D$65),1,1)&amp;" "&amp;INDEX(_xlfn.ANCHORARRAY(Data!$D$65),1,2)</f>
        <v>Fabrication 132</v>
      </c>
      <c r="C22" s="47" t="str">
        <f>INDEX(_xlfn.ANCHORARRAY(Data!$D$65),2,1)&amp;" "&amp;INDEX(_xlfn.ANCHORARRAY(Data!$D$65),2,2)</f>
        <v>Harvest 106</v>
      </c>
      <c r="D22" s="47" t="str">
        <f>INDEX(_xlfn.ANCHORARRAY(Data!$D$65),3,1)&amp;" "&amp;INDEX(_xlfn.ANCHORARRAY(Data!$D$65),3,2)</f>
        <v>Maintenance 10</v>
      </c>
      <c r="E22" s="44"/>
      <c r="F22" s="44"/>
      <c r="G22" s="44"/>
      <c r="H22" s="44"/>
      <c r="I22" s="70" t="s">
        <v>1204</v>
      </c>
      <c r="J22" s="69"/>
      <c r="K22" s="69"/>
      <c r="L22" s="69"/>
      <c r="M22" s="40"/>
      <c r="N22" s="40"/>
      <c r="O22" s="40"/>
      <c r="P22" s="40"/>
      <c r="Q22" s="40"/>
      <c r="R22" s="40"/>
    </row>
    <row r="23" spans="1:18" ht="16.5" x14ac:dyDescent="0.3">
      <c r="A23" s="48" t="s">
        <v>1198</v>
      </c>
      <c r="B23" s="42" t="str">
        <f>INDEX(_xlfn.ANCHORARRAY(Data!$J$65),1,1)&amp;" "&amp;INDEX(_xlfn.ANCHORARRAY(Data!$J$65),1,2)</f>
        <v>102 32</v>
      </c>
      <c r="C23" s="47" t="str">
        <f>INDEX(_xlfn.ANCHORARRAY(Data!$J$65),2,1)&amp;" "&amp;INDEX(_xlfn.ANCHORARRAY(Data!$J$65),2,2)</f>
        <v>410 23</v>
      </c>
      <c r="D23" s="47" t="str">
        <f>INDEX(_xlfn.ANCHORARRAY(Data!$J$65),3,1)&amp;" "&amp;INDEX(_xlfn.ANCHORARRAY(Data!$J$65),3,2)</f>
        <v>420 22</v>
      </c>
      <c r="E23" s="44"/>
      <c r="F23" s="44"/>
      <c r="G23" s="44"/>
      <c r="H23" s="44"/>
      <c r="I23" s="45" t="s">
        <v>1146</v>
      </c>
      <c r="J23" s="45" t="s">
        <v>2</v>
      </c>
      <c r="K23" s="45" t="s">
        <v>1053</v>
      </c>
      <c r="L23" s="45" t="s">
        <v>1103</v>
      </c>
      <c r="M23" s="40"/>
      <c r="N23" s="40"/>
      <c r="O23" s="40"/>
      <c r="P23" s="40"/>
      <c r="Q23" s="40"/>
      <c r="R23" s="40"/>
    </row>
    <row r="24" spans="1:18" ht="16.5" x14ac:dyDescent="0.3">
      <c r="A24" s="49" t="s">
        <v>1199</v>
      </c>
      <c r="B24" s="42" t="str">
        <f>INDEX(_xlfn.ANCHORARRAY(Data!$M$65),1,1)&amp;" "&amp;INDEX(_xlfn.ANCHORARRAY(Data!$M$65),1,2)</f>
        <v>Samuel Sierra 24</v>
      </c>
      <c r="C24" s="47" t="str">
        <f>INDEX(_xlfn.ANCHORARRAY(Data!$M$65),2,1)&amp;" "&amp;INDEX(_xlfn.ANCHORARRAY(Data!$M$65),2,2)</f>
        <v>Elizabeth Neufeld 23</v>
      </c>
      <c r="D24" s="47" t="str">
        <f>INDEX(_xlfn.ANCHORARRAY(Data!$M$65),3,1)&amp;" "&amp;INDEX(_xlfn.ANCHORARRAY(Data!$M$65),3,2)</f>
        <v>Juan Ramirez 21</v>
      </c>
      <c r="E24" s="44"/>
      <c r="F24" s="44"/>
      <c r="G24" s="44"/>
      <c r="H24" s="44"/>
      <c r="I24" s="50">
        <v>1</v>
      </c>
      <c r="J24" s="51" t="str">
        <f>IFERROR(INDEX(_xlfn.ANCHORARRAY(Data!$M$65),1,1),"")</f>
        <v>Samuel Sierra</v>
      </c>
      <c r="K24" s="52">
        <f>IFERROR(INDEX(_xlfn.ANCHORARRAY(Data!$M$65),1,2),0)</f>
        <v>24</v>
      </c>
      <c r="L24" s="52">
        <f>IFERROR(VLOOKUP(J24,Data!$Q$8:$S$17,3,FALSE),0)</f>
        <v>1</v>
      </c>
      <c r="M24" s="40"/>
      <c r="N24" s="40"/>
      <c r="O24" s="40"/>
      <c r="P24" s="40"/>
      <c r="Q24" s="40"/>
      <c r="R24" s="40"/>
    </row>
    <row r="25" spans="1:18" ht="16.5" x14ac:dyDescent="0.3">
      <c r="A25" s="80" t="s">
        <v>1069</v>
      </c>
      <c r="B25" s="81" t="str">
        <f>Data!B107</f>
        <v>██████████░░░░░░░░░░</v>
      </c>
      <c r="C25" s="80" t="str">
        <f>TEXT(Data!B67,"0.0%")&amp;" top dept"</f>
        <v>48.0% top dept</v>
      </c>
      <c r="D25" s="44"/>
      <c r="E25" s="44"/>
      <c r="F25" s="44"/>
      <c r="G25" s="44"/>
      <c r="H25" s="44"/>
      <c r="I25" s="53">
        <v>2</v>
      </c>
      <c r="J25" s="40" t="str">
        <f>IFERROR(INDEX(_xlfn.ANCHORARRAY(Data!$M$65),2,1),"")</f>
        <v>Elizabeth Neufeld</v>
      </c>
      <c r="K25" s="54">
        <f>IFERROR(INDEX(_xlfn.ANCHORARRAY(Data!$M$65),2,2),0)</f>
        <v>23</v>
      </c>
      <c r="L25" s="54">
        <f>IFERROR(VLOOKUP(J25,Data!$Q$8:$S$17,3,FALSE),0)</f>
        <v>0</v>
      </c>
      <c r="M25" s="40"/>
      <c r="N25" s="40"/>
      <c r="O25" s="40"/>
      <c r="P25" s="40"/>
      <c r="Q25" s="40"/>
      <c r="R25" s="40"/>
    </row>
    <row r="26" spans="1:18" ht="16.5" x14ac:dyDescent="0.3">
      <c r="A26" s="143" t="s">
        <v>1200</v>
      </c>
      <c r="B26" s="143"/>
      <c r="C26" s="55" t="s">
        <v>1202</v>
      </c>
      <c r="D26" s="40"/>
      <c r="E26" s="40"/>
      <c r="F26" s="40"/>
      <c r="G26" s="40"/>
      <c r="H26" s="40"/>
      <c r="I26" s="56">
        <v>3</v>
      </c>
      <c r="J26" s="44" t="str">
        <f>IFERROR(INDEX(_xlfn.ANCHORARRAY(Data!$M$65),3,1),"")</f>
        <v>Juan Ramirez</v>
      </c>
      <c r="K26" s="57">
        <f>IFERROR(INDEX(_xlfn.ANCHORARRAY(Data!$M$65),3,2),0)</f>
        <v>21</v>
      </c>
      <c r="L26" s="57">
        <f>IFERROR(VLOOKUP(J26,Data!$Q$8:$S$17,3,FALSE),0)</f>
        <v>0</v>
      </c>
      <c r="M26" s="40"/>
      <c r="N26" s="40"/>
      <c r="O26" s="40"/>
      <c r="P26" s="40"/>
      <c r="Q26" s="40"/>
      <c r="R26" s="40"/>
    </row>
    <row r="27" spans="1:18" ht="16.5" x14ac:dyDescent="0.3">
      <c r="A27" s="58" t="s">
        <v>1201</v>
      </c>
      <c r="B27" s="58" t="s">
        <v>1102</v>
      </c>
      <c r="C27" s="40"/>
      <c r="D27" s="40"/>
      <c r="E27" s="40"/>
      <c r="F27" s="40"/>
      <c r="G27" s="40"/>
      <c r="H27" s="40"/>
      <c r="I27" s="53">
        <v>4</v>
      </c>
      <c r="J27" s="40" t="str">
        <f>IFERROR(INDEX(_xlfn.ANCHORARRAY(Data!$M$65),4,1),"")</f>
        <v>Ovidio Sanchez</v>
      </c>
      <c r="K27" s="54">
        <f>IFERROR(INDEX(_xlfn.ANCHORARRAY(Data!$M$65),4,2),0)</f>
        <v>21</v>
      </c>
      <c r="L27" s="54">
        <f>IFERROR(VLOOKUP(J27,Data!$Q$8:$S$17,3,FALSE),0)</f>
        <v>0</v>
      </c>
      <c r="M27" s="40"/>
      <c r="N27" s="40"/>
      <c r="O27" s="40"/>
      <c r="P27" s="40"/>
      <c r="Q27" s="40"/>
      <c r="R27" s="40"/>
    </row>
    <row r="28" spans="1:18" ht="16.5" x14ac:dyDescent="0.3">
      <c r="A28" s="44" t="str">
        <f>IFERROR(INDEX(_xlfn.ANCHORARRAY(Data!$P$65),1,1),"")</f>
        <v>Tender Puller</v>
      </c>
      <c r="B28" s="57">
        <f>IFERROR(INDEX(_xlfn.ANCHORARRAY(Data!$P$65),1,2),0)</f>
        <v>8</v>
      </c>
      <c r="C28" s="40"/>
      <c r="D28" s="40"/>
      <c r="E28" s="40"/>
      <c r="F28" s="40"/>
      <c r="G28" s="40"/>
      <c r="H28" s="40"/>
      <c r="I28" s="56">
        <v>5</v>
      </c>
      <c r="J28" s="44" t="str">
        <f>IFERROR(INDEX(_xlfn.ANCHORARRAY(Data!$M$65),5,1),"")</f>
        <v>Alex Vargas</v>
      </c>
      <c r="K28" s="57">
        <f>IFERROR(INDEX(_xlfn.ANCHORARRAY(Data!$M$65),5,2),0)</f>
        <v>19</v>
      </c>
      <c r="L28" s="57">
        <f>IFERROR(VLOOKUP(J28,Data!$Q$8:$S$17,3,FALSE),0)</f>
        <v>0</v>
      </c>
      <c r="M28" s="40"/>
      <c r="N28" s="40"/>
      <c r="O28" s="40"/>
      <c r="P28" s="40"/>
      <c r="Q28" s="40"/>
      <c r="R28" s="40"/>
    </row>
    <row r="29" spans="1:18" ht="16.5" x14ac:dyDescent="0.3">
      <c r="A29" s="40" t="str">
        <f>IFERROR(INDEX(_xlfn.ANCHORARRAY(Data!$P$65),2,1),"")</f>
        <v>Plate Boner</v>
      </c>
      <c r="B29" s="54">
        <f>IFERROR(INDEX(_xlfn.ANCHORARRAY(Data!$P$65),2,2),0)</f>
        <v>6</v>
      </c>
      <c r="C29" s="40"/>
      <c r="D29" s="40"/>
      <c r="E29" s="40"/>
      <c r="F29" s="40"/>
      <c r="G29" s="40"/>
      <c r="H29" s="40"/>
      <c r="I29" s="53">
        <v>6</v>
      </c>
      <c r="J29" s="40" t="str">
        <f>IFERROR(INDEX(_xlfn.ANCHORARRAY(Data!$M$65),6,1),"")</f>
        <v>Diego Soria</v>
      </c>
      <c r="K29" s="54">
        <f>IFERROR(INDEX(_xlfn.ANCHORARRAY(Data!$M$65),6,2),0)</f>
        <v>18</v>
      </c>
      <c r="L29" s="54">
        <f>IFERROR(VLOOKUP(J29,Data!$Q$8:$S$17,3,FALSE),0)</f>
        <v>2</v>
      </c>
      <c r="M29" s="40"/>
      <c r="N29" s="40"/>
      <c r="O29" s="40"/>
      <c r="P29" s="40"/>
      <c r="Q29" s="40"/>
      <c r="R29" s="40"/>
    </row>
    <row r="30" spans="1:18" ht="16.5" x14ac:dyDescent="0.3">
      <c r="A30" s="44" t="str">
        <f>IFERROR(INDEX(_xlfn.ANCHORARRAY(Data!$P$65),3,1),"")</f>
        <v>Intestine Stripper</v>
      </c>
      <c r="B30" s="57">
        <f>IFERROR(INDEX(_xlfn.ANCHORARRAY(Data!$P$65),3,2),0)</f>
        <v>6</v>
      </c>
      <c r="C30" s="40"/>
      <c r="D30" s="40"/>
      <c r="E30" s="40"/>
      <c r="F30" s="40"/>
      <c r="G30" s="40"/>
      <c r="H30" s="40"/>
      <c r="I30" s="56">
        <v>7</v>
      </c>
      <c r="J30" s="44" t="str">
        <f>IFERROR(INDEX(_xlfn.ANCHORARRAY(Data!$M$65),7,1),"")</f>
        <v>Christian Lopez</v>
      </c>
      <c r="K30" s="57">
        <f>IFERROR(INDEX(_xlfn.ANCHORARRAY(Data!$M$65),7,2),0)</f>
        <v>15</v>
      </c>
      <c r="L30" s="57">
        <f>IFERROR(VLOOKUP(J30,Data!$Q$8:$S$17,3,FALSE),0)</f>
        <v>0</v>
      </c>
      <c r="M30" s="40"/>
      <c r="N30" s="40"/>
      <c r="O30" s="40"/>
      <c r="P30" s="40"/>
      <c r="Q30" s="40"/>
      <c r="R30" s="40"/>
    </row>
    <row r="31" spans="1:18" ht="16.5" x14ac:dyDescent="0.3">
      <c r="A31" s="40" t="str">
        <f>IFERROR(INDEX(_xlfn.ANCHORARRAY(Data!$P$65),4,1),"")</f>
        <v>Whizzard Knife Op.</v>
      </c>
      <c r="B31" s="54">
        <f>IFERROR(INDEX(_xlfn.ANCHORARRAY(Data!$P$65),4,2),0)</f>
        <v>5</v>
      </c>
      <c r="C31" s="40"/>
      <c r="D31" s="40"/>
      <c r="E31" s="40"/>
      <c r="F31" s="40"/>
      <c r="G31" s="40"/>
      <c r="H31" s="40"/>
      <c r="I31" s="53">
        <v>8</v>
      </c>
      <c r="J31" s="40" t="str">
        <f>IFERROR(INDEX(_xlfn.ANCHORARRAY(Data!$M$65),8,1),"")</f>
        <v>Chadu Moua</v>
      </c>
      <c r="K31" s="54">
        <f>IFERROR(INDEX(_xlfn.ANCHORARRAY(Data!$M$65),8,2),0)</f>
        <v>15</v>
      </c>
      <c r="L31" s="54">
        <f>IFERROR(VLOOKUP(J31,Data!$Q$8:$S$17,3,FALSE),0)</f>
        <v>0</v>
      </c>
      <c r="M31" s="40"/>
      <c r="N31" s="40"/>
      <c r="O31" s="40"/>
      <c r="P31" s="40"/>
      <c r="Q31" s="40"/>
      <c r="R31" s="40"/>
    </row>
    <row r="32" spans="1:18" ht="16.5" x14ac:dyDescent="0.3">
      <c r="A32" s="44" t="str">
        <f>IFERROR(INDEX(_xlfn.ANCHORARRAY(Data!$P$65),5,1),"")</f>
        <v>Wax Papper Remover</v>
      </c>
      <c r="B32" s="57">
        <f>IFERROR(INDEX(_xlfn.ANCHORARRAY(Data!$P$65),5,2),0)</f>
        <v>5</v>
      </c>
      <c r="C32" s="40"/>
      <c r="D32" s="40"/>
      <c r="E32" s="40"/>
      <c r="F32" s="40"/>
      <c r="G32" s="40"/>
      <c r="H32" s="40"/>
      <c r="I32" s="40"/>
      <c r="J32" s="40"/>
      <c r="K32" s="40"/>
      <c r="L32" s="40"/>
      <c r="M32" s="40"/>
      <c r="N32" s="40"/>
      <c r="O32" s="40"/>
      <c r="P32" s="40"/>
      <c r="Q32" s="40"/>
      <c r="R32" s="40"/>
    </row>
    <row r="33" spans="1:18" ht="16.5" x14ac:dyDescent="0.3">
      <c r="A33" s="40" t="str">
        <f>IFERROR(INDEX(_xlfn.ANCHORARRAY(Data!$P$65),6,1),"")</f>
        <v>Cattle Pusher</v>
      </c>
      <c r="B33" s="54">
        <f>IFERROR(INDEX(_xlfn.ANCHORARRAY(Data!$P$65),6,2),0)</f>
        <v>5</v>
      </c>
      <c r="C33" s="40"/>
      <c r="D33" s="40"/>
      <c r="E33" s="40"/>
      <c r="F33" s="40"/>
      <c r="G33" s="40"/>
      <c r="H33" s="40"/>
      <c r="I33" s="40"/>
      <c r="J33" s="40"/>
      <c r="K33" s="40"/>
      <c r="L33" s="40"/>
      <c r="M33" s="40"/>
      <c r="N33" s="40"/>
      <c r="O33" s="40"/>
      <c r="P33" s="40"/>
      <c r="Q33" s="40"/>
      <c r="R33" s="40"/>
    </row>
    <row r="34" spans="1:18" ht="16.5" x14ac:dyDescent="0.3">
      <c r="A34" s="69" t="s">
        <v>1233</v>
      </c>
      <c r="B34" s="77">
        <f>IFERROR(INDEX(_xlfn.ANCHORARRAY(Data!$P$65),7,2),0)</f>
        <v>5</v>
      </c>
      <c r="C34" s="78"/>
      <c r="D34" s="78"/>
      <c r="E34" s="78"/>
      <c r="F34" s="78"/>
      <c r="G34" s="78"/>
      <c r="H34" s="78"/>
      <c r="I34" s="78"/>
      <c r="J34" s="78"/>
      <c r="K34" s="78"/>
      <c r="L34" s="78"/>
      <c r="M34" s="78"/>
      <c r="N34" s="78"/>
      <c r="O34" s="78"/>
      <c r="P34" s="78"/>
      <c r="Q34" s="40"/>
      <c r="R34" s="40"/>
    </row>
    <row r="35" spans="1:18" ht="39.950000000000003" customHeight="1" x14ac:dyDescent="0.3">
      <c r="A35" s="42" t="str">
        <f ca="1">TEXT(Data!B2,"mmm dd")&amp;": "&amp;Data!B7&amp;" YTD incidents ("&amp;Data!B81&amp;" "&amp;TEXT(Data!B68,"+0%;-0%")&amp;" vs prior). Rec "&amp;Data!B8&amp;" ("&amp;TEXT(Data!B11,"0.0%")&amp;")."</f>
        <v>Jul 27: 275 YTD incidents (▲ +95% vs prior). Rec 7 (2.5%).</v>
      </c>
      <c r="B35" s="84" t="str">
        <f ca="1">Data!B14&amp;" / "&amp;Data!B13&amp;" drive volume. "&amp;Data!B17&amp;" · Sev "&amp;Data!B96&amp;" ("&amp;Data!B97&amp;")."</f>
        <v>Fabrication / Strain drive volume. Medium Risk · Sev 43 (Elevated).</v>
      </c>
      <c r="C35" s="44"/>
      <c r="D35" s="44"/>
      <c r="E35" s="44"/>
      <c r="F35" s="44"/>
      <c r="G35" s="44"/>
      <c r="H35" s="44"/>
      <c r="I35" s="44"/>
      <c r="J35" s="44"/>
      <c r="K35" s="44"/>
      <c r="L35" s="44"/>
      <c r="M35" s="44"/>
      <c r="N35" s="44"/>
      <c r="O35" s="44"/>
      <c r="P35" s="44"/>
      <c r="Q35" s="40"/>
      <c r="R35" s="40"/>
    </row>
    <row r="36" spans="1:18" ht="15" customHeight="1" x14ac:dyDescent="0.3">
      <c r="A36" s="79" t="s">
        <v>1191</v>
      </c>
      <c r="B36" s="41" t="str">
        <f ca="1">"Live · "&amp;TEXT(Data!B2,"mmm dd")</f>
        <v>Live · Jul 27</v>
      </c>
      <c r="C36" s="59"/>
      <c r="D36" s="59"/>
      <c r="E36" s="59"/>
      <c r="F36" s="59"/>
      <c r="G36" s="59"/>
      <c r="H36" s="59"/>
      <c r="I36" s="40"/>
      <c r="J36" s="40"/>
      <c r="K36" s="40"/>
      <c r="L36" s="40"/>
      <c r="M36" s="40"/>
      <c r="N36" s="40"/>
      <c r="O36" s="40"/>
      <c r="P36" s="40"/>
      <c r="Q36" s="40"/>
      <c r="R36" s="40"/>
    </row>
    <row r="37" spans="1:18" x14ac:dyDescent="0.2">
      <c r="A37" s="82"/>
      <c r="B37" s="82"/>
      <c r="C37" s="82"/>
      <c r="D37" s="82"/>
      <c r="E37" s="82"/>
      <c r="F37" s="82"/>
      <c r="G37" s="82"/>
      <c r="H37" s="82"/>
      <c r="I37" s="82"/>
      <c r="J37" s="82"/>
      <c r="K37" s="82"/>
      <c r="L37" s="82"/>
      <c r="M37" s="82"/>
      <c r="N37" s="82"/>
      <c r="O37" s="82"/>
      <c r="P37" s="82"/>
      <c r="Q37" s="82"/>
      <c r="R37" s="82"/>
    </row>
    <row r="38" spans="1:18" x14ac:dyDescent="0.2">
      <c r="A38" s="82"/>
      <c r="B38" s="82"/>
      <c r="C38" s="82"/>
      <c r="D38" s="82"/>
      <c r="E38" s="82"/>
      <c r="F38" s="82"/>
      <c r="G38" s="82"/>
      <c r="H38" s="82"/>
      <c r="I38" s="82"/>
      <c r="J38" s="82"/>
      <c r="K38" s="82"/>
      <c r="L38" s="82"/>
      <c r="M38" s="82"/>
      <c r="N38" s="82"/>
      <c r="O38" s="82"/>
      <c r="P38" s="82"/>
      <c r="Q38" s="82"/>
      <c r="R38" s="82"/>
    </row>
    <row r="39" spans="1:18" x14ac:dyDescent="0.2">
      <c r="A39" s="82"/>
      <c r="B39" s="82"/>
      <c r="C39" s="82"/>
      <c r="D39" s="82"/>
      <c r="E39" s="82"/>
      <c r="F39" s="82"/>
      <c r="G39" s="82"/>
      <c r="H39" s="82"/>
      <c r="I39" s="82"/>
      <c r="J39" s="82"/>
      <c r="K39" s="82"/>
      <c r="L39" s="82"/>
      <c r="M39" s="82"/>
      <c r="N39" s="82"/>
      <c r="O39" s="82"/>
      <c r="P39" s="82"/>
      <c r="Q39" s="82"/>
      <c r="R39" s="82"/>
    </row>
    <row r="40" spans="1:18" x14ac:dyDescent="0.2">
      <c r="A40" s="82"/>
      <c r="B40" s="82"/>
      <c r="C40" s="82"/>
      <c r="D40" s="82"/>
      <c r="E40" s="82"/>
      <c r="F40" s="82"/>
      <c r="G40" s="82"/>
      <c r="H40" s="82"/>
      <c r="I40" s="82"/>
      <c r="J40" s="82"/>
      <c r="K40" s="82"/>
      <c r="L40" s="82"/>
      <c r="M40" s="82"/>
      <c r="N40" s="82"/>
      <c r="O40" s="82"/>
      <c r="P40" s="82"/>
      <c r="Q40" s="82"/>
      <c r="R40" s="82"/>
    </row>
    <row r="41" spans="1:18" x14ac:dyDescent="0.2">
      <c r="A41" s="82"/>
      <c r="B41" s="82"/>
      <c r="C41" s="82"/>
      <c r="D41" s="82"/>
      <c r="E41" s="82"/>
      <c r="F41" s="82"/>
      <c r="G41" s="82"/>
      <c r="H41" s="82"/>
      <c r="I41" s="82"/>
      <c r="J41" s="82"/>
      <c r="K41" s="82"/>
      <c r="L41" s="82"/>
      <c r="M41" s="82"/>
      <c r="N41" s="82"/>
      <c r="O41" s="82"/>
      <c r="P41" s="82"/>
      <c r="Q41" s="82"/>
      <c r="R41" s="82"/>
    </row>
    <row r="42" spans="1:18" x14ac:dyDescent="0.2">
      <c r="A42" s="82"/>
      <c r="B42" s="82"/>
      <c r="C42" s="82"/>
      <c r="D42" s="82"/>
      <c r="E42" s="82"/>
      <c r="F42" s="82"/>
      <c r="G42" s="82"/>
      <c r="H42" s="82"/>
      <c r="I42" s="82"/>
      <c r="J42" s="82"/>
      <c r="K42" s="82"/>
      <c r="L42" s="82"/>
      <c r="M42" s="82"/>
      <c r="N42" s="82"/>
      <c r="O42" s="82"/>
      <c r="P42" s="82"/>
      <c r="Q42" s="82"/>
      <c r="R42" s="82"/>
    </row>
    <row r="43" spans="1:18" x14ac:dyDescent="0.2">
      <c r="A43" s="82"/>
      <c r="B43" s="82"/>
      <c r="C43" s="82"/>
      <c r="D43" s="82"/>
      <c r="E43" s="82"/>
      <c r="F43" s="82"/>
      <c r="G43" s="82"/>
      <c r="H43" s="82"/>
      <c r="I43" s="82"/>
      <c r="J43" s="82"/>
      <c r="K43" s="82"/>
      <c r="L43" s="82"/>
      <c r="M43" s="82"/>
      <c r="N43" s="82"/>
      <c r="O43" s="82"/>
      <c r="P43" s="82"/>
      <c r="Q43" s="82"/>
      <c r="R43" s="82"/>
    </row>
    <row r="44" spans="1:18" x14ac:dyDescent="0.2">
      <c r="A44" s="82"/>
      <c r="B44" s="82"/>
      <c r="C44" s="82"/>
      <c r="D44" s="82"/>
      <c r="E44" s="82"/>
      <c r="F44" s="82"/>
      <c r="G44" s="82"/>
      <c r="H44" s="82"/>
      <c r="I44" s="82"/>
      <c r="J44" s="82"/>
      <c r="K44" s="82"/>
      <c r="L44" s="82"/>
      <c r="M44" s="82"/>
      <c r="N44" s="82"/>
      <c r="O44" s="82"/>
      <c r="P44" s="82"/>
      <c r="Q44" s="82"/>
      <c r="R44" s="82"/>
    </row>
    <row r="45" spans="1:18" x14ac:dyDescent="0.2">
      <c r="A45" s="82"/>
      <c r="B45" s="82"/>
      <c r="C45" s="82"/>
      <c r="D45" s="82"/>
      <c r="E45" s="82"/>
      <c r="F45" s="82"/>
      <c r="G45" s="82"/>
      <c r="H45" s="82"/>
      <c r="I45" s="82"/>
      <c r="J45" s="82"/>
      <c r="K45" s="82"/>
      <c r="L45" s="82"/>
      <c r="M45" s="82"/>
      <c r="N45" s="82"/>
      <c r="O45" s="82"/>
      <c r="P45" s="82"/>
      <c r="Q45" s="82"/>
      <c r="R45" s="82"/>
    </row>
    <row r="46" spans="1:18" x14ac:dyDescent="0.2">
      <c r="A46" s="82"/>
      <c r="B46" s="82"/>
      <c r="C46" s="82"/>
      <c r="D46" s="82"/>
      <c r="E46" s="82"/>
      <c r="F46" s="82"/>
      <c r="G46" s="82"/>
      <c r="H46" s="82"/>
      <c r="I46" s="82"/>
      <c r="J46" s="82"/>
      <c r="K46" s="82"/>
      <c r="L46" s="82"/>
      <c r="M46" s="82"/>
      <c r="N46" s="82"/>
      <c r="O46" s="82"/>
      <c r="P46" s="82"/>
      <c r="Q46" s="82"/>
      <c r="R46" s="82"/>
    </row>
    <row r="47" spans="1:18" x14ac:dyDescent="0.2">
      <c r="A47" s="82"/>
      <c r="B47" s="82"/>
      <c r="C47" s="82"/>
      <c r="D47" s="82"/>
      <c r="E47" s="82"/>
      <c r="F47" s="82"/>
      <c r="G47" s="82"/>
      <c r="H47" s="82"/>
      <c r="I47" s="82"/>
      <c r="J47" s="82"/>
      <c r="K47" s="82"/>
      <c r="L47" s="82"/>
      <c r="M47" s="82"/>
      <c r="N47" s="82"/>
      <c r="O47" s="82"/>
      <c r="P47" s="82"/>
      <c r="Q47" s="82"/>
      <c r="R47" s="82"/>
    </row>
    <row r="48" spans="1:18" x14ac:dyDescent="0.2">
      <c r="A48" s="82"/>
      <c r="B48" s="82"/>
      <c r="C48" s="82"/>
      <c r="D48" s="82"/>
      <c r="E48" s="82"/>
      <c r="F48" s="82"/>
      <c r="G48" s="82"/>
      <c r="H48" s="82"/>
      <c r="I48" s="82"/>
      <c r="J48" s="82"/>
      <c r="K48" s="82"/>
      <c r="L48" s="82"/>
      <c r="M48" s="82"/>
      <c r="N48" s="82"/>
      <c r="O48" s="82"/>
      <c r="P48" s="82"/>
      <c r="Q48" s="82"/>
      <c r="R48" s="82"/>
    </row>
    <row r="49" spans="1:18" x14ac:dyDescent="0.2">
      <c r="A49" s="82"/>
      <c r="B49" s="82"/>
      <c r="C49" s="82"/>
      <c r="D49" s="82"/>
      <c r="E49" s="82"/>
      <c r="F49" s="82"/>
      <c r="G49" s="82"/>
      <c r="H49" s="82"/>
      <c r="I49" s="82"/>
      <c r="J49" s="82"/>
      <c r="K49" s="82"/>
      <c r="L49" s="82"/>
      <c r="M49" s="82"/>
      <c r="N49" s="82"/>
      <c r="O49" s="82"/>
      <c r="P49" s="82"/>
      <c r="Q49" s="82"/>
      <c r="R49" s="82"/>
    </row>
    <row r="50" spans="1:18" x14ac:dyDescent="0.2">
      <c r="A50" s="82"/>
      <c r="B50" s="82"/>
      <c r="C50" s="82"/>
      <c r="D50" s="82"/>
      <c r="E50" s="82"/>
      <c r="F50" s="82"/>
      <c r="G50" s="82"/>
      <c r="H50" s="82"/>
      <c r="I50" s="82"/>
      <c r="J50" s="82"/>
      <c r="K50" s="82"/>
      <c r="L50" s="82"/>
      <c r="M50" s="82"/>
      <c r="N50" s="82"/>
      <c r="O50" s="82"/>
      <c r="P50" s="82"/>
      <c r="Q50" s="82"/>
      <c r="R50" s="82"/>
    </row>
    <row r="51" spans="1:18" x14ac:dyDescent="0.2">
      <c r="A51" s="82"/>
      <c r="B51" s="82"/>
      <c r="C51" s="82"/>
      <c r="D51" s="82"/>
      <c r="E51" s="82"/>
      <c r="F51" s="82"/>
      <c r="G51" s="82"/>
      <c r="H51" s="82"/>
      <c r="I51" s="82"/>
      <c r="J51" s="82"/>
      <c r="K51" s="82"/>
      <c r="L51" s="82"/>
      <c r="M51" s="82"/>
      <c r="N51" s="82"/>
      <c r="O51" s="82"/>
      <c r="P51" s="82"/>
      <c r="Q51" s="82"/>
      <c r="R51" s="82"/>
    </row>
    <row r="52" spans="1:18" x14ac:dyDescent="0.2">
      <c r="A52" s="82"/>
      <c r="B52" s="82"/>
      <c r="C52" s="82"/>
      <c r="D52" s="82"/>
      <c r="E52" s="82"/>
      <c r="F52" s="82"/>
      <c r="G52" s="82"/>
      <c r="H52" s="82"/>
      <c r="I52" s="82"/>
      <c r="J52" s="82"/>
      <c r="K52" s="82"/>
      <c r="L52" s="82"/>
      <c r="M52" s="82"/>
      <c r="N52" s="82"/>
      <c r="O52" s="82"/>
      <c r="P52" s="82"/>
      <c r="Q52" s="82"/>
      <c r="R52" s="82"/>
    </row>
    <row r="53" spans="1:18" x14ac:dyDescent="0.2">
      <c r="A53" s="82"/>
      <c r="B53" s="82"/>
      <c r="C53" s="82"/>
      <c r="D53" s="82"/>
      <c r="E53" s="82"/>
      <c r="F53" s="82"/>
      <c r="G53" s="82"/>
      <c r="H53" s="82"/>
      <c r="I53" s="82"/>
      <c r="J53" s="82"/>
      <c r="K53" s="82"/>
      <c r="L53" s="82"/>
      <c r="M53" s="82"/>
      <c r="N53" s="82"/>
      <c r="O53" s="82"/>
      <c r="P53" s="82"/>
      <c r="Q53" s="82"/>
      <c r="R53" s="82"/>
    </row>
    <row r="54" spans="1:18" x14ac:dyDescent="0.2">
      <c r="A54" s="82"/>
      <c r="B54" s="82"/>
      <c r="C54" s="82"/>
      <c r="D54" s="82"/>
      <c r="E54" s="82"/>
      <c r="F54" s="82"/>
      <c r="G54" s="82"/>
      <c r="H54" s="82"/>
      <c r="I54" s="82"/>
      <c r="J54" s="82"/>
      <c r="K54" s="82"/>
      <c r="L54" s="82"/>
      <c r="M54" s="82"/>
      <c r="N54" s="82"/>
      <c r="O54" s="82"/>
      <c r="P54" s="82"/>
      <c r="Q54" s="82"/>
      <c r="R54" s="82"/>
    </row>
    <row r="55" spans="1:18" x14ac:dyDescent="0.2">
      <c r="A55" s="82"/>
      <c r="B55" s="82"/>
      <c r="C55" s="82"/>
      <c r="D55" s="82"/>
      <c r="E55" s="82"/>
      <c r="F55" s="82"/>
      <c r="G55" s="82"/>
      <c r="H55" s="82"/>
      <c r="I55" s="82"/>
      <c r="J55" s="82"/>
      <c r="K55" s="82"/>
      <c r="L55" s="82"/>
      <c r="M55" s="82"/>
      <c r="N55" s="82"/>
      <c r="O55" s="82"/>
      <c r="P55" s="82"/>
      <c r="Q55" s="82"/>
      <c r="R55" s="82"/>
    </row>
    <row r="56" spans="1:18" x14ac:dyDescent="0.2">
      <c r="A56" s="82"/>
      <c r="B56" s="82"/>
      <c r="C56" s="82"/>
      <c r="D56" s="82"/>
      <c r="E56" s="82"/>
      <c r="F56" s="82"/>
      <c r="G56" s="82"/>
      <c r="H56" s="82"/>
      <c r="I56" s="82"/>
      <c r="J56" s="82"/>
      <c r="K56" s="82"/>
      <c r="L56" s="82"/>
      <c r="M56" s="82"/>
      <c r="N56" s="82"/>
      <c r="O56" s="82"/>
      <c r="P56" s="82"/>
      <c r="Q56" s="82"/>
      <c r="R56" s="82"/>
    </row>
    <row r="57" spans="1:18" x14ac:dyDescent="0.2">
      <c r="A57" s="82"/>
      <c r="B57" s="82"/>
      <c r="C57" s="82"/>
      <c r="D57" s="82"/>
      <c r="E57" s="82"/>
      <c r="F57" s="82"/>
      <c r="G57" s="82"/>
      <c r="H57" s="82"/>
      <c r="I57" s="82"/>
      <c r="J57" s="82"/>
      <c r="K57" s="82"/>
      <c r="L57" s="82"/>
      <c r="M57" s="82"/>
      <c r="N57" s="82"/>
      <c r="O57" s="82"/>
      <c r="P57" s="82"/>
      <c r="Q57" s="82"/>
      <c r="R57" s="82"/>
    </row>
    <row r="58" spans="1:18" x14ac:dyDescent="0.2">
      <c r="A58" s="82"/>
      <c r="B58" s="82"/>
      <c r="C58" s="82"/>
      <c r="D58" s="82"/>
      <c r="E58" s="82"/>
      <c r="F58" s="82"/>
      <c r="G58" s="82"/>
      <c r="H58" s="82"/>
      <c r="I58" s="82"/>
      <c r="J58" s="82"/>
      <c r="K58" s="82"/>
      <c r="L58" s="82"/>
      <c r="M58" s="82"/>
      <c r="N58" s="82"/>
      <c r="O58" s="82"/>
      <c r="P58" s="82"/>
      <c r="Q58" s="82"/>
      <c r="R58" s="82"/>
    </row>
    <row r="59" spans="1:18" x14ac:dyDescent="0.2">
      <c r="A59" s="82"/>
      <c r="B59" s="82"/>
      <c r="C59" s="82"/>
      <c r="D59" s="82"/>
      <c r="E59" s="82"/>
      <c r="F59" s="82"/>
      <c r="G59" s="82"/>
      <c r="H59" s="82"/>
      <c r="I59" s="82"/>
      <c r="J59" s="82"/>
      <c r="K59" s="82"/>
      <c r="L59" s="82"/>
      <c r="M59" s="82"/>
      <c r="N59" s="82"/>
      <c r="O59" s="82"/>
      <c r="P59" s="82"/>
      <c r="Q59" s="82"/>
      <c r="R59" s="82"/>
    </row>
    <row r="60" spans="1:18" x14ac:dyDescent="0.2">
      <c r="A60" s="82"/>
      <c r="B60" s="82"/>
      <c r="C60" s="82"/>
      <c r="D60" s="82"/>
      <c r="E60" s="82"/>
      <c r="F60" s="82"/>
      <c r="G60" s="82"/>
      <c r="H60" s="82"/>
      <c r="I60" s="82"/>
      <c r="J60" s="82"/>
      <c r="K60" s="82"/>
      <c r="L60" s="82"/>
      <c r="M60" s="82"/>
      <c r="N60" s="82"/>
      <c r="O60" s="82"/>
      <c r="P60" s="82"/>
      <c r="Q60" s="82"/>
      <c r="R60" s="82"/>
    </row>
    <row r="61" spans="1:18" x14ac:dyDescent="0.2">
      <c r="A61" s="82"/>
      <c r="B61" s="82"/>
      <c r="C61" s="82"/>
      <c r="D61" s="82"/>
      <c r="E61" s="82"/>
      <c r="F61" s="82"/>
      <c r="G61" s="82"/>
      <c r="H61" s="82"/>
      <c r="I61" s="82"/>
      <c r="J61" s="82"/>
      <c r="K61" s="82"/>
      <c r="L61" s="82"/>
      <c r="M61" s="82"/>
      <c r="N61" s="82"/>
      <c r="O61" s="82"/>
      <c r="P61" s="82"/>
      <c r="Q61" s="82"/>
      <c r="R61" s="82"/>
    </row>
    <row r="62" spans="1:18" x14ac:dyDescent="0.2">
      <c r="A62" s="82"/>
      <c r="B62" s="82"/>
      <c r="C62" s="82"/>
      <c r="D62" s="82"/>
      <c r="E62" s="82"/>
      <c r="F62" s="82"/>
      <c r="G62" s="82"/>
      <c r="H62" s="82"/>
      <c r="I62" s="82"/>
      <c r="J62" s="82"/>
      <c r="K62" s="82"/>
      <c r="L62" s="82"/>
      <c r="M62" s="82"/>
      <c r="N62" s="82"/>
      <c r="O62" s="82"/>
      <c r="P62" s="82"/>
      <c r="Q62" s="82"/>
      <c r="R62" s="82"/>
    </row>
    <row r="63" spans="1:18" x14ac:dyDescent="0.2">
      <c r="A63" s="82"/>
      <c r="B63" s="82"/>
      <c r="C63" s="82"/>
      <c r="D63" s="82"/>
      <c r="E63" s="82"/>
      <c r="F63" s="82"/>
      <c r="G63" s="82"/>
      <c r="H63" s="82"/>
      <c r="I63" s="82"/>
      <c r="J63" s="82"/>
      <c r="K63" s="82"/>
      <c r="L63" s="82"/>
      <c r="M63" s="82"/>
      <c r="N63" s="82"/>
      <c r="O63" s="82"/>
      <c r="P63" s="82"/>
      <c r="Q63" s="82"/>
      <c r="R63" s="82"/>
    </row>
    <row r="64" spans="1:18" x14ac:dyDescent="0.2">
      <c r="A64" s="82"/>
      <c r="B64" s="82"/>
      <c r="C64" s="82"/>
      <c r="D64" s="82"/>
      <c r="E64" s="82"/>
      <c r="F64" s="82"/>
      <c r="G64" s="82"/>
      <c r="H64" s="82"/>
      <c r="I64" s="82"/>
      <c r="J64" s="82"/>
      <c r="K64" s="82"/>
      <c r="L64" s="82"/>
      <c r="M64" s="82"/>
      <c r="N64" s="82"/>
      <c r="O64" s="82"/>
      <c r="P64" s="82"/>
      <c r="Q64" s="82"/>
      <c r="R64" s="82"/>
    </row>
    <row r="65" spans="1:18" x14ac:dyDescent="0.2">
      <c r="A65" s="82"/>
      <c r="B65" s="82"/>
      <c r="C65" s="82"/>
      <c r="D65" s="82"/>
      <c r="E65" s="82"/>
      <c r="F65" s="82"/>
      <c r="G65" s="82"/>
      <c r="H65" s="82"/>
      <c r="I65" s="82"/>
      <c r="J65" s="82"/>
      <c r="K65" s="82"/>
      <c r="L65" s="82"/>
      <c r="M65" s="82"/>
      <c r="N65" s="82"/>
      <c r="O65" s="82"/>
      <c r="P65" s="82"/>
      <c r="Q65" s="82"/>
      <c r="R65" s="82"/>
    </row>
    <row r="66" spans="1:18" ht="21.95" customHeight="1" x14ac:dyDescent="0.2">
      <c r="A66" s="82"/>
      <c r="B66" s="82"/>
      <c r="C66" s="82"/>
      <c r="D66" s="82"/>
      <c r="E66" s="82"/>
      <c r="F66" s="82"/>
      <c r="G66" s="82"/>
      <c r="H66" s="82"/>
      <c r="I66" s="82"/>
      <c r="J66" s="82"/>
      <c r="K66" s="82"/>
      <c r="L66" s="82"/>
      <c r="M66" s="82"/>
      <c r="N66" s="82"/>
      <c r="O66" s="82"/>
      <c r="P66" s="82"/>
      <c r="Q66" s="82"/>
      <c r="R66" s="82"/>
    </row>
    <row r="67" spans="1:18" ht="21.95" customHeight="1" x14ac:dyDescent="0.2">
      <c r="A67" s="82"/>
      <c r="B67" s="82"/>
      <c r="C67" s="82"/>
      <c r="D67" s="82"/>
      <c r="E67" s="82"/>
      <c r="F67" s="82"/>
      <c r="G67" s="82"/>
      <c r="H67" s="82"/>
      <c r="I67" s="82"/>
      <c r="J67" s="82"/>
      <c r="K67" s="82"/>
      <c r="L67" s="82"/>
      <c r="M67" s="82"/>
      <c r="N67" s="82"/>
      <c r="O67" s="82"/>
      <c r="P67" s="82"/>
      <c r="Q67" s="82"/>
      <c r="R67" s="82"/>
    </row>
    <row r="68" spans="1:18" ht="21.95" customHeight="1" x14ac:dyDescent="0.2">
      <c r="A68" s="82"/>
      <c r="B68" s="82"/>
      <c r="C68" s="82"/>
      <c r="D68" s="82"/>
      <c r="E68" s="82"/>
      <c r="F68" s="82"/>
      <c r="G68" s="82"/>
      <c r="H68" s="82"/>
      <c r="I68" s="82"/>
      <c r="J68" s="82"/>
      <c r="K68" s="82"/>
      <c r="L68" s="82"/>
      <c r="M68" s="82"/>
      <c r="N68" s="82"/>
      <c r="O68" s="82"/>
      <c r="P68" s="82"/>
      <c r="Q68" s="82"/>
      <c r="R68" s="82"/>
    </row>
    <row r="69" spans="1:18" ht="21.95" customHeight="1" x14ac:dyDescent="0.2">
      <c r="A69" s="82"/>
      <c r="B69" s="82"/>
      <c r="C69" s="82"/>
      <c r="D69" s="82"/>
      <c r="E69" s="82"/>
      <c r="F69" s="82"/>
      <c r="G69" s="82"/>
      <c r="H69" s="82"/>
      <c r="I69" s="82"/>
      <c r="J69" s="82"/>
      <c r="K69" s="82"/>
      <c r="L69" s="82"/>
      <c r="M69" s="82"/>
      <c r="N69" s="82"/>
      <c r="O69" s="82"/>
      <c r="P69" s="82"/>
      <c r="Q69" s="82"/>
      <c r="R69" s="82"/>
    </row>
    <row r="70" spans="1:18" ht="21.95" customHeight="1" x14ac:dyDescent="0.2">
      <c r="A70" s="82"/>
      <c r="B70" s="82"/>
      <c r="C70" s="82"/>
      <c r="D70" s="82"/>
      <c r="E70" s="82"/>
      <c r="F70" s="82"/>
      <c r="G70" s="82"/>
      <c r="H70" s="82"/>
      <c r="I70" s="82"/>
      <c r="J70" s="82"/>
      <c r="K70" s="82"/>
      <c r="L70" s="82"/>
      <c r="M70" s="82"/>
      <c r="N70" s="82"/>
      <c r="O70" s="82"/>
      <c r="P70" s="82"/>
      <c r="Q70" s="82"/>
      <c r="R70" s="82"/>
    </row>
    <row r="71" spans="1:18" x14ac:dyDescent="0.2">
      <c r="A71" s="82"/>
      <c r="B71" s="82"/>
      <c r="C71" s="82"/>
      <c r="D71" s="82"/>
      <c r="E71" s="82"/>
      <c r="F71" s="82"/>
      <c r="G71" s="82"/>
      <c r="H71" s="82"/>
      <c r="I71" s="82"/>
      <c r="J71" s="82"/>
      <c r="K71" s="82"/>
      <c r="L71" s="82"/>
      <c r="M71" s="82"/>
      <c r="N71" s="82"/>
      <c r="O71" s="82"/>
      <c r="P71" s="82"/>
      <c r="Q71" s="82"/>
      <c r="R71" s="82"/>
    </row>
    <row r="72" spans="1:18" x14ac:dyDescent="0.2">
      <c r="A72" s="82"/>
      <c r="B72" s="82"/>
      <c r="C72" s="82"/>
      <c r="D72" s="82"/>
      <c r="E72" s="82"/>
      <c r="F72" s="82"/>
      <c r="G72" s="82"/>
      <c r="H72" s="82"/>
      <c r="I72" s="82"/>
      <c r="J72" s="82"/>
      <c r="K72" s="82"/>
      <c r="L72" s="82"/>
      <c r="M72" s="82"/>
      <c r="N72" s="82"/>
      <c r="O72" s="82"/>
      <c r="P72" s="82"/>
      <c r="Q72" s="82"/>
      <c r="R72" s="82"/>
    </row>
    <row r="73" spans="1:18" x14ac:dyDescent="0.2">
      <c r="A73" s="82"/>
      <c r="B73" s="82"/>
      <c r="C73" s="82"/>
      <c r="D73" s="82"/>
      <c r="E73" s="82"/>
      <c r="F73" s="82"/>
      <c r="G73" s="82"/>
      <c r="H73" s="82"/>
      <c r="I73" s="82"/>
      <c r="J73" s="82"/>
      <c r="K73" s="82"/>
      <c r="L73" s="82"/>
      <c r="M73" s="82"/>
      <c r="N73" s="82"/>
      <c r="O73" s="82"/>
      <c r="P73" s="82"/>
      <c r="Q73" s="82"/>
      <c r="R73" s="82"/>
    </row>
    <row r="74" spans="1:18" x14ac:dyDescent="0.2">
      <c r="A74" s="82"/>
      <c r="B74" s="82"/>
      <c r="C74" s="82"/>
      <c r="D74" s="82"/>
      <c r="E74" s="82"/>
      <c r="F74" s="82"/>
      <c r="G74" s="82"/>
      <c r="H74" s="82"/>
      <c r="I74" s="82"/>
      <c r="J74" s="82"/>
      <c r="K74" s="82"/>
      <c r="L74" s="82"/>
      <c r="M74" s="82"/>
      <c r="N74" s="82"/>
      <c r="O74" s="82"/>
      <c r="P74" s="82"/>
      <c r="Q74" s="82"/>
      <c r="R74" s="82"/>
    </row>
    <row r="75" spans="1:18" x14ac:dyDescent="0.2">
      <c r="A75" s="82"/>
      <c r="B75" s="82"/>
      <c r="C75" s="82"/>
      <c r="D75" s="82"/>
      <c r="E75" s="82"/>
      <c r="F75" s="82"/>
      <c r="G75" s="82"/>
      <c r="H75" s="82"/>
      <c r="I75" s="82"/>
      <c r="J75" s="82"/>
      <c r="K75" s="82"/>
      <c r="L75" s="82"/>
      <c r="M75" s="82"/>
      <c r="N75" s="82"/>
      <c r="O75" s="82"/>
      <c r="P75" s="82"/>
      <c r="Q75" s="82"/>
      <c r="R75" s="82"/>
    </row>
    <row r="76" spans="1:18" x14ac:dyDescent="0.2">
      <c r="A76" s="82"/>
      <c r="B76" s="82"/>
      <c r="C76" s="82"/>
      <c r="D76" s="82"/>
      <c r="E76" s="82"/>
      <c r="F76" s="82"/>
      <c r="G76" s="82"/>
      <c r="H76" s="82"/>
      <c r="I76" s="82"/>
      <c r="J76" s="82"/>
      <c r="K76" s="82"/>
      <c r="L76" s="82"/>
      <c r="M76" s="82"/>
      <c r="N76" s="82"/>
      <c r="O76" s="82"/>
      <c r="P76" s="82"/>
      <c r="Q76" s="82"/>
      <c r="R76" s="82"/>
    </row>
    <row r="77" spans="1:18" x14ac:dyDescent="0.2">
      <c r="A77" s="82"/>
      <c r="B77" s="82"/>
      <c r="C77" s="82"/>
      <c r="D77" s="82"/>
      <c r="E77" s="82"/>
      <c r="F77" s="82"/>
      <c r="G77" s="82"/>
      <c r="H77" s="82"/>
      <c r="I77" s="82"/>
      <c r="J77" s="82"/>
      <c r="K77" s="82"/>
      <c r="L77" s="82"/>
      <c r="M77" s="82"/>
      <c r="N77" s="82"/>
      <c r="O77" s="82"/>
      <c r="P77" s="82"/>
      <c r="Q77" s="82"/>
      <c r="R77" s="82"/>
    </row>
    <row r="78" spans="1:18" x14ac:dyDescent="0.2">
      <c r="A78" s="82"/>
      <c r="B78" s="82"/>
      <c r="C78" s="82"/>
      <c r="D78" s="82"/>
      <c r="E78" s="82"/>
      <c r="F78" s="82"/>
      <c r="G78" s="82"/>
      <c r="H78" s="82"/>
      <c r="I78" s="82"/>
      <c r="J78" s="82"/>
      <c r="K78" s="82"/>
      <c r="L78" s="82"/>
      <c r="M78" s="82"/>
      <c r="N78" s="82"/>
      <c r="O78" s="82"/>
      <c r="P78" s="82"/>
      <c r="Q78" s="82"/>
      <c r="R78" s="82"/>
    </row>
    <row r="79" spans="1:18" x14ac:dyDescent="0.2">
      <c r="A79" s="82"/>
      <c r="B79" s="82"/>
      <c r="C79" s="82"/>
      <c r="D79" s="82"/>
      <c r="E79" s="82"/>
      <c r="F79" s="82"/>
      <c r="G79" s="82"/>
      <c r="H79" s="82"/>
      <c r="I79" s="82"/>
      <c r="J79" s="82"/>
      <c r="K79" s="82"/>
      <c r="L79" s="82"/>
      <c r="M79" s="82"/>
      <c r="N79" s="82"/>
      <c r="O79" s="82"/>
      <c r="P79" s="82"/>
      <c r="Q79" s="82"/>
      <c r="R79" s="82"/>
    </row>
    <row r="80" spans="1:18" x14ac:dyDescent="0.2">
      <c r="A80" s="82"/>
      <c r="B80" s="82"/>
      <c r="C80" s="82"/>
      <c r="D80" s="82"/>
      <c r="E80" s="82"/>
      <c r="F80" s="82"/>
      <c r="G80" s="82"/>
      <c r="H80" s="82"/>
      <c r="I80" s="82"/>
      <c r="J80" s="82"/>
      <c r="K80" s="82"/>
      <c r="L80" s="82"/>
      <c r="M80" s="82"/>
      <c r="N80" s="82"/>
      <c r="O80" s="82"/>
      <c r="P80" s="82"/>
      <c r="Q80" s="82"/>
      <c r="R80" s="82"/>
    </row>
    <row r="81" spans="1:18" x14ac:dyDescent="0.2">
      <c r="A81" s="82"/>
      <c r="B81" s="82"/>
      <c r="C81" s="82"/>
      <c r="D81" s="82"/>
      <c r="E81" s="82"/>
      <c r="F81" s="82"/>
      <c r="G81" s="82"/>
      <c r="H81" s="82"/>
      <c r="I81" s="82"/>
      <c r="J81" s="82"/>
      <c r="K81" s="82"/>
      <c r="L81" s="82"/>
      <c r="M81" s="82"/>
      <c r="N81" s="82"/>
      <c r="O81" s="82"/>
      <c r="P81" s="82"/>
      <c r="Q81" s="82"/>
      <c r="R81" s="82"/>
    </row>
    <row r="82" spans="1:18" x14ac:dyDescent="0.2">
      <c r="A82" s="82"/>
      <c r="B82" s="82"/>
      <c r="C82" s="82"/>
      <c r="D82" s="82"/>
      <c r="E82" s="82"/>
      <c r="F82" s="82"/>
      <c r="G82" s="82"/>
      <c r="H82" s="82"/>
      <c r="I82" s="82"/>
      <c r="J82" s="82"/>
      <c r="K82" s="82"/>
      <c r="L82" s="82"/>
      <c r="M82" s="82"/>
      <c r="N82" s="82"/>
      <c r="O82" s="82"/>
      <c r="P82" s="82"/>
      <c r="Q82" s="82"/>
      <c r="R82" s="82"/>
    </row>
    <row r="83" spans="1:18" x14ac:dyDescent="0.2">
      <c r="A83" s="82"/>
      <c r="B83" s="82"/>
      <c r="C83" s="82"/>
      <c r="D83" s="82"/>
      <c r="E83" s="82"/>
      <c r="F83" s="82"/>
      <c r="G83" s="82"/>
      <c r="H83" s="82"/>
      <c r="I83" s="82"/>
      <c r="J83" s="82"/>
      <c r="K83" s="82"/>
      <c r="L83" s="82"/>
      <c r="M83" s="82"/>
      <c r="N83" s="82"/>
      <c r="O83" s="82"/>
      <c r="P83" s="82"/>
      <c r="Q83" s="82"/>
      <c r="R83" s="82"/>
    </row>
    <row r="84" spans="1:18" x14ac:dyDescent="0.2">
      <c r="A84" s="82"/>
      <c r="B84" s="82"/>
      <c r="C84" s="82"/>
      <c r="D84" s="82"/>
      <c r="E84" s="82"/>
      <c r="F84" s="82"/>
      <c r="G84" s="82"/>
      <c r="H84" s="82"/>
      <c r="I84" s="82"/>
      <c r="J84" s="82"/>
      <c r="K84" s="82"/>
      <c r="L84" s="82"/>
      <c r="M84" s="82"/>
      <c r="N84" s="82"/>
      <c r="O84" s="82"/>
      <c r="P84" s="82"/>
      <c r="Q84" s="82"/>
      <c r="R84" s="82"/>
    </row>
    <row r="85" spans="1:18" x14ac:dyDescent="0.2">
      <c r="A85" s="82"/>
      <c r="B85" s="82"/>
      <c r="C85" s="82"/>
      <c r="D85" s="82"/>
      <c r="E85" s="82"/>
      <c r="F85" s="82"/>
      <c r="G85" s="82"/>
      <c r="H85" s="82"/>
      <c r="I85" s="82"/>
      <c r="J85" s="82"/>
      <c r="K85" s="82"/>
      <c r="L85" s="82"/>
      <c r="M85" s="82"/>
      <c r="N85" s="82"/>
      <c r="O85" s="82"/>
      <c r="P85" s="82"/>
      <c r="Q85" s="82"/>
      <c r="R85" s="82"/>
    </row>
    <row r="86" spans="1:18" x14ac:dyDescent="0.2">
      <c r="A86" s="82"/>
      <c r="B86" s="82"/>
      <c r="C86" s="82"/>
      <c r="D86" s="82"/>
      <c r="E86" s="82"/>
      <c r="F86" s="82"/>
      <c r="G86" s="82"/>
      <c r="H86" s="82"/>
      <c r="I86" s="82"/>
      <c r="J86" s="82"/>
      <c r="K86" s="82"/>
      <c r="L86" s="82"/>
      <c r="M86" s="82"/>
      <c r="N86" s="82"/>
      <c r="O86" s="82"/>
      <c r="P86" s="82"/>
      <c r="Q86" s="82"/>
      <c r="R86" s="82"/>
    </row>
    <row r="87" spans="1:18" x14ac:dyDescent="0.2">
      <c r="A87" s="82"/>
      <c r="B87" s="82"/>
      <c r="C87" s="82"/>
      <c r="D87" s="82"/>
      <c r="E87" s="82"/>
      <c r="F87" s="82"/>
      <c r="G87" s="82"/>
      <c r="H87" s="82"/>
      <c r="I87" s="82"/>
      <c r="J87" s="82"/>
      <c r="K87" s="82"/>
      <c r="L87" s="82"/>
      <c r="M87" s="82"/>
      <c r="N87" s="82"/>
      <c r="O87" s="82"/>
      <c r="P87" s="82"/>
      <c r="Q87" s="82"/>
      <c r="R87" s="82"/>
    </row>
    <row r="88" spans="1:18" x14ac:dyDescent="0.2">
      <c r="A88" s="82"/>
      <c r="B88" s="82"/>
      <c r="C88" s="82"/>
      <c r="D88" s="82"/>
      <c r="E88" s="82"/>
      <c r="F88" s="82"/>
      <c r="G88" s="82"/>
      <c r="H88" s="82"/>
      <c r="I88" s="82"/>
      <c r="J88" s="82"/>
      <c r="K88" s="82"/>
      <c r="L88" s="82"/>
      <c r="M88" s="82"/>
      <c r="N88" s="82"/>
      <c r="O88" s="82"/>
      <c r="P88" s="82"/>
      <c r="Q88" s="82"/>
      <c r="R88" s="82"/>
    </row>
    <row r="89" spans="1:18" x14ac:dyDescent="0.2">
      <c r="A89" s="82"/>
      <c r="B89" s="82"/>
      <c r="C89" s="82"/>
      <c r="D89" s="82"/>
      <c r="E89" s="82"/>
      <c r="F89" s="82"/>
      <c r="G89" s="82"/>
      <c r="H89" s="82"/>
      <c r="I89" s="82"/>
      <c r="J89" s="82"/>
      <c r="K89" s="82"/>
      <c r="L89" s="82"/>
      <c r="M89" s="82"/>
      <c r="N89" s="82"/>
      <c r="O89" s="82"/>
      <c r="P89" s="82"/>
      <c r="Q89" s="82"/>
      <c r="R89" s="82"/>
    </row>
    <row r="90" spans="1:18" x14ac:dyDescent="0.2">
      <c r="A90" s="82"/>
      <c r="B90" s="82"/>
      <c r="C90" s="82"/>
      <c r="D90" s="82"/>
      <c r="E90" s="82"/>
      <c r="F90" s="82"/>
      <c r="G90" s="82"/>
      <c r="H90" s="82"/>
      <c r="I90" s="82"/>
      <c r="J90" s="82"/>
      <c r="K90" s="82"/>
      <c r="L90" s="82"/>
      <c r="M90" s="82"/>
      <c r="N90" s="82"/>
      <c r="O90" s="82"/>
      <c r="P90" s="82"/>
      <c r="Q90" s="82"/>
      <c r="R90" s="82"/>
    </row>
    <row r="91" spans="1:18" ht="15" customHeight="1" x14ac:dyDescent="0.2">
      <c r="A91" s="82"/>
      <c r="B91" s="82"/>
      <c r="C91" s="82"/>
      <c r="D91" s="82"/>
      <c r="E91" s="82"/>
      <c r="F91" s="82"/>
      <c r="G91" s="82"/>
      <c r="H91" s="82"/>
      <c r="I91" s="82"/>
      <c r="J91" s="82"/>
      <c r="K91" s="82"/>
      <c r="L91" s="82"/>
      <c r="M91" s="82"/>
      <c r="N91" s="82"/>
      <c r="O91" s="82"/>
      <c r="P91" s="82"/>
      <c r="Q91" s="82"/>
      <c r="R91" s="82"/>
    </row>
    <row r="92" spans="1:18" x14ac:dyDescent="0.2">
      <c r="A92" s="82"/>
      <c r="B92" s="82"/>
      <c r="C92" s="82"/>
      <c r="D92" s="82"/>
      <c r="E92" s="82"/>
      <c r="F92" s="82"/>
      <c r="G92" s="82"/>
      <c r="H92" s="82"/>
      <c r="I92" s="82"/>
      <c r="J92" s="82"/>
      <c r="K92" s="82"/>
      <c r="L92" s="82"/>
      <c r="M92" s="82"/>
      <c r="N92" s="82"/>
      <c r="O92" s="82"/>
      <c r="P92" s="82"/>
      <c r="Q92" s="82"/>
      <c r="R92" s="82"/>
    </row>
    <row r="93" spans="1:18" x14ac:dyDescent="0.2">
      <c r="A93" s="82"/>
      <c r="B93" s="82"/>
      <c r="C93" s="82"/>
      <c r="D93" s="82"/>
      <c r="E93" s="82"/>
      <c r="F93" s="82"/>
      <c r="G93" s="82"/>
      <c r="H93" s="82"/>
      <c r="I93" s="82"/>
      <c r="J93" s="82"/>
      <c r="K93" s="82"/>
      <c r="L93" s="82"/>
      <c r="M93" s="82"/>
      <c r="N93" s="82"/>
      <c r="O93" s="82"/>
      <c r="P93" s="82"/>
      <c r="Q93" s="82"/>
      <c r="R93" s="82"/>
    </row>
    <row r="94" spans="1:18" x14ac:dyDescent="0.2">
      <c r="A94" s="82"/>
      <c r="B94" s="82"/>
      <c r="C94" s="82"/>
      <c r="D94" s="82"/>
      <c r="E94" s="82"/>
      <c r="F94" s="82"/>
      <c r="G94" s="82"/>
      <c r="H94" s="82"/>
      <c r="I94" s="82"/>
      <c r="J94" s="82"/>
      <c r="K94" s="82"/>
      <c r="L94" s="82"/>
      <c r="M94" s="82"/>
      <c r="N94" s="82"/>
      <c r="O94" s="82"/>
      <c r="P94" s="82"/>
      <c r="Q94" s="82"/>
      <c r="R94" s="82"/>
    </row>
    <row r="95" spans="1:18" x14ac:dyDescent="0.2">
      <c r="A95" s="82"/>
      <c r="B95" s="82"/>
      <c r="C95" s="82"/>
      <c r="D95" s="82"/>
      <c r="E95" s="82"/>
      <c r="F95" s="82"/>
      <c r="G95" s="82"/>
      <c r="H95" s="82"/>
      <c r="I95" s="82"/>
      <c r="J95" s="82"/>
      <c r="K95" s="82"/>
      <c r="L95" s="82"/>
      <c r="M95" s="82"/>
      <c r="N95" s="82"/>
      <c r="O95" s="82"/>
      <c r="P95" s="82"/>
      <c r="Q95" s="82"/>
      <c r="R95" s="82"/>
    </row>
    <row r="96" spans="1:18" x14ac:dyDescent="0.2">
      <c r="A96" s="82"/>
      <c r="B96" s="82"/>
      <c r="C96" s="82"/>
      <c r="D96" s="82"/>
      <c r="E96" s="82"/>
      <c r="F96" s="82"/>
      <c r="G96" s="82"/>
      <c r="H96" s="82"/>
      <c r="I96" s="82"/>
      <c r="J96" s="82"/>
      <c r="K96" s="82"/>
      <c r="L96" s="82"/>
      <c r="M96" s="82"/>
      <c r="N96" s="82"/>
      <c r="O96" s="82"/>
      <c r="P96" s="82"/>
      <c r="Q96" s="82"/>
      <c r="R96" s="82"/>
    </row>
    <row r="97" spans="1:18" x14ac:dyDescent="0.2">
      <c r="A97" s="82"/>
      <c r="B97" s="82"/>
      <c r="C97" s="82"/>
      <c r="D97" s="82"/>
      <c r="E97" s="82"/>
      <c r="F97" s="82"/>
      <c r="G97" s="82"/>
      <c r="H97" s="82"/>
      <c r="I97" s="82"/>
      <c r="J97" s="82"/>
      <c r="K97" s="82"/>
      <c r="L97" s="82"/>
      <c r="M97" s="82"/>
      <c r="N97" s="82"/>
      <c r="O97" s="82"/>
      <c r="P97" s="82"/>
      <c r="Q97" s="82"/>
      <c r="R97" s="82"/>
    </row>
    <row r="98" spans="1:18" x14ac:dyDescent="0.2">
      <c r="A98" s="82"/>
      <c r="B98" s="82"/>
      <c r="C98" s="82"/>
      <c r="D98" s="82"/>
      <c r="E98" s="82"/>
      <c r="F98" s="82"/>
      <c r="G98" s="82"/>
      <c r="H98" s="82"/>
      <c r="I98" s="82"/>
      <c r="J98" s="82"/>
      <c r="K98" s="82"/>
      <c r="L98" s="82"/>
      <c r="M98" s="82"/>
      <c r="N98" s="82"/>
      <c r="O98" s="82"/>
      <c r="P98" s="82"/>
      <c r="Q98" s="82"/>
      <c r="R98" s="82"/>
    </row>
    <row r="99" spans="1:18" x14ac:dyDescent="0.2">
      <c r="A99" s="82"/>
      <c r="B99" s="82"/>
      <c r="C99" s="82"/>
      <c r="D99" s="82"/>
      <c r="E99" s="82"/>
      <c r="F99" s="82"/>
      <c r="G99" s="82"/>
      <c r="H99" s="82"/>
      <c r="I99" s="82"/>
      <c r="J99" s="82"/>
      <c r="K99" s="82"/>
      <c r="L99" s="82"/>
      <c r="M99" s="82"/>
      <c r="N99" s="82"/>
      <c r="O99" s="82"/>
      <c r="P99" s="82"/>
      <c r="Q99" s="82"/>
      <c r="R99" s="82"/>
    </row>
    <row r="100" spans="1:18" x14ac:dyDescent="0.2">
      <c r="A100" s="82"/>
      <c r="B100" s="82"/>
      <c r="C100" s="82"/>
      <c r="D100" s="82"/>
      <c r="E100" s="82"/>
      <c r="F100" s="82"/>
      <c r="G100" s="82"/>
      <c r="H100" s="82"/>
      <c r="I100" s="82"/>
      <c r="J100" s="82"/>
      <c r="K100" s="82"/>
      <c r="L100" s="82"/>
      <c r="M100" s="82"/>
      <c r="N100" s="82"/>
      <c r="O100" s="82"/>
      <c r="P100" s="82"/>
      <c r="Q100" s="82"/>
      <c r="R100" s="82"/>
    </row>
    <row r="101" spans="1:18" x14ac:dyDescent="0.2">
      <c r="A101" s="200" t="s">
        <v>1314</v>
      </c>
      <c r="B101" s="82"/>
      <c r="C101" s="82"/>
      <c r="D101" s="82"/>
      <c r="E101" s="82"/>
      <c r="F101" s="82"/>
      <c r="G101" s="82"/>
      <c r="H101" s="82"/>
      <c r="I101" s="82"/>
      <c r="J101" s="82"/>
      <c r="K101" s="82"/>
      <c r="L101" s="82"/>
      <c r="M101" s="82"/>
      <c r="N101" s="82"/>
      <c r="O101" s="82"/>
      <c r="P101" s="82"/>
      <c r="Q101" s="82"/>
      <c r="R101" s="82"/>
    </row>
    <row r="102" spans="1:18" ht="15" x14ac:dyDescent="0.25">
      <c r="A102" s="201" t="str">
        <f>"Dept: "&amp;selDept&amp;"  ·  Area: "&amp;selArea&amp;"  ·  Supervisor: "&amp;selSup&amp;"  ·  Type: "&amp;selType&amp;"  ·  ESI: "&amp;selESI&amp;"  ·  Recordable: "&amp;selRec&amp;"  ·  Year: "&amp;selYear&amp;"  ·  Mode: "&amp;selMode</f>
        <v>Dept: (All)  ·  Area: (All)  ·  Supervisor: (All)  ·  Type: (All)  ·  ESI: (All)  ·  Recordable: (All)  ·  Year: (All)  ·  Mode: AND</v>
      </c>
      <c r="B102" s="82"/>
      <c r="C102" s="82"/>
      <c r="D102" s="82"/>
      <c r="E102" s="82"/>
      <c r="F102" s="82"/>
      <c r="G102" s="82"/>
      <c r="H102" s="82"/>
      <c r="I102" s="82"/>
      <c r="J102" s="82"/>
      <c r="K102" s="82"/>
      <c r="L102" s="82"/>
      <c r="M102" s="82"/>
      <c r="N102" s="82"/>
      <c r="O102" s="82"/>
      <c r="P102" s="82"/>
      <c r="Q102" s="82"/>
      <c r="R102" s="82"/>
    </row>
    <row r="103" spans="1:18" ht="15" x14ac:dyDescent="0.25">
      <c r="A103" s="202" t="s">
        <v>1315</v>
      </c>
      <c r="B103" s="82"/>
      <c r="C103" s="82"/>
      <c r="D103" s="82"/>
      <c r="E103" s="82"/>
      <c r="F103" s="82"/>
      <c r="G103" s="82"/>
      <c r="H103" s="82"/>
      <c r="I103" s="82"/>
      <c r="J103" s="82"/>
      <c r="K103" s="82"/>
      <c r="L103" s="82"/>
      <c r="M103" s="82"/>
      <c r="N103" s="82"/>
      <c r="O103" s="82"/>
      <c r="P103" s="82"/>
      <c r="Q103" s="82"/>
      <c r="R103" s="82"/>
    </row>
    <row r="104" spans="1:18" x14ac:dyDescent="0.2">
      <c r="A104" s="82"/>
      <c r="B104" s="82"/>
      <c r="C104" s="82"/>
      <c r="D104" s="82"/>
      <c r="E104" s="82"/>
      <c r="F104" s="82"/>
      <c r="G104" s="82"/>
      <c r="H104" s="82"/>
      <c r="I104" s="82"/>
      <c r="J104" s="82"/>
      <c r="K104" s="82"/>
      <c r="L104" s="82"/>
      <c r="M104" s="82"/>
      <c r="N104" s="82"/>
      <c r="O104" s="82"/>
      <c r="P104" s="82"/>
      <c r="Q104" s="82"/>
      <c r="R104" s="82"/>
    </row>
    <row r="105" spans="1:18" x14ac:dyDescent="0.2">
      <c r="A105" s="82"/>
      <c r="B105" s="82"/>
      <c r="C105" s="82"/>
      <c r="D105" s="82"/>
      <c r="E105" s="82"/>
      <c r="F105" s="82"/>
      <c r="G105" s="82"/>
      <c r="H105" s="82"/>
      <c r="I105" s="82"/>
      <c r="J105" s="82"/>
      <c r="K105" s="82"/>
      <c r="L105" s="82"/>
      <c r="M105" s="82"/>
      <c r="N105" s="82"/>
      <c r="O105" s="82"/>
      <c r="P105" s="82"/>
      <c r="Q105" s="82"/>
      <c r="R105" s="82"/>
    </row>
    <row r="106" spans="1:18" x14ac:dyDescent="0.2">
      <c r="A106" s="82"/>
      <c r="B106" s="82"/>
      <c r="C106" s="82"/>
      <c r="D106" s="82"/>
      <c r="E106" s="82"/>
      <c r="F106" s="82"/>
      <c r="G106" s="82"/>
      <c r="H106" s="82"/>
      <c r="I106" s="82"/>
      <c r="J106" s="82"/>
      <c r="K106" s="82"/>
      <c r="L106" s="82"/>
      <c r="M106" s="82"/>
      <c r="N106" s="82"/>
      <c r="O106" s="82"/>
      <c r="P106" s="82"/>
      <c r="Q106" s="82"/>
      <c r="R106" s="82"/>
    </row>
    <row r="107" spans="1:18" x14ac:dyDescent="0.2">
      <c r="A107" s="82"/>
      <c r="B107" s="82"/>
      <c r="C107" s="82"/>
      <c r="D107" s="82"/>
      <c r="E107" s="82"/>
      <c r="F107" s="82"/>
      <c r="G107" s="82"/>
      <c r="H107" s="82"/>
      <c r="I107" s="82"/>
      <c r="J107" s="82"/>
      <c r="K107" s="82"/>
      <c r="L107" s="82"/>
      <c r="M107" s="82"/>
      <c r="N107" s="82"/>
      <c r="O107" s="82"/>
      <c r="P107" s="82"/>
      <c r="Q107" s="82"/>
      <c r="R107" s="82"/>
    </row>
    <row r="108" spans="1:18" x14ac:dyDescent="0.2">
      <c r="A108" s="82"/>
      <c r="B108" s="82"/>
      <c r="C108" s="82"/>
      <c r="D108" s="82"/>
      <c r="E108" s="82"/>
      <c r="F108" s="82"/>
      <c r="G108" s="82"/>
      <c r="H108" s="82"/>
      <c r="I108" s="82"/>
      <c r="J108" s="82"/>
      <c r="K108" s="82"/>
      <c r="L108" s="82"/>
      <c r="M108" s="82"/>
      <c r="N108" s="82"/>
      <c r="O108" s="82"/>
      <c r="P108" s="82"/>
      <c r="Q108" s="82"/>
      <c r="R108" s="82"/>
    </row>
    <row r="109" spans="1:18" x14ac:dyDescent="0.2">
      <c r="A109" s="82"/>
      <c r="B109" s="82"/>
      <c r="C109" s="82"/>
      <c r="D109" s="82"/>
      <c r="E109" s="82"/>
      <c r="F109" s="82"/>
      <c r="G109" s="82"/>
      <c r="H109" s="82"/>
      <c r="I109" s="82"/>
      <c r="J109" s="82"/>
      <c r="K109" s="82"/>
      <c r="L109" s="82"/>
      <c r="M109" s="82"/>
      <c r="N109" s="82"/>
      <c r="O109" s="82"/>
      <c r="P109" s="82"/>
      <c r="Q109" s="82"/>
      <c r="R109" s="82"/>
    </row>
    <row r="110" spans="1:18" x14ac:dyDescent="0.2">
      <c r="A110" s="82"/>
      <c r="B110" s="82"/>
      <c r="C110" s="82"/>
      <c r="D110" s="82"/>
      <c r="E110" s="82"/>
      <c r="F110" s="82"/>
      <c r="G110" s="82"/>
      <c r="H110" s="82"/>
      <c r="I110" s="82"/>
      <c r="J110" s="82"/>
      <c r="K110" s="82"/>
      <c r="L110" s="82"/>
      <c r="M110" s="82"/>
      <c r="N110" s="82"/>
      <c r="O110" s="82"/>
      <c r="P110" s="82"/>
      <c r="Q110" s="82"/>
      <c r="R110" s="82"/>
    </row>
    <row r="111" spans="1:18" x14ac:dyDescent="0.2">
      <c r="A111" s="82"/>
      <c r="B111" s="82"/>
      <c r="C111" s="82"/>
      <c r="D111" s="82"/>
      <c r="E111" s="82"/>
      <c r="F111" s="82"/>
      <c r="G111" s="82"/>
      <c r="H111" s="82"/>
      <c r="I111" s="82"/>
      <c r="J111" s="82"/>
      <c r="K111" s="82"/>
      <c r="L111" s="82"/>
      <c r="M111" s="82"/>
      <c r="N111" s="82"/>
      <c r="O111" s="82"/>
      <c r="P111" s="82"/>
      <c r="Q111" s="82"/>
      <c r="R111" s="82"/>
    </row>
    <row r="112" spans="1:18" x14ac:dyDescent="0.2">
      <c r="A112" s="82"/>
      <c r="B112" s="82"/>
      <c r="C112" s="82"/>
      <c r="D112" s="82"/>
      <c r="E112" s="82"/>
      <c r="F112" s="82"/>
      <c r="G112" s="82"/>
      <c r="H112" s="82"/>
      <c r="I112" s="82"/>
      <c r="J112" s="82"/>
      <c r="K112" s="82"/>
      <c r="L112" s="82"/>
      <c r="M112" s="82"/>
      <c r="N112" s="82"/>
      <c r="O112" s="82"/>
      <c r="P112" s="82"/>
      <c r="Q112" s="82"/>
      <c r="R112" s="82"/>
    </row>
    <row r="113" spans="1:18" x14ac:dyDescent="0.2">
      <c r="A113" s="82"/>
      <c r="B113" s="82"/>
      <c r="C113" s="82"/>
      <c r="D113" s="82"/>
      <c r="E113" s="82"/>
      <c r="F113" s="82"/>
      <c r="G113" s="82"/>
      <c r="H113" s="82"/>
      <c r="I113" s="82"/>
      <c r="J113" s="82"/>
      <c r="K113" s="82"/>
      <c r="L113" s="82"/>
      <c r="M113" s="82"/>
      <c r="N113" s="82"/>
      <c r="O113" s="82"/>
      <c r="P113" s="82"/>
      <c r="Q113" s="82"/>
      <c r="R113" s="82"/>
    </row>
    <row r="114" spans="1:18" x14ac:dyDescent="0.2">
      <c r="A114" s="82"/>
      <c r="B114" s="82"/>
      <c r="C114" s="82"/>
      <c r="D114" s="82"/>
      <c r="E114" s="82"/>
      <c r="F114" s="82"/>
      <c r="G114" s="82"/>
      <c r="H114" s="82"/>
      <c r="I114" s="82"/>
      <c r="J114" s="82"/>
      <c r="K114" s="82"/>
      <c r="L114" s="82"/>
      <c r="M114" s="82"/>
      <c r="N114" s="82"/>
      <c r="O114" s="82"/>
      <c r="P114" s="82"/>
      <c r="Q114" s="82"/>
      <c r="R114" s="82"/>
    </row>
    <row r="115" spans="1:18" x14ac:dyDescent="0.2">
      <c r="A115" s="82"/>
      <c r="B115" s="82"/>
      <c r="C115" s="82"/>
      <c r="D115" s="82"/>
      <c r="E115" s="82"/>
      <c r="F115" s="82"/>
      <c r="G115" s="82"/>
      <c r="H115" s="82"/>
      <c r="I115" s="82"/>
      <c r="J115" s="82"/>
      <c r="K115" s="82"/>
      <c r="L115" s="82"/>
      <c r="M115" s="82"/>
      <c r="N115" s="82"/>
      <c r="O115" s="82"/>
      <c r="P115" s="82"/>
      <c r="Q115" s="82"/>
      <c r="R115" s="82"/>
    </row>
    <row r="116" spans="1:18" x14ac:dyDescent="0.2">
      <c r="A116" s="82"/>
      <c r="B116" s="82"/>
      <c r="C116" s="82"/>
      <c r="D116" s="82"/>
      <c r="E116" s="82"/>
      <c r="F116" s="82"/>
      <c r="G116" s="82"/>
      <c r="H116" s="82"/>
      <c r="I116" s="82"/>
      <c r="J116" s="82"/>
      <c r="K116" s="82"/>
      <c r="L116" s="82"/>
      <c r="M116" s="82"/>
      <c r="N116" s="82"/>
      <c r="O116" s="82"/>
      <c r="P116" s="82"/>
      <c r="Q116" s="82"/>
      <c r="R116" s="82"/>
    </row>
    <row r="117" spans="1:18" x14ac:dyDescent="0.2">
      <c r="A117" s="82"/>
      <c r="B117" s="82"/>
      <c r="C117" s="82"/>
      <c r="D117" s="82"/>
      <c r="E117" s="82"/>
      <c r="F117" s="82"/>
      <c r="G117" s="82"/>
      <c r="H117" s="82"/>
      <c r="I117" s="82"/>
      <c r="J117" s="82"/>
      <c r="K117" s="82"/>
      <c r="L117" s="82"/>
      <c r="M117" s="82"/>
      <c r="N117" s="82"/>
      <c r="O117" s="82"/>
      <c r="P117" s="82"/>
      <c r="Q117" s="82"/>
      <c r="R117" s="82"/>
    </row>
    <row r="118" spans="1:18" x14ac:dyDescent="0.2">
      <c r="A118" s="82"/>
      <c r="B118" s="82"/>
      <c r="C118" s="82"/>
      <c r="D118" s="82"/>
      <c r="E118" s="82"/>
      <c r="F118" s="82"/>
      <c r="G118" s="82"/>
      <c r="H118" s="82"/>
      <c r="I118" s="82"/>
      <c r="J118" s="82"/>
      <c r="K118" s="82"/>
      <c r="L118" s="82"/>
      <c r="M118" s="82"/>
      <c r="N118" s="82"/>
      <c r="O118" s="82"/>
      <c r="P118" s="82"/>
      <c r="Q118" s="82"/>
      <c r="R118" s="82"/>
    </row>
    <row r="119" spans="1:18" x14ac:dyDescent="0.2">
      <c r="A119" s="82"/>
      <c r="B119" s="82"/>
      <c r="C119" s="82"/>
      <c r="D119" s="82"/>
      <c r="E119" s="82"/>
      <c r="F119" s="82"/>
      <c r="G119" s="82"/>
      <c r="H119" s="82"/>
      <c r="I119" s="82"/>
      <c r="J119" s="82"/>
      <c r="K119" s="82"/>
      <c r="L119" s="82"/>
      <c r="M119" s="82"/>
      <c r="N119" s="82"/>
      <c r="O119" s="82"/>
      <c r="P119" s="82"/>
      <c r="Q119" s="82"/>
      <c r="R119" s="82"/>
    </row>
    <row r="120" spans="1:18" x14ac:dyDescent="0.2">
      <c r="A120" s="82"/>
      <c r="B120" s="82"/>
      <c r="C120" s="82"/>
      <c r="D120" s="82"/>
      <c r="E120" s="82"/>
      <c r="F120" s="82"/>
      <c r="G120" s="82"/>
      <c r="H120" s="82"/>
      <c r="I120" s="82"/>
      <c r="J120" s="82"/>
      <c r="K120" s="82"/>
      <c r="L120" s="82"/>
      <c r="M120" s="82"/>
      <c r="N120" s="82"/>
      <c r="O120" s="82"/>
      <c r="P120" s="82"/>
      <c r="Q120" s="82"/>
      <c r="R120" s="82"/>
    </row>
  </sheetData>
  <mergeCells count="29">
    <mergeCell ref="A26:B26"/>
    <mergeCell ref="C5:F5"/>
    <mergeCell ref="C6:F6"/>
    <mergeCell ref="M9:N9"/>
    <mergeCell ref="M10:N11"/>
    <mergeCell ref="M12:N12"/>
    <mergeCell ref="E9:F9"/>
    <mergeCell ref="E10:F11"/>
    <mergeCell ref="E12:F12"/>
    <mergeCell ref="G9:H9"/>
    <mergeCell ref="G10:H11"/>
    <mergeCell ref="G12:H12"/>
    <mergeCell ref="A9:B9"/>
    <mergeCell ref="A10:B11"/>
    <mergeCell ref="A12:B12"/>
    <mergeCell ref="C9:D9"/>
    <mergeCell ref="C10:D11"/>
    <mergeCell ref="C12:D12"/>
    <mergeCell ref="O5:R5"/>
    <mergeCell ref="O6:R6"/>
    <mergeCell ref="O9:P9"/>
    <mergeCell ref="O10:P11"/>
    <mergeCell ref="O12:P12"/>
    <mergeCell ref="I9:J9"/>
    <mergeCell ref="I10:J11"/>
    <mergeCell ref="I12:J12"/>
    <mergeCell ref="K9:L9"/>
    <mergeCell ref="K10:L11"/>
    <mergeCell ref="K12:L12"/>
  </mergeCells>
  <conditionalFormatting sqref="B28:B35">
    <cfRule type="dataBar" priority="8">
      <dataBar>
        <cfvo type="min"/>
        <cfvo type="max"/>
        <color rgb="FF638EC6"/>
      </dataBar>
      <extLst>
        <ext xmlns:x14="http://schemas.microsoft.com/office/spreadsheetml/2009/9/main" uri="{B025F937-C7B1-47D3-B67F-A62EFF666E3E}">
          <x14:id>{DE7F0DF4-CBEB-479F-9DD7-16394BCC21D1}</x14:id>
        </ext>
      </extLst>
    </cfRule>
  </conditionalFormatting>
  <conditionalFormatting sqref="K24:K31">
    <cfRule type="dataBar" priority="7">
      <dataBar>
        <cfvo type="min"/>
        <cfvo type="max"/>
        <color rgb="FF638EC6"/>
      </dataBar>
      <extLst>
        <ext xmlns:x14="http://schemas.microsoft.com/office/spreadsheetml/2009/9/main" uri="{B025F937-C7B1-47D3-B67F-A62EFF666E3E}">
          <x14:id>{59EB9C98-74AF-4376-852F-919BD93B27D0}</x14:id>
        </ext>
      </extLst>
    </cfRule>
  </conditionalFormatting>
  <conditionalFormatting sqref="L16:L20">
    <cfRule type="cellIs" dxfId="13" priority="1" operator="lessThan">
      <formula>0</formula>
    </cfRule>
    <cfRule type="cellIs" dxfId="12" priority="2" operator="greaterThan">
      <formula>0</formula>
    </cfRule>
    <cfRule type="expression" priority="6">
      <formula>ISNUMBER(SEARCH("▲",L16))</formula>
    </cfRule>
  </conditionalFormatting>
  <conditionalFormatting sqref="O6">
    <cfRule type="expression" dxfId="11" priority="3">
      <formula>ISNUMBER(SEARCH("High",O6))</formula>
    </cfRule>
    <cfRule type="expression" dxfId="10" priority="4">
      <formula>ISNUMBER(SEARCH("Medium",O6))</formula>
    </cfRule>
    <cfRule type="expression" dxfId="9" priority="5">
      <formula>ISNUMBER(SEARCH("Low",O6))</formula>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DE7F0DF4-CBEB-479F-9DD7-16394BCC21D1}">
            <x14:dataBar minLength="0" maxLength="100" direction="leftToRight" negativeBarColorSameAsPositive="1" axisPosition="none">
              <x14:cfvo type="min"/>
              <x14:cfvo type="max"/>
            </x14:dataBar>
          </x14:cfRule>
          <xm:sqref>B28:B35</xm:sqref>
        </x14:conditionalFormatting>
        <x14:conditionalFormatting xmlns:xm="http://schemas.microsoft.com/office/excel/2006/main">
          <x14:cfRule type="dataBar" id="{59EB9C98-74AF-4376-852F-919BD93B27D0}">
            <x14:dataBar minLength="0" maxLength="100" direction="leftToRight" negativeBarColorSameAsPositive="1" axisPosition="none">
              <x14:cfvo type="min"/>
              <x14:cfvo type="max"/>
            </x14:dataBar>
          </x14:cfRule>
          <xm:sqref>K24:K31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ECFF8-8374-4A2E-9807-ECE31326ABF2}">
  <dimension ref="A1:AZ120"/>
  <sheetViews>
    <sheetView showGridLines="0" topLeftCell="A52" workbookViewId="0">
      <selection activeCell="A10" sqref="A10:XFD10"/>
    </sheetView>
  </sheetViews>
  <sheetFormatPr defaultRowHeight="14.25" x14ac:dyDescent="0.2"/>
  <cols>
    <col min="1" max="1" width="39.125" bestFit="1" customWidth="1"/>
    <col min="2" max="2" width="77.75" bestFit="1" customWidth="1"/>
    <col min="3" max="3" width="15.375" bestFit="1" customWidth="1"/>
    <col min="4" max="4" width="16.625" bestFit="1" customWidth="1"/>
    <col min="5" max="5" width="17.5" bestFit="1" customWidth="1"/>
    <col min="6" max="6" width="28.25" bestFit="1" customWidth="1"/>
    <col min="7" max="7" width="20.125" bestFit="1" customWidth="1"/>
    <col min="8" max="8" width="27.875" bestFit="1" customWidth="1"/>
    <col min="9" max="9" width="10.25" bestFit="1" customWidth="1"/>
    <col min="10" max="10" width="12.25" bestFit="1" customWidth="1"/>
    <col min="11" max="11" width="13.375" bestFit="1" customWidth="1"/>
    <col min="13" max="13" width="15.5" bestFit="1" customWidth="1"/>
    <col min="14" max="14" width="39.5" bestFit="1" customWidth="1"/>
    <col min="15" max="15" width="10.25" bestFit="1" customWidth="1"/>
    <col min="16" max="16" width="17.75" bestFit="1" customWidth="1"/>
    <col min="17" max="17" width="28" bestFit="1" customWidth="1"/>
    <col min="18" max="18" width="10.25" bestFit="1" customWidth="1"/>
    <col min="19" max="19" width="13.375" bestFit="1" customWidth="1"/>
  </cols>
  <sheetData>
    <row r="1" spans="1:52" ht="18.75" x14ac:dyDescent="0.3">
      <c r="A1" s="20" t="s">
        <v>1113</v>
      </c>
      <c r="B1" s="19"/>
      <c r="C1" s="19"/>
      <c r="D1" s="19"/>
      <c r="E1" s="19"/>
      <c r="F1" s="19"/>
      <c r="G1" s="19"/>
      <c r="H1" s="19"/>
      <c r="I1" s="19"/>
      <c r="J1" s="19"/>
      <c r="K1" s="19"/>
      <c r="L1" s="19"/>
      <c r="M1" s="19"/>
      <c r="N1" s="19"/>
      <c r="O1" s="19"/>
      <c r="P1" s="19"/>
      <c r="Q1" s="19"/>
      <c r="R1" s="19"/>
      <c r="S1" s="19"/>
      <c r="T1" s="19"/>
      <c r="U1" s="19"/>
      <c r="V1" s="19"/>
      <c r="W1" s="19"/>
      <c r="X1" s="19"/>
      <c r="Y1" s="19"/>
      <c r="Z1" s="85">
        <v>2025</v>
      </c>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row>
    <row r="2" spans="1:52" ht="15" x14ac:dyDescent="0.25">
      <c r="A2" s="19" t="s">
        <v>1114</v>
      </c>
      <c r="B2" s="21">
        <f ca="1">TODAY()</f>
        <v>46230</v>
      </c>
      <c r="C2" s="19"/>
      <c r="D2" s="19"/>
      <c r="E2" s="19"/>
      <c r="F2" s="19"/>
      <c r="G2" s="19"/>
      <c r="H2" s="19"/>
      <c r="I2" s="19"/>
      <c r="J2" s="19"/>
      <c r="K2" s="19"/>
      <c r="L2" s="19"/>
      <c r="M2" s="19"/>
      <c r="N2" s="19"/>
      <c r="O2" s="19"/>
      <c r="P2" s="19"/>
      <c r="Q2" s="19"/>
      <c r="R2" s="19"/>
      <c r="S2" s="19"/>
      <c r="T2" s="19"/>
      <c r="U2" s="19"/>
      <c r="V2" s="19"/>
      <c r="W2" s="19"/>
      <c r="X2" s="19"/>
      <c r="Y2" s="19"/>
      <c r="Z2" s="85">
        <v>2026</v>
      </c>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row>
    <row r="3" spans="1:52" ht="15" x14ac:dyDescent="0.25">
      <c r="A3" s="19" t="s">
        <v>1115</v>
      </c>
      <c r="B3" s="22">
        <v>2026</v>
      </c>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row>
    <row r="4" spans="1:52" ht="15" x14ac:dyDescent="0.25">
      <c r="A4" s="19" t="s">
        <v>1116</v>
      </c>
      <c r="B4" s="22">
        <v>2025</v>
      </c>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row>
    <row r="5" spans="1:52" ht="15" x14ac:dyDescent="0.2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row>
    <row r="6" spans="1:52" ht="15" x14ac:dyDescent="0.25">
      <c r="A6" s="23" t="s">
        <v>1044</v>
      </c>
      <c r="B6" s="23" t="s">
        <v>1117</v>
      </c>
      <c r="C6" s="23" t="s">
        <v>1118</v>
      </c>
      <c r="D6" s="23" t="s">
        <v>1119</v>
      </c>
      <c r="E6" s="23" t="s">
        <v>1120</v>
      </c>
      <c r="F6" s="23" t="s">
        <v>1101</v>
      </c>
      <c r="G6" s="19"/>
      <c r="H6" s="30" t="s">
        <v>1136</v>
      </c>
      <c r="I6" s="18"/>
      <c r="J6" s="18"/>
      <c r="K6" s="18"/>
      <c r="L6" s="18"/>
      <c r="M6" s="18"/>
      <c r="N6" s="30" t="s">
        <v>1140</v>
      </c>
      <c r="O6" s="18"/>
      <c r="P6" s="18"/>
      <c r="Q6" s="30" t="s">
        <v>1142</v>
      </c>
      <c r="R6" s="18"/>
      <c r="S6" s="18"/>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row>
    <row r="7" spans="1:52" ht="15" x14ac:dyDescent="0.25">
      <c r="A7" s="19" t="s">
        <v>1055</v>
      </c>
      <c r="B7" s="27">
        <f>COUNTIF(Master_List_Of_Injuries[Year],$B$3)</f>
        <v>275</v>
      </c>
      <c r="C7" s="27">
        <f>COUNTIF(Master_List_Of_Injuries[Year],$B$4)</f>
        <v>305</v>
      </c>
      <c r="D7" s="27" cm="1">
        <f t="array" ref="D7">SUMPRODUCT((Master_List_Of_Injuries[Year]=$B$4)*(MONTH(Master_List_Of_Injuries[DOI])&lt;=7)*1)</f>
        <v>141</v>
      </c>
      <c r="E7" s="27">
        <f>B7-D7</f>
        <v>134</v>
      </c>
      <c r="F7" s="19" t="s">
        <v>1121</v>
      </c>
      <c r="G7" s="19"/>
      <c r="H7" s="8" t="s">
        <v>1036</v>
      </c>
      <c r="I7" s="8" t="s">
        <v>1053</v>
      </c>
      <c r="J7" s="8" t="s">
        <v>1137</v>
      </c>
      <c r="K7" s="8" t="s">
        <v>1068</v>
      </c>
      <c r="L7" s="18"/>
      <c r="M7" s="18"/>
      <c r="N7" s="8" t="s">
        <v>1067</v>
      </c>
      <c r="O7" s="8" t="s">
        <v>1053</v>
      </c>
      <c r="P7" s="18"/>
      <c r="Q7" s="8" t="s">
        <v>2</v>
      </c>
      <c r="R7" s="8" t="s">
        <v>1053</v>
      </c>
      <c r="S7" s="8" t="s">
        <v>1068</v>
      </c>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row>
    <row r="8" spans="1:52" ht="15" x14ac:dyDescent="0.25">
      <c r="A8" s="19" t="s">
        <v>1122</v>
      </c>
      <c r="B8" s="27" cm="1">
        <f t="array" ref="B8">SUMPRODUCT((Master_List_Of_Injuries[Year]=$B$3)*((Master_List_Of_Injuries[ESI Status]="RECORDABLE")+(Master_List_Of_Injuries[Recordable_Flag]="Yes")&gt;0)*1)</f>
        <v>7</v>
      </c>
      <c r="C8" s="27" cm="1">
        <f t="array" ref="C8">SUMPRODUCT((Master_List_Of_Injuries[Year]=$B$4)*((Master_List_Of_Injuries[ESI Status]="RECORDABLE")+(Master_List_Of_Injuries[Recordable_Flag]="Yes")&gt;0)*1)</f>
        <v>10</v>
      </c>
      <c r="D8" s="27" cm="1">
        <f t="array" ref="D8">SUMPRODUCT((Master_List_Of_Injuries[Year]=$B$4)*(MONTH(Master_List_Of_Injuries[DOI])&lt;=7)*((Master_List_Of_Injuries[ESI Status]="RECORDABLE")+(Master_List_Of_Injuries[Recordable_Flag]="Yes")&gt;0)*1)</f>
        <v>7</v>
      </c>
      <c r="E8" s="27">
        <f>B8-D8</f>
        <v>0</v>
      </c>
      <c r="F8" s="19" t="s">
        <v>1123</v>
      </c>
      <c r="G8" s="19"/>
      <c r="H8" s="18" t="s">
        <v>10</v>
      </c>
      <c r="I8" s="18">
        <f>COUNTIFS(Master_List_Of_Injuries[Year],$B$3,Master_List_Of_Injuries[[Department ]],H8)</f>
        <v>132</v>
      </c>
      <c r="J8" s="31">
        <f t="shared" ref="J8:J18" si="0">IFERROR(I8/$B$7,0)</f>
        <v>0.48</v>
      </c>
      <c r="K8" s="18" cm="1">
        <f t="array" ref="K8">SUMPRODUCT((Master_List_Of_Injuries[Year]=$B$3)*(Master_List_Of_Injuries[[Department ]]=H8)*((Master_List_Of_Injuries[ESI Status]="RECORDABLE")+(Master_List_Of_Injuries[Recordable_Flag]="Yes")&gt;0)*1)</f>
        <v>2</v>
      </c>
      <c r="L8" s="18"/>
      <c r="M8" s="18"/>
      <c r="N8" s="18" t="s">
        <v>24</v>
      </c>
      <c r="O8" s="18">
        <f>COUNTIFS(Master_List_Of_Injuries[Year],$B$3,Master_List_Of_Injuries[Injury/Illness Type],N8)</f>
        <v>97</v>
      </c>
      <c r="P8" s="18"/>
      <c r="Q8" s="18" t="s">
        <v>620</v>
      </c>
      <c r="R8" s="18">
        <f>COUNTIFS(Master_List_Of_Injuries[Year],$B$3,Master_List_Of_Injuries[Supervisor],Q8)</f>
        <v>24</v>
      </c>
      <c r="S8" s="18" cm="1">
        <f t="array" ref="S8">SUMPRODUCT((Master_List_Of_Injuries[Year]=$B$3)*(Master_List_Of_Injuries[Supervisor]=Q8)*((Master_List_Of_Injuries[ESI Status]="RECORDABLE")+(Master_List_Of_Injuries[Recordable_Flag]="Yes")&gt;0)*1)</f>
        <v>1</v>
      </c>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row>
    <row r="9" spans="1:52" ht="15" x14ac:dyDescent="0.25">
      <c r="A9" s="19" t="s">
        <v>1124</v>
      </c>
      <c r="B9" s="27">
        <f>COUNTIFS(Master_List_Of_Injuries[Year],$B$3,Master_List_Of_Injuries[ESI Status],"FA")</f>
        <v>228</v>
      </c>
      <c r="C9" s="27">
        <f>COUNTIFS(Master_List_Of_Injuries[Year],$B$4,Master_List_Of_Injuries[ESI Status],"FA")</f>
        <v>257</v>
      </c>
      <c r="D9" s="27" cm="1">
        <f t="array" ref="D9">SUMPRODUCT((Master_List_Of_Injuries[Year]=$B$4)*(MONTH(Master_List_Of_Injuries[DOI])&lt;=7)*(Master_List_Of_Injuries[ESI Status]="FA")*1)</f>
        <v>104</v>
      </c>
      <c r="E9" s="27">
        <f>B9-D9</f>
        <v>124</v>
      </c>
      <c r="F9" s="19"/>
      <c r="G9" s="19"/>
      <c r="H9" s="18" t="s">
        <v>17</v>
      </c>
      <c r="I9" s="18">
        <f>COUNTIFS(Master_List_Of_Injuries[Year],$B$3,Master_List_Of_Injuries[[Department ]],H9)</f>
        <v>106</v>
      </c>
      <c r="J9" s="31">
        <f t="shared" si="0"/>
        <v>0.38545454545454544</v>
      </c>
      <c r="K9" s="18" cm="1">
        <f t="array" ref="K9">SUMPRODUCT((Master_List_Of_Injuries[Year]=$B$3)*(Master_List_Of_Injuries[[Department ]]=H9)*((Master_List_Of_Injuries[ESI Status]="RECORDABLE")+(Master_List_Of_Injuries[Recordable_Flag]="Yes")&gt;0)*1)</f>
        <v>3</v>
      </c>
      <c r="L9" s="18"/>
      <c r="M9" s="18"/>
      <c r="N9" s="18" t="s">
        <v>69</v>
      </c>
      <c r="O9" s="18">
        <f>COUNTIFS(Master_List_Of_Injuries[Year],$B$3,Master_List_Of_Injuries[Injury/Illness Type],N9)</f>
        <v>25</v>
      </c>
      <c r="P9" s="18"/>
      <c r="Q9" s="18" t="s">
        <v>475</v>
      </c>
      <c r="R9" s="18">
        <f>COUNTIFS(Master_List_Of_Injuries[Year],$B$3,Master_List_Of_Injuries[Supervisor],Q9)</f>
        <v>23</v>
      </c>
      <c r="S9" s="18" cm="1">
        <f t="array" ref="S9">SUMPRODUCT((Master_List_Of_Injuries[Year]=$B$3)*(Master_List_Of_Injuries[Supervisor]=Q9)*((Master_List_Of_Injuries[ESI Status]="RECORDABLE")+(Master_List_Of_Injuries[Recordable_Flag]="Yes")&gt;0)*1)</f>
        <v>0</v>
      </c>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row>
    <row r="10" spans="1:52" ht="15" x14ac:dyDescent="0.25">
      <c r="A10" s="19" t="s">
        <v>1125</v>
      </c>
      <c r="B10" s="27">
        <f>COUNTIFS(Master_List_Of_Injuries[Year],$B$3,Master_List_Of_Injuries[ESI Status],"RPO")</f>
        <v>40</v>
      </c>
      <c r="C10" s="27">
        <f>COUNTIFS(Master_List_Of_Injuries[Year],$B$4,Master_List_Of_Injuries[ESI Status],"RPO")</f>
        <v>38</v>
      </c>
      <c r="D10" s="27" cm="1">
        <f t="array" ref="D10">SUMPRODUCT((Master_List_Of_Injuries[Year]=$B$4)*(MONTH(Master_List_Of_Injuries[DOI])&lt;=7)*(Master_List_Of_Injuries[ESI Status]="RPO")*1)</f>
        <v>30</v>
      </c>
      <c r="E10" s="27">
        <f>B10-D10</f>
        <v>10</v>
      </c>
      <c r="F10" s="19"/>
      <c r="G10" s="19"/>
      <c r="H10" s="18" t="s">
        <v>305</v>
      </c>
      <c r="I10" s="18">
        <f>COUNTIFS(Master_List_Of_Injuries[Year],$B$3,Master_List_Of_Injuries[[Department ]],H10)</f>
        <v>10</v>
      </c>
      <c r="J10" s="31">
        <f t="shared" si="0"/>
        <v>3.6363636363636362E-2</v>
      </c>
      <c r="K10" s="18" cm="1">
        <f t="array" ref="K10">SUMPRODUCT((Master_List_Of_Injuries[Year]=$B$3)*(Master_List_Of_Injuries[[Department ]]=H10)*((Master_List_Of_Injuries[ESI Status]="RECORDABLE")+(Master_List_Of_Injuries[Recordable_Flag]="Yes")&gt;0)*1)</f>
        <v>0</v>
      </c>
      <c r="L10" s="18"/>
      <c r="M10" s="18"/>
      <c r="N10" s="18" t="s">
        <v>151</v>
      </c>
      <c r="O10" s="18">
        <f>COUNTIFS(Master_List_Of_Injuries[Year],$B$3,Master_List_Of_Injuries[Injury/Illness Type],N10)</f>
        <v>26</v>
      </c>
      <c r="P10" s="18"/>
      <c r="Q10" s="18" t="s">
        <v>181</v>
      </c>
      <c r="R10" s="18">
        <f>COUNTIFS(Master_List_Of_Injuries[Year],$B$3,Master_List_Of_Injuries[Supervisor],Q10)</f>
        <v>21</v>
      </c>
      <c r="S10" s="18" cm="1">
        <f t="array" ref="S10">SUMPRODUCT((Master_List_Of_Injuries[Year]=$B$3)*(Master_List_Of_Injuries[Supervisor]=Q10)*((Master_List_Of_Injuries[ESI Status]="RECORDABLE")+(Master_List_Of_Injuries[Recordable_Flag]="Yes")&gt;0)*1)</f>
        <v>0</v>
      </c>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row>
    <row r="11" spans="1:52" ht="15" x14ac:dyDescent="0.25">
      <c r="A11" s="19" t="s">
        <v>1126</v>
      </c>
      <c r="B11" s="24">
        <f>IFERROR(B8/B7,0)</f>
        <v>2.5454545454545455E-2</v>
      </c>
      <c r="C11" s="24">
        <f>IFERROR(C8/C7,0)</f>
        <v>3.2786885245901641E-2</v>
      </c>
      <c r="D11" s="24">
        <f>IFERROR(D8/D7,0)</f>
        <v>4.9645390070921988E-2</v>
      </c>
      <c r="E11" s="26">
        <f>B11-D11</f>
        <v>-2.4190844616376533E-2</v>
      </c>
      <c r="F11" s="19" t="s">
        <v>1127</v>
      </c>
      <c r="G11" s="19"/>
      <c r="H11" s="18" t="s">
        <v>726</v>
      </c>
      <c r="I11" s="18">
        <f>COUNTIFS(Master_List_Of_Injuries[Year],$B$3,Master_List_Of_Injuries[[Department ]],H11)</f>
        <v>8</v>
      </c>
      <c r="J11" s="31">
        <f t="shared" si="0"/>
        <v>2.9090909090909091E-2</v>
      </c>
      <c r="K11" s="18" cm="1">
        <f t="array" ref="K11">SUMPRODUCT((Master_List_Of_Injuries[Year]=$B$3)*(Master_List_Of_Injuries[[Department ]]=H11)*((Master_List_Of_Injuries[ESI Status]="RECORDABLE")+(Master_List_Of_Injuries[Recordable_Flag]="Yes")&gt;0)*1)</f>
        <v>1</v>
      </c>
      <c r="L11" s="18"/>
      <c r="M11" s="18"/>
      <c r="N11" s="18" t="s">
        <v>184</v>
      </c>
      <c r="O11" s="18">
        <f>COUNTIFS(Master_List_Of_Injuries[Year],$B$3,Master_List_Of_Injuries[Injury/Illness Type],N11)</f>
        <v>14</v>
      </c>
      <c r="P11" s="18"/>
      <c r="Q11" s="18" t="s">
        <v>9</v>
      </c>
      <c r="R11" s="18">
        <f>COUNTIFS(Master_List_Of_Injuries[Year],$B$3,Master_List_Of_Injuries[Supervisor],Q11)</f>
        <v>21</v>
      </c>
      <c r="S11" s="18" cm="1">
        <f t="array" ref="S11">SUMPRODUCT((Master_List_Of_Injuries[Year]=$B$3)*(Master_List_Of_Injuries[Supervisor]=Q11)*((Master_List_Of_Injuries[ESI Status]="RECORDABLE")+(Master_List_Of_Injuries[Recordable_Flag]="Yes")&gt;0)*1)</f>
        <v>0</v>
      </c>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row>
    <row r="12" spans="1:52" ht="15" x14ac:dyDescent="0.25">
      <c r="A12" s="19" t="s">
        <v>1128</v>
      </c>
      <c r="B12" s="28">
        <f ca="1">IFERROR(TODAY()-B16,0)</f>
        <v>26</v>
      </c>
      <c r="C12" s="19"/>
      <c r="D12" s="19"/>
      <c r="E12" s="19"/>
      <c r="F12" s="19" t="s">
        <v>1129</v>
      </c>
      <c r="G12" s="19"/>
      <c r="H12" s="18" t="s">
        <v>323</v>
      </c>
      <c r="I12" s="18">
        <f>COUNTIFS(Master_List_Of_Injuries[Year],$B$3,Master_List_Of_Injuries[[Department ]],H12)</f>
        <v>6</v>
      </c>
      <c r="J12" s="31">
        <f t="shared" si="0"/>
        <v>2.181818181818182E-2</v>
      </c>
      <c r="K12" s="18" cm="1">
        <f t="array" ref="K12">SUMPRODUCT((Master_List_Of_Injuries[Year]=$B$3)*(Master_List_Of_Injuries[[Department ]]=H12)*((Master_List_Of_Injuries[ESI Status]="RECORDABLE")+(Master_List_Of_Injuries[Recordable_Flag]="Yes")&gt;0)*1)</f>
        <v>0</v>
      </c>
      <c r="L12" s="18"/>
      <c r="M12" s="18"/>
      <c r="N12" s="18" t="s">
        <v>658</v>
      </c>
      <c r="O12" s="18">
        <f>COUNTIFS(Master_List_Of_Injuries[Year],$B$3,Master_List_Of_Injuries[Injury/Illness Type],N12)</f>
        <v>0</v>
      </c>
      <c r="P12" s="18"/>
      <c r="Q12" s="18" t="s">
        <v>918</v>
      </c>
      <c r="R12" s="18">
        <f>COUNTIFS(Master_List_Of_Injuries[Year],$B$3,Master_List_Of_Injuries[Supervisor],Q12)</f>
        <v>19</v>
      </c>
      <c r="S12" s="18" cm="1">
        <f t="array" ref="S12">SUMPRODUCT((Master_List_Of_Injuries[Year]=$B$3)*(Master_List_Of_Injuries[Supervisor]=Q12)*((Master_List_Of_Injuries[ESI Status]="RECORDABLE")+(Master_List_Of_Injuries[Recordable_Flag]="Yes")&gt;0)*1)</f>
        <v>0</v>
      </c>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row>
    <row r="13" spans="1:52" ht="15" x14ac:dyDescent="0.25">
      <c r="A13" s="19" t="s">
        <v>1130</v>
      </c>
      <c r="B13" s="19" t="str">
        <f>IFERROR(INDEX(_xlfn.ANCHORARRAY($G$65),1,1),"Strain")</f>
        <v>Strain</v>
      </c>
      <c r="C13" s="19"/>
      <c r="D13" s="19"/>
      <c r="E13" s="19"/>
      <c r="F13" s="19"/>
      <c r="G13" s="19"/>
      <c r="H13" s="18" t="s">
        <v>982</v>
      </c>
      <c r="I13" s="18">
        <f>COUNTIFS(Master_List_Of_Injuries[Year],$B$3,Master_List_Of_Injuries[[Department ]],H13)</f>
        <v>4</v>
      </c>
      <c r="J13" s="31">
        <f t="shared" si="0"/>
        <v>1.4545454545454545E-2</v>
      </c>
      <c r="K13" s="18" cm="1">
        <f t="array" ref="K13">SUMPRODUCT((Master_List_Of_Injuries[Year]=$B$3)*(Master_List_Of_Injuries[[Department ]]=H13)*((Master_List_Of_Injuries[ESI Status]="RECORDABLE")+(Master_List_Of_Injuries[Recordable_Flag]="Yes")&gt;0)*1)</f>
        <v>0</v>
      </c>
      <c r="L13" s="18"/>
      <c r="M13" s="18"/>
      <c r="N13" s="18" t="s">
        <v>393</v>
      </c>
      <c r="O13" s="18">
        <f>COUNTIFS(Master_List_Of_Injuries[Year],$B$3,Master_List_Of_Injuries[Injury/Illness Type],N13)</f>
        <v>12</v>
      </c>
      <c r="P13" s="18"/>
      <c r="Q13" s="18" t="s">
        <v>261</v>
      </c>
      <c r="R13" s="18">
        <f>COUNTIFS(Master_List_Of_Injuries[Year],$B$3,Master_List_Of_Injuries[Supervisor],Q13)</f>
        <v>18</v>
      </c>
      <c r="S13" s="18" cm="1">
        <f t="array" ref="S13">SUMPRODUCT((Master_List_Of_Injuries[Year]=$B$3)*(Master_List_Of_Injuries[Supervisor]=Q13)*((Master_List_Of_Injuries[ESI Status]="RECORDABLE")+(Master_List_Of_Injuries[Recordable_Flag]="Yes")&gt;0)*1)</f>
        <v>2</v>
      </c>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row>
    <row r="14" spans="1:52" ht="15" x14ac:dyDescent="0.25">
      <c r="A14" s="19" t="s">
        <v>1131</v>
      </c>
      <c r="B14" s="19" t="str">
        <f>IFERROR(INDEX(_xlfn.ANCHORARRAY($D$65),1,1),"Fabrication")</f>
        <v>Fabrication</v>
      </c>
      <c r="C14" s="19"/>
      <c r="D14" s="19"/>
      <c r="E14" s="19"/>
      <c r="F14" s="19"/>
      <c r="G14" s="19"/>
      <c r="H14" s="18" t="s">
        <v>246</v>
      </c>
      <c r="I14" s="18">
        <f>COUNTIFS(Master_List_Of_Injuries[Year],$B$3,Master_List_Of_Injuries[[Department ]],H14)</f>
        <v>3</v>
      </c>
      <c r="J14" s="31">
        <f t="shared" si="0"/>
        <v>1.090909090909091E-2</v>
      </c>
      <c r="K14" s="18" cm="1">
        <f t="array" ref="K14">SUMPRODUCT((Master_List_Of_Injuries[Year]=$B$3)*(Master_List_Of_Injuries[[Department ]]=H14)*((Master_List_Of_Injuries[ESI Status]="RECORDABLE")+(Master_List_Of_Injuries[Recordable_Flag]="Yes")&gt;0)*1)</f>
        <v>1</v>
      </c>
      <c r="L14" s="18"/>
      <c r="M14" s="18"/>
      <c r="N14" s="113" t="s">
        <v>13</v>
      </c>
      <c r="O14" s="18">
        <f>COUNTIFS(Master_List_Of_Injuries[Year],$B$3,Master_List_Of_Injuries[Injury/Illness Type],N14)</f>
        <v>0</v>
      </c>
      <c r="P14" s="18"/>
      <c r="Q14" s="18" t="s">
        <v>264</v>
      </c>
      <c r="R14" s="18">
        <f>COUNTIFS(Master_List_Of_Injuries[Year],$B$3,Master_List_Of_Injuries[Supervisor],Q14)</f>
        <v>15</v>
      </c>
      <c r="S14" s="18" cm="1">
        <f t="array" ref="S14">SUMPRODUCT((Master_List_Of_Injuries[Year]=$B$3)*(Master_List_Of_Injuries[Supervisor]=Q14)*((Master_List_Of_Injuries[ESI Status]="RECORDABLE")+(Master_List_Of_Injuries[Recordable_Flag]="Yes")&gt;0)*1)</f>
        <v>0</v>
      </c>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row>
    <row r="15" spans="1:52" ht="15" x14ac:dyDescent="0.25">
      <c r="A15" s="19" t="s">
        <v>1132</v>
      </c>
      <c r="B15" s="25">
        <f>_xlfn.MAXIFS(Master_List_Of_Injuries[DOI],Master_List_Of_Injuries[Year],$B$3)</f>
        <v>46227</v>
      </c>
      <c r="C15" s="19"/>
      <c r="D15" s="19"/>
      <c r="E15" s="19"/>
      <c r="F15" s="19"/>
      <c r="G15" s="19"/>
      <c r="H15" s="18" t="s">
        <v>41</v>
      </c>
      <c r="I15" s="18">
        <f>COUNTIFS(Master_List_Of_Injuries[Year],$B$3,Master_List_Of_Injuries[[Department ]],H15)</f>
        <v>3</v>
      </c>
      <c r="J15" s="31">
        <f t="shared" si="0"/>
        <v>1.090909090909091E-2</v>
      </c>
      <c r="K15" s="18" cm="1">
        <f t="array" ref="K15">SUMPRODUCT((Master_List_Of_Injuries[Year]=$B$3)*(Master_List_Of_Injuries[[Department ]]=H15)*((Master_List_Of_Injuries[ESI Status]="RECORDABLE")+(Master_List_Of_Injuries[Recordable_Flag]="Yes")&gt;0)*1)</f>
        <v>0</v>
      </c>
      <c r="L15" s="18"/>
      <c r="M15" s="18"/>
      <c r="N15" s="18" t="s">
        <v>665</v>
      </c>
      <c r="O15" s="18">
        <f>COUNTIFS(Master_List_Of_Injuries[Year],$B$3,Master_List_Of_Injuries[Injury/Illness Type],N15)</f>
        <v>9</v>
      </c>
      <c r="P15" s="18"/>
      <c r="Q15" s="18" t="s">
        <v>136</v>
      </c>
      <c r="R15" s="18">
        <f>COUNTIFS(Master_List_Of_Injuries[Year],$B$3,Master_List_Of_Injuries[Supervisor],Q15)</f>
        <v>15</v>
      </c>
      <c r="S15" s="18" cm="1">
        <f t="array" ref="S15">SUMPRODUCT((Master_List_Of_Injuries[Year]=$B$3)*(Master_List_Of_Injuries[Supervisor]=Q15)*((Master_List_Of_Injuries[ESI Status]="RECORDABLE")+(Master_List_Of_Injuries[Recordable_Flag]="Yes")&gt;0)*1)</f>
        <v>0</v>
      </c>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row>
    <row r="16" spans="1:52" ht="15" x14ac:dyDescent="0.25">
      <c r="A16" s="19" t="s">
        <v>1133</v>
      </c>
      <c r="B16" s="25">
        <f>MAX(_xlfn.MAXIFS(Master_List_Of_Injuries[DOI],Master_List_Of_Injuries[Year],$B$3,Master_List_Of_Injuries[ESI Status],"RECORDABLE"),_xlfn.MAXIFS(Master_List_Of_Injuries[DOI],Master_List_Of_Injuries[Year],$B$3,Master_List_Of_Injuries[Recordable_Flag],"Yes"))</f>
        <v>46204</v>
      </c>
      <c r="C16" s="19"/>
      <c r="D16" s="19"/>
      <c r="E16" s="19"/>
      <c r="F16" s="19"/>
      <c r="G16" s="19"/>
      <c r="H16" s="18" t="s">
        <v>36</v>
      </c>
      <c r="I16" s="18">
        <f>COUNTIFS(Master_List_Of_Injuries[Year],$B$3,Master_List_Of_Injuries[[Department ]],H16)</f>
        <v>2</v>
      </c>
      <c r="J16" s="31">
        <f t="shared" si="0"/>
        <v>7.2727272727272727E-3</v>
      </c>
      <c r="K16" s="18" cm="1">
        <f t="array" ref="K16">SUMPRODUCT((Master_List_Of_Injuries[Year]=$B$3)*(Master_List_Of_Injuries[[Department ]]=H16)*((Master_List_Of_Injuries[ESI Status]="RECORDABLE")+(Master_List_Of_Injuries[Recordable_Flag]="Yes")&gt;0)*1)</f>
        <v>0</v>
      </c>
      <c r="L16" s="18"/>
      <c r="M16" s="18"/>
      <c r="N16" s="18" t="s">
        <v>58</v>
      </c>
      <c r="O16" s="18">
        <f>COUNTIFS(Master_List_Of_Injuries[Year],$B$3,Master_List_Of_Injuries[Injury/Illness Type],N16)</f>
        <v>8</v>
      </c>
      <c r="P16" s="18"/>
      <c r="Q16" s="113" t="s">
        <v>647</v>
      </c>
      <c r="R16" s="18">
        <f>COUNTIFS(Master_List_Of_Injuries[Year],$B$3,Master_List_Of_Injuries[Supervisor],Q16)</f>
        <v>0</v>
      </c>
      <c r="S16" s="18" cm="1">
        <f t="array" ref="S16">SUMPRODUCT((Master_List_Of_Injuries[Year]=$B$3)*(Master_List_Of_Injuries[Supervisor]=Q16)*((Master_List_Of_Injuries[ESI Status]="RECORDABLE")+(Master_List_Of_Injuries[Recordable_Flag]="Yes")&gt;0)*1)</f>
        <v>0</v>
      </c>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row>
    <row r="17" spans="1:52" ht="15" x14ac:dyDescent="0.25">
      <c r="A17" s="19" t="s">
        <v>1134</v>
      </c>
      <c r="B17" s="19" t="str">
        <f ca="1">IF(OR(B11&gt;=0.05,B12&lt;14),"High Risk",IF(OR(B11&gt;=0.03,B12&lt;30),"Medium Risk","Low Risk"))</f>
        <v>Medium Risk</v>
      </c>
      <c r="C17" s="19"/>
      <c r="D17" s="19"/>
      <c r="E17" s="19"/>
      <c r="F17" s="19" t="s">
        <v>1135</v>
      </c>
      <c r="G17" s="19"/>
      <c r="H17" s="18" t="s">
        <v>630</v>
      </c>
      <c r="I17" s="18">
        <f>COUNTIFS(Master_List_Of_Injuries[Year],$B$3,Master_List_Of_Injuries[[Department ]],H17)</f>
        <v>1</v>
      </c>
      <c r="J17" s="31">
        <f t="shared" si="0"/>
        <v>3.6363636363636364E-3</v>
      </c>
      <c r="K17" s="18" cm="1">
        <f t="array" ref="K17">SUMPRODUCT((Master_List_Of_Injuries[Year]=$B$3)*(Master_List_Of_Injuries[[Department ]]=H17)*((Master_List_Of_Injuries[ESI Status]="RECORDABLE")+(Master_List_Of_Injuries[Recordable_Flag]="Yes")&gt;0)*1)</f>
        <v>0</v>
      </c>
      <c r="L17" s="18"/>
      <c r="M17" s="18"/>
      <c r="N17" s="18" t="s">
        <v>372</v>
      </c>
      <c r="O17" s="18">
        <f>COUNTIFS(Master_List_Of_Injuries[Year],$B$3,Master_List_Of_Injuries[Injury/Illness Type],N17)</f>
        <v>7</v>
      </c>
      <c r="P17" s="18"/>
      <c r="Q17" s="18" t="s">
        <v>55</v>
      </c>
      <c r="R17" s="18">
        <f>COUNTIFS(Master_List_Of_Injuries[Year],$B$3,Master_List_Of_Injuries[Supervisor],Q17)</f>
        <v>15</v>
      </c>
      <c r="S17" s="18" cm="1">
        <f t="array" ref="S17">SUMPRODUCT((Master_List_Of_Injuries[Year]=$B$3)*(Master_List_Of_Injuries[Supervisor]=Q17)*((Master_List_Of_Injuries[ESI Status]="RECORDABLE")+(Master_List_Of_Injuries[Recordable_Flag]="Yes")&gt;0)*1)</f>
        <v>0</v>
      </c>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row>
    <row r="18" spans="1:52" ht="15" x14ac:dyDescent="0.25">
      <c r="A18" s="19"/>
      <c r="B18" s="19"/>
      <c r="C18" s="19"/>
      <c r="D18" s="19"/>
      <c r="E18" s="19"/>
      <c r="F18" s="19"/>
      <c r="G18" s="19"/>
      <c r="H18" s="18" t="s">
        <v>245</v>
      </c>
      <c r="I18" s="18">
        <f>COUNTIFS(Master_List_Of_Injuries[Year],$B$3,Master_List_Of_Injuries[[Department ]],H18)</f>
        <v>0</v>
      </c>
      <c r="J18" s="31">
        <f t="shared" si="0"/>
        <v>0</v>
      </c>
      <c r="K18" s="18" cm="1">
        <f t="array" ref="K18">SUMPRODUCT((Master_List_Of_Injuries[Year]=$B$3)*(Master_List_Of_Injuries[[Department ]]=H18)*((Master_List_Of_Injuries[ESI Status]="RECORDABLE")+(Master_List_Of_Injuries[Recordable_Flag]="Yes")&gt;0)*1)</f>
        <v>0</v>
      </c>
      <c r="L18" s="18"/>
      <c r="M18" s="18"/>
      <c r="N18" s="18" t="s">
        <v>755</v>
      </c>
      <c r="O18" s="18">
        <f>COUNTIFS(Master_List_Of_Injuries[Year],$B$3,Master_List_Of_Injuries[Injury/Illness Type],N18)</f>
        <v>7</v>
      </c>
      <c r="P18" s="18"/>
      <c r="Q18" s="18"/>
      <c r="R18" s="18"/>
      <c r="S18" s="18"/>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row>
    <row r="19" spans="1:52" ht="15" x14ac:dyDescent="0.25">
      <c r="A19" s="19"/>
      <c r="B19" s="19"/>
      <c r="C19" s="19"/>
      <c r="D19" s="19"/>
      <c r="E19" s="19"/>
      <c r="F19" s="19"/>
      <c r="G19" s="19"/>
      <c r="H19" s="18"/>
      <c r="I19" s="18"/>
      <c r="J19" s="18"/>
      <c r="K19" s="18"/>
      <c r="L19" s="18"/>
      <c r="M19" s="18"/>
      <c r="N19" s="18" t="s">
        <v>173</v>
      </c>
      <c r="O19" s="18">
        <f>COUNTIFS(Master_List_Of_Injuries[Year],$B$3,Master_List_Of_Injuries[Injury/Illness Type],N19)</f>
        <v>1</v>
      </c>
      <c r="P19" s="18"/>
      <c r="Q19" s="18"/>
      <c r="R19" s="18"/>
      <c r="S19" s="18"/>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row>
    <row r="20" spans="1:52" ht="15" x14ac:dyDescent="0.25">
      <c r="A20" s="30" t="s">
        <v>1145</v>
      </c>
      <c r="B20" s="18"/>
      <c r="C20" s="18"/>
      <c r="D20" s="18"/>
      <c r="E20" s="18"/>
      <c r="F20" s="18"/>
      <c r="G20" s="19"/>
      <c r="H20" s="18"/>
      <c r="I20" s="18"/>
      <c r="J20" s="18"/>
      <c r="K20" s="18"/>
      <c r="L20" s="18"/>
      <c r="M20" s="18"/>
      <c r="N20" s="18" t="s">
        <v>1112</v>
      </c>
      <c r="O20" s="18">
        <f>COUNTIFS(Master_List_Of_Injuries[Year],$B$3,Master_List_Of_Injuries[Injury/Illness Type],N20)</f>
        <v>0</v>
      </c>
      <c r="P20" s="18"/>
      <c r="Q20" s="30" t="s">
        <v>1143</v>
      </c>
      <c r="R20" s="18"/>
      <c r="S20" s="18"/>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row>
    <row r="21" spans="1:52" ht="15" x14ac:dyDescent="0.25">
      <c r="A21" s="8" t="s">
        <v>727</v>
      </c>
      <c r="B21" s="8" t="s">
        <v>1146</v>
      </c>
      <c r="C21" s="8" t="s">
        <v>1147</v>
      </c>
      <c r="D21" s="8" t="s">
        <v>1148</v>
      </c>
      <c r="E21" s="8" t="s">
        <v>1149</v>
      </c>
      <c r="F21" s="8" t="s">
        <v>1150</v>
      </c>
      <c r="G21" s="19"/>
      <c r="H21" s="30" t="s">
        <v>1138</v>
      </c>
      <c r="I21" s="18"/>
      <c r="J21" s="18"/>
      <c r="K21" s="18"/>
      <c r="L21" s="18"/>
      <c r="M21" s="18"/>
      <c r="N21" s="18" t="s">
        <v>1111</v>
      </c>
      <c r="O21" s="18">
        <f>COUNTIFS(Master_List_Of_Injuries[Year],$B$3,Master_List_Of_Injuries[Injury/Illness Type],N21)</f>
        <v>3</v>
      </c>
      <c r="P21" s="18"/>
      <c r="Q21" s="8" t="s">
        <v>1144</v>
      </c>
      <c r="R21" s="8" t="s">
        <v>1053</v>
      </c>
      <c r="S21" s="18"/>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row>
    <row r="22" spans="1:52" ht="15" x14ac:dyDescent="0.25">
      <c r="A22" s="18" t="s">
        <v>729</v>
      </c>
      <c r="B22" s="18">
        <v>1</v>
      </c>
      <c r="C22" s="18">
        <f>COUNTIFS(Master_List_Of_Injuries[Year],$B$4,Master_List_Of_Injuries[Month.1],A22)</f>
        <v>23</v>
      </c>
      <c r="D22" s="18">
        <f>COUNTIFS(Master_List_Of_Injuries[Year],$B$3,Master_List_Of_Injuries[Month.1],A22)</f>
        <v>28</v>
      </c>
      <c r="E22" s="18" cm="1">
        <f t="array" ref="E22">SUMPRODUCT((Master_List_Of_Injuries[Year]=$B$4)*(Master_List_Of_Injuries[Month.1]=A22)*((Master_List_Of_Injuries[ESI Status]="RECORDABLE")+(Master_List_Of_Injuries[Recordable_Flag]="Yes")&gt;0)*1)</f>
        <v>1</v>
      </c>
      <c r="F22" s="18" cm="1">
        <f t="array" ref="F22">SUMPRODUCT((Master_List_Of_Injuries[Year]=$B$3)*(Master_List_Of_Injuries[Month.1]=A22)*((Master_List_Of_Injuries[ESI Status]="RECORDABLE")+(Master_List_Of_Injuries[Recordable_Flag]="Yes")&gt;0)*1)</f>
        <v>1</v>
      </c>
      <c r="G22" s="19"/>
      <c r="H22" s="8" t="s">
        <v>7</v>
      </c>
      <c r="I22" s="8" t="s">
        <v>1053</v>
      </c>
      <c r="J22" s="8" t="s">
        <v>1139</v>
      </c>
      <c r="K22" s="18"/>
      <c r="L22" s="18"/>
      <c r="M22" s="18"/>
      <c r="N22" s="18"/>
      <c r="O22" s="18"/>
      <c r="P22" s="18"/>
      <c r="Q22" s="18" t="s">
        <v>638</v>
      </c>
      <c r="R22" s="18">
        <f>COUNTIFS(Master_List_Of_Injuries[Year],$B$3,Master_List_Of_Injuries[JTP:],Q22)</f>
        <v>5</v>
      </c>
      <c r="S22" s="18"/>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row>
    <row r="23" spans="1:52" ht="15" x14ac:dyDescent="0.25">
      <c r="A23" s="18" t="s">
        <v>732</v>
      </c>
      <c r="B23" s="18">
        <v>2</v>
      </c>
      <c r="C23" s="18">
        <f>COUNTIFS(Master_List_Of_Injuries[Year],$B$4,Master_List_Of_Injuries[Month.1],A23)</f>
        <v>19</v>
      </c>
      <c r="D23" s="18">
        <f>COUNTIFS(Master_List_Of_Injuries[Year],$B$3,Master_List_Of_Injuries[Month.1],A23)</f>
        <v>44</v>
      </c>
      <c r="E23" s="18" cm="1">
        <f t="array" ref="E23">SUMPRODUCT((Master_List_Of_Injuries[Year]=$B$4)*(Master_List_Of_Injuries[Month.1]=A23)*((Master_List_Of_Injuries[ESI Status]="RECORDABLE")+(Master_List_Of_Injuries[Recordable_Flag]="Yes")&gt;0)*1)</f>
        <v>3</v>
      </c>
      <c r="F23" s="18" cm="1">
        <f t="array" ref="F23">SUMPRODUCT((Master_List_Of_Injuries[Year]=$B$3)*(Master_List_Of_Injuries[Month.1]=A23)*((Master_List_Of_Injuries[ESI Status]="RECORDABLE")+(Master_List_Of_Injuries[Recordable_Flag]="Yes")&gt;0)*1)</f>
        <v>0</v>
      </c>
      <c r="G23" s="19"/>
      <c r="H23" s="18" t="s">
        <v>15</v>
      </c>
      <c r="I23" s="18">
        <f>COUNTIFS(Master_List_Of_Injuries[Year],$B$3,Master_List_Of_Injuries[ESI Status],H23)</f>
        <v>228</v>
      </c>
      <c r="J23" s="31">
        <f>IFERROR(I23/$B$7,0)</f>
        <v>0.8290909090909091</v>
      </c>
      <c r="K23" s="18"/>
      <c r="L23" s="18"/>
      <c r="M23" s="18"/>
      <c r="N23" s="18"/>
      <c r="O23" s="18"/>
      <c r="P23" s="18"/>
      <c r="Q23" s="18" t="s">
        <v>223</v>
      </c>
      <c r="R23" s="18">
        <f>COUNTIFS(Master_List_Of_Injuries[Year],$B$3,Master_List_Of_Injuries[JTP:],Q23)</f>
        <v>8</v>
      </c>
      <c r="S23" s="18"/>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row>
    <row r="24" spans="1:52" ht="15" x14ac:dyDescent="0.25">
      <c r="A24" s="18" t="s">
        <v>733</v>
      </c>
      <c r="B24" s="18">
        <v>3</v>
      </c>
      <c r="C24" s="18">
        <f>COUNTIFS(Master_List_Of_Injuries[Year],$B$4,Master_List_Of_Injuries[Month.1],A24)</f>
        <v>24</v>
      </c>
      <c r="D24" s="18">
        <f>COUNTIFS(Master_List_Of_Injuries[Year],$B$3,Master_List_Of_Injuries[Month.1],A24)</f>
        <v>31</v>
      </c>
      <c r="E24" s="18" cm="1">
        <f t="array" ref="E24">SUMPRODUCT((Master_List_Of_Injuries[Year]=$B$4)*(Master_List_Of_Injuries[Month.1]=A24)*((Master_List_Of_Injuries[ESI Status]="RECORDABLE")+(Master_List_Of_Injuries[Recordable_Flag]="Yes")&gt;0)*1)</f>
        <v>1</v>
      </c>
      <c r="F24" s="18" cm="1">
        <f t="array" ref="F24">SUMPRODUCT((Master_List_Of_Injuries[Year]=$B$3)*(Master_List_Of_Injuries[Month.1]=A24)*((Master_List_Of_Injuries[ESI Status]="RECORDABLE")+(Master_List_Of_Injuries[Recordable_Flag]="Yes")&gt;0)*1)</f>
        <v>1</v>
      </c>
      <c r="G24" s="19"/>
      <c r="H24" s="18" t="s">
        <v>278</v>
      </c>
      <c r="I24" s="18">
        <f>COUNTIFS(Master_List_Of_Injuries[Year],$B$3,Master_List_Of_Injuries[ESI Status],H24)</f>
        <v>40</v>
      </c>
      <c r="J24" s="31">
        <f>IFERROR(I24/$B$7,0)</f>
        <v>0.14545454545454545</v>
      </c>
      <c r="K24" s="18"/>
      <c r="L24" s="18"/>
      <c r="M24" s="18"/>
      <c r="N24" s="30" t="s">
        <v>1141</v>
      </c>
      <c r="O24" s="18"/>
      <c r="P24" s="18"/>
      <c r="Q24" s="18" t="s">
        <v>138</v>
      </c>
      <c r="R24" s="18">
        <f>COUNTIFS(Master_List_Of_Injuries[Year],$B$3,Master_List_Of_Injuries[JTP:],Q24)</f>
        <v>6</v>
      </c>
      <c r="S24" s="18"/>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row>
    <row r="25" spans="1:52" ht="15" x14ac:dyDescent="0.25">
      <c r="A25" s="18" t="s">
        <v>734</v>
      </c>
      <c r="B25" s="18">
        <v>4</v>
      </c>
      <c r="C25" s="18">
        <f>COUNTIFS(Master_List_Of_Injuries[Year],$B$4,Master_List_Of_Injuries[Month.1],A25)</f>
        <v>17</v>
      </c>
      <c r="D25" s="18">
        <f>COUNTIFS(Master_List_Of_Injuries[Year],$B$3,Master_List_Of_Injuries[Month.1],A25)</f>
        <v>48</v>
      </c>
      <c r="E25" s="18" cm="1">
        <f t="array" ref="E25">SUMPRODUCT((Master_List_Of_Injuries[Year]=$B$4)*(Master_List_Of_Injuries[Month.1]=A25)*((Master_List_Of_Injuries[ESI Status]="RECORDABLE")+(Master_List_Of_Injuries[Recordable_Flag]="Yes")&gt;0)*1)</f>
        <v>0</v>
      </c>
      <c r="F25" s="18" cm="1">
        <f t="array" ref="F25">SUMPRODUCT((Master_List_Of_Injuries[Year]=$B$3)*(Master_List_Of_Injuries[Month.1]=A25)*((Master_List_Of_Injuries[ESI Status]="RECORDABLE")+(Master_List_Of_Injuries[Recordable_Flag]="Yes")&gt;0)*1)</f>
        <v>1</v>
      </c>
      <c r="G25" s="19"/>
      <c r="H25" s="18" t="s">
        <v>76</v>
      </c>
      <c r="I25" s="18">
        <f>COUNTIFS(Master_List_Of_Injuries[Year],$B$3,Master_List_Of_Injuries[ESI Status],H25)</f>
        <v>7</v>
      </c>
      <c r="J25" s="31">
        <f>IFERROR(I25/$B$7,0)</f>
        <v>2.5454545454545455E-2</v>
      </c>
      <c r="K25" s="18"/>
      <c r="L25" s="18"/>
      <c r="M25" s="18"/>
      <c r="N25" s="8" t="s">
        <v>3</v>
      </c>
      <c r="O25" s="8" t="s">
        <v>1053</v>
      </c>
      <c r="P25" s="18"/>
      <c r="Q25" s="18" t="s">
        <v>529</v>
      </c>
      <c r="R25" s="18">
        <f>COUNTIFS(Master_List_Of_Injuries[Year],$B$3,Master_List_Of_Injuries[JTP:],Q25)</f>
        <v>6</v>
      </c>
      <c r="S25" s="18"/>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row>
    <row r="26" spans="1:52" ht="15" x14ac:dyDescent="0.25">
      <c r="A26" s="18" t="s">
        <v>735</v>
      </c>
      <c r="B26" s="18">
        <v>5</v>
      </c>
      <c r="C26" s="18">
        <f>COUNTIFS(Master_List_Of_Injuries[Year],$B$4,Master_List_Of_Injuries[Month.1],A26)</f>
        <v>22</v>
      </c>
      <c r="D26" s="18">
        <f>COUNTIFS(Master_List_Of_Injuries[Year],$B$3,Master_List_Of_Injuries[Month.1],A26)</f>
        <v>25</v>
      </c>
      <c r="E26" s="18" cm="1">
        <f t="array" ref="E26">SUMPRODUCT((Master_List_Of_Injuries[Year]=$B$4)*(Master_List_Of_Injuries[Month.1]=A26)*((Master_List_Of_Injuries[ESI Status]="RECORDABLE")+(Master_List_Of_Injuries[Recordable_Flag]="Yes")&gt;0)*1)</f>
        <v>0</v>
      </c>
      <c r="F26" s="18" cm="1">
        <f t="array" ref="F26">SUMPRODUCT((Master_List_Of_Injuries[Year]=$B$3)*(Master_List_Of_Injuries[Month.1]=A26)*((Master_List_Of_Injuries[ESI Status]="RECORDABLE")+(Master_List_Of_Injuries[Recordable_Flag]="Yes")&gt;0)*1)</f>
        <v>1</v>
      </c>
      <c r="G26" s="19"/>
      <c r="H26" s="18"/>
      <c r="I26" s="18"/>
      <c r="J26" s="18"/>
      <c r="K26" s="18"/>
      <c r="L26" s="18"/>
      <c r="M26" s="18"/>
      <c r="N26" s="18">
        <v>102</v>
      </c>
      <c r="O26" s="32">
        <f>COUNTIFS(Master_List_Of_Injuries[Year],$B$3,Master_List_Of_Injuries[Area],N26)</f>
        <v>32</v>
      </c>
      <c r="P26" s="18"/>
      <c r="Q26" s="18" t="s">
        <v>668</v>
      </c>
      <c r="R26" s="18">
        <f>COUNTIFS(Master_List_Of_Injuries[Year],$B$3,Master_List_Of_Injuries[JTP:],Q26)</f>
        <v>5</v>
      </c>
      <c r="S26" s="18"/>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row>
    <row r="27" spans="1:52" ht="15" x14ac:dyDescent="0.25">
      <c r="A27" s="18" t="s">
        <v>736</v>
      </c>
      <c r="B27" s="18">
        <v>6</v>
      </c>
      <c r="C27" s="18">
        <f>COUNTIFS(Master_List_Of_Injuries[Year],$B$4,Master_List_Of_Injuries[Month.1],A27)</f>
        <v>21</v>
      </c>
      <c r="D27" s="18">
        <f>COUNTIFS(Master_List_Of_Injuries[Year],$B$3,Master_List_Of_Injuries[Month.1],A27)</f>
        <v>56</v>
      </c>
      <c r="E27" s="18" cm="1">
        <f t="array" ref="E27">SUMPRODUCT((Master_List_Of_Injuries[Year]=$B$4)*(Master_List_Of_Injuries[Month.1]=A27)*((Master_List_Of_Injuries[ESI Status]="RECORDABLE")+(Master_List_Of_Injuries[Recordable_Flag]="Yes")&gt;0)*1)</f>
        <v>1</v>
      </c>
      <c r="F27" s="18" cm="1">
        <f t="array" ref="F27">SUMPRODUCT((Master_List_Of_Injuries[Year]=$B$3)*(Master_List_Of_Injuries[Month.1]=A27)*((Master_List_Of_Injuries[ESI Status]="RECORDABLE")+(Master_List_Of_Injuries[Recordable_Flag]="Yes")&gt;0)*1)</f>
        <v>2</v>
      </c>
      <c r="G27" s="19"/>
      <c r="H27" s="18"/>
      <c r="I27" s="18"/>
      <c r="J27" s="18"/>
      <c r="K27" s="18"/>
      <c r="L27" s="18"/>
      <c r="M27" s="18"/>
      <c r="N27" s="18">
        <v>410</v>
      </c>
      <c r="O27" s="32">
        <f>COUNTIFS(Master_List_Of_Injuries[Year],$B$3,Master_List_Of_Injuries[Area],N27)</f>
        <v>23</v>
      </c>
      <c r="P27" s="18"/>
      <c r="Q27" s="18" t="s">
        <v>703</v>
      </c>
      <c r="R27" s="18">
        <f>COUNTIFS(Master_List_Of_Injuries[Year],$B$3,Master_List_Of_Injuries[JTP:],Q27)</f>
        <v>5</v>
      </c>
      <c r="S27" s="18"/>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row>
    <row r="28" spans="1:52" ht="15" x14ac:dyDescent="0.25">
      <c r="A28" s="18" t="s">
        <v>737</v>
      </c>
      <c r="B28" s="18">
        <v>7</v>
      </c>
      <c r="C28" s="18">
        <f>COUNTIFS(Master_List_Of_Injuries[Year],$B$4,Master_List_Of_Injuries[Month.1],A28)</f>
        <v>15</v>
      </c>
      <c r="D28" s="18">
        <f>COUNTIFS(Master_List_Of_Injuries[Year],$B$3,Master_List_Of_Injuries[Month.1],A28)</f>
        <v>43</v>
      </c>
      <c r="E28" s="18" cm="1">
        <f t="array" ref="E28">SUMPRODUCT((Master_List_Of_Injuries[Year]=$B$4)*(Master_List_Of_Injuries[Month.1]=A28)*((Master_List_Of_Injuries[ESI Status]="RECORDABLE")+(Master_List_Of_Injuries[Recordable_Flag]="Yes")&gt;0)*1)</f>
        <v>1</v>
      </c>
      <c r="F28" s="18" cm="1">
        <f t="array" ref="F28">SUMPRODUCT((Master_List_Of_Injuries[Year]=$B$3)*(Master_List_Of_Injuries[Month.1]=A28)*((Master_List_Of_Injuries[ESI Status]="RECORDABLE")+(Master_List_Of_Injuries[Recordable_Flag]="Yes")&gt;0)*1)</f>
        <v>1</v>
      </c>
      <c r="G28" s="19"/>
      <c r="H28" s="18"/>
      <c r="I28" s="18"/>
      <c r="J28" s="18"/>
      <c r="K28" s="18"/>
      <c r="L28" s="18"/>
      <c r="M28" s="18"/>
      <c r="N28" s="18">
        <v>420</v>
      </c>
      <c r="O28" s="32">
        <f>COUNTIFS(Master_List_Of_Injuries[Year],$B$3,Master_List_Of_Injuries[Area],N28)</f>
        <v>22</v>
      </c>
      <c r="P28" s="18"/>
      <c r="Q28" s="18" t="s">
        <v>172</v>
      </c>
      <c r="R28" s="18">
        <f>COUNTIFS(Master_List_Of_Injuries[Year],$B$3,Master_List_Of_Injuries[JTP:],Q28)</f>
        <v>5</v>
      </c>
      <c r="S28" s="18"/>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row>
    <row r="29" spans="1:52" ht="15" x14ac:dyDescent="0.25">
      <c r="A29" s="18" t="s">
        <v>738</v>
      </c>
      <c r="B29" s="18">
        <v>8</v>
      </c>
      <c r="C29" s="18">
        <f>COUNTIFS(Master_List_Of_Injuries[Year],$B$4,Master_List_Of_Injuries[Month.1],A29)</f>
        <v>20</v>
      </c>
      <c r="D29" s="18">
        <f>COUNTIFS(Master_List_Of_Injuries[Year],$B$3,Master_List_Of_Injuries[Month.1],A29)</f>
        <v>0</v>
      </c>
      <c r="E29" s="18" cm="1">
        <f t="array" ref="E29">SUMPRODUCT((Master_List_Of_Injuries[Year]=$B$4)*(Master_List_Of_Injuries[Month.1]=A29)*((Master_List_Of_Injuries[ESI Status]="RECORDABLE")+(Master_List_Of_Injuries[Recordable_Flag]="Yes")&gt;0)*1)</f>
        <v>2</v>
      </c>
      <c r="F29" s="18" cm="1">
        <f t="array" ref="F29">SUMPRODUCT((Master_List_Of_Injuries[Year]=$B$3)*(Master_List_Of_Injuries[Month.1]=A29)*((Master_List_Of_Injuries[ESI Status]="RECORDABLE")+(Master_List_Of_Injuries[Recordable_Flag]="Yes")&gt;0)*1)</f>
        <v>0</v>
      </c>
      <c r="G29" s="19"/>
      <c r="H29" s="18"/>
      <c r="I29" s="18"/>
      <c r="J29" s="18"/>
      <c r="K29" s="18"/>
      <c r="L29" s="18"/>
      <c r="M29" s="18"/>
      <c r="N29" s="18">
        <v>400</v>
      </c>
      <c r="O29" s="32">
        <f>COUNTIFS(Master_List_Of_Injuries[Year],$B$3,Master_List_Of_Injuries[Area],N29)</f>
        <v>21</v>
      </c>
      <c r="P29" s="18"/>
      <c r="Q29" s="18" t="s">
        <v>1100</v>
      </c>
      <c r="R29" s="18">
        <f>COUNTIFS(Master_List_Of_Injuries[Year],$B$3,Master_List_Of_Injuries[JTP:],Q29)</f>
        <v>0</v>
      </c>
      <c r="S29" s="18"/>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row>
    <row r="30" spans="1:52" ht="15" x14ac:dyDescent="0.25">
      <c r="A30" s="18" t="s">
        <v>739</v>
      </c>
      <c r="B30" s="18">
        <v>9</v>
      </c>
      <c r="C30" s="18">
        <f>COUNTIFS(Master_List_Of_Injuries[Year],$B$4,Master_List_Of_Injuries[Month.1],A30)</f>
        <v>34</v>
      </c>
      <c r="D30" s="18">
        <f>COUNTIFS(Master_List_Of_Injuries[Year],$B$3,Master_List_Of_Injuries[Month.1],A30)</f>
        <v>0</v>
      </c>
      <c r="E30" s="18" cm="1">
        <f t="array" ref="E30">SUMPRODUCT((Master_List_Of_Injuries[Year]=$B$4)*(Master_List_Of_Injuries[Month.1]=A30)*((Master_List_Of_Injuries[ESI Status]="RECORDABLE")+(Master_List_Of_Injuries[Recordable_Flag]="Yes")&gt;0)*1)</f>
        <v>0</v>
      </c>
      <c r="F30" s="18" cm="1">
        <f t="array" ref="F30">SUMPRODUCT((Master_List_Of_Injuries[Year]=$B$3)*(Master_List_Of_Injuries[Month.1]=A30)*((Master_List_Of_Injuries[ESI Status]="RECORDABLE")+(Master_List_Of_Injuries[Recordable_Flag]="Yes")&gt;0)*1)</f>
        <v>0</v>
      </c>
      <c r="G30" s="19"/>
      <c r="H30" s="18"/>
      <c r="I30" s="18"/>
      <c r="J30" s="18"/>
      <c r="K30" s="18"/>
      <c r="L30" s="18"/>
      <c r="M30" s="18"/>
      <c r="N30" s="18">
        <v>405</v>
      </c>
      <c r="O30" s="32">
        <f>COUNTIFS(Master_List_Of_Injuries[Year],$B$3,Master_List_Of_Injuries[Area],N30)</f>
        <v>20</v>
      </c>
      <c r="P30" s="18"/>
      <c r="Q30" s="18" t="s">
        <v>305</v>
      </c>
      <c r="R30" s="18">
        <f>COUNTIFS(Master_List_Of_Injuries[Year],$B$3,Master_List_Of_Injuries[JTP:],Q30)</f>
        <v>1</v>
      </c>
      <c r="S30" s="18"/>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row>
    <row r="31" spans="1:52" ht="15" x14ac:dyDescent="0.25">
      <c r="A31" s="18" t="s">
        <v>740</v>
      </c>
      <c r="B31" s="18">
        <v>10</v>
      </c>
      <c r="C31" s="18">
        <f>COUNTIFS(Master_List_Of_Injuries[Year],$B$4,Master_List_Of_Injuries[Month.1],A31)</f>
        <v>42</v>
      </c>
      <c r="D31" s="18">
        <f>COUNTIFS(Master_List_Of_Injuries[Year],$B$3,Master_List_Of_Injuries[Month.1],A31)</f>
        <v>0</v>
      </c>
      <c r="E31" s="18" cm="1">
        <f t="array" ref="E31">SUMPRODUCT((Master_List_Of_Injuries[Year]=$B$4)*(Master_List_Of_Injuries[Month.1]=A31)*((Master_List_Of_Injuries[ESI Status]="RECORDABLE")+(Master_List_Of_Injuries[Recordable_Flag]="Yes")&gt;0)*1)</f>
        <v>0</v>
      </c>
      <c r="F31" s="18" cm="1">
        <f t="array" ref="F31">SUMPRODUCT((Master_List_Of_Injuries[Year]=$B$3)*(Master_List_Of_Injuries[Month.1]=A31)*((Master_List_Of_Injuries[ESI Status]="RECORDABLE")+(Master_List_Of_Injuries[Recordable_Flag]="Yes")&gt;0)*1)</f>
        <v>0</v>
      </c>
      <c r="G31" s="19"/>
      <c r="H31" s="18"/>
      <c r="I31" s="18"/>
      <c r="J31" s="18"/>
      <c r="K31" s="18"/>
      <c r="L31" s="18"/>
      <c r="M31" s="18"/>
      <c r="N31" s="18">
        <v>109</v>
      </c>
      <c r="O31" s="32">
        <f>COUNTIFS(Master_List_Of_Injuries[Year],$B$3,Master_List_Of_Injuries[Area],N31)</f>
        <v>16</v>
      </c>
      <c r="P31" s="18"/>
      <c r="Q31" s="18" t="s">
        <v>32</v>
      </c>
      <c r="R31" s="18">
        <f>COUNTIFS(Master_List_Of_Injuries[Year],$B$3,Master_List_Of_Injuries[JTP:],Q31)</f>
        <v>1</v>
      </c>
      <c r="S31" s="18"/>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row>
    <row r="32" spans="1:52" ht="15" x14ac:dyDescent="0.25">
      <c r="A32" s="18" t="s">
        <v>741</v>
      </c>
      <c r="B32" s="18">
        <v>11</v>
      </c>
      <c r="C32" s="18">
        <f>COUNTIFS(Master_List_Of_Injuries[Year],$B$4,Master_List_Of_Injuries[Month.1],A32)</f>
        <v>37</v>
      </c>
      <c r="D32" s="18">
        <f>COUNTIFS(Master_List_Of_Injuries[Year],$B$3,Master_List_Of_Injuries[Month.1],A32)</f>
        <v>0</v>
      </c>
      <c r="E32" s="18" cm="1">
        <f t="array" ref="E32">SUMPRODUCT((Master_List_Of_Injuries[Year]=$B$4)*(Master_List_Of_Injuries[Month.1]=A32)*((Master_List_Of_Injuries[ESI Status]="RECORDABLE")+(Master_List_Of_Injuries[Recordable_Flag]="Yes")&gt;0)*1)</f>
        <v>0</v>
      </c>
      <c r="F32" s="18" cm="1">
        <f t="array" ref="F32">SUMPRODUCT((Master_List_Of_Injuries[Year]=$B$3)*(Master_List_Of_Injuries[Month.1]=A32)*((Master_List_Of_Injuries[ESI Status]="RECORDABLE")+(Master_List_Of_Injuries[Recordable_Flag]="Yes")&gt;0)*1)</f>
        <v>0</v>
      </c>
      <c r="G32" s="19"/>
      <c r="H32" s="18"/>
      <c r="I32" s="18"/>
      <c r="J32" s="18"/>
      <c r="K32" s="18"/>
      <c r="L32" s="18"/>
      <c r="M32" s="18"/>
      <c r="N32" s="18">
        <v>429</v>
      </c>
      <c r="O32" s="32">
        <f>COUNTIFS(Master_List_Of_Injuries[Year],$B$3,Master_List_Of_Injuries[Area],N32)</f>
        <v>15</v>
      </c>
      <c r="P32" s="18"/>
      <c r="Q32" s="18"/>
      <c r="R32" s="18"/>
      <c r="S32" s="18"/>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row>
    <row r="33" spans="1:52" ht="15" x14ac:dyDescent="0.25">
      <c r="A33" s="18" t="s">
        <v>742</v>
      </c>
      <c r="B33" s="18">
        <v>12</v>
      </c>
      <c r="C33" s="18">
        <f>COUNTIFS(Master_List_Of_Injuries[Year],$B$4,Master_List_Of_Injuries[Month.1],A33)</f>
        <v>31</v>
      </c>
      <c r="D33" s="18">
        <f>COUNTIFS(Master_List_Of_Injuries[Year],$B$3,Master_List_Of_Injuries[Month.1],A33)</f>
        <v>0</v>
      </c>
      <c r="E33" s="18" cm="1">
        <f t="array" ref="E33">SUMPRODUCT((Master_List_Of_Injuries[Year]=$B$4)*(Master_List_Of_Injuries[Month.1]=A33)*((Master_List_Of_Injuries[ESI Status]="RECORDABLE")+(Master_List_Of_Injuries[Recordable_Flag]="Yes")&gt;0)*1)</f>
        <v>1</v>
      </c>
      <c r="F33" s="18" cm="1">
        <f t="array" ref="F33">SUMPRODUCT((Master_List_Of_Injuries[Year]=$B$3)*(Master_List_Of_Injuries[Month.1]=A33)*((Master_List_Of_Injuries[ESI Status]="RECORDABLE")+(Master_List_Of_Injuries[Recordable_Flag]="Yes")&gt;0)*1)</f>
        <v>0</v>
      </c>
      <c r="G33" s="19"/>
      <c r="H33" s="18"/>
      <c r="I33" s="18"/>
      <c r="J33" s="18"/>
      <c r="K33" s="18"/>
      <c r="L33" s="18"/>
      <c r="M33" s="18"/>
      <c r="N33" s="18">
        <v>101</v>
      </c>
      <c r="O33" s="32">
        <f>COUNTIFS(Master_List_Of_Injuries[Year],$B$3,Master_List_Of_Injuries[Area],N33)</f>
        <v>16</v>
      </c>
      <c r="P33" s="18"/>
      <c r="Q33" s="18"/>
      <c r="R33" s="18"/>
      <c r="S33" s="18"/>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row>
    <row r="34" spans="1:52" ht="15" x14ac:dyDescent="0.25">
      <c r="A34" s="18"/>
      <c r="B34" s="18"/>
      <c r="C34" s="18"/>
      <c r="D34" s="18"/>
      <c r="E34" s="18"/>
      <c r="F34" s="18"/>
      <c r="G34" s="19"/>
      <c r="H34" s="18"/>
      <c r="I34" s="18"/>
      <c r="J34" s="18"/>
      <c r="K34" s="18"/>
      <c r="L34" s="18"/>
      <c r="M34" s="18"/>
      <c r="N34" s="18">
        <v>106</v>
      </c>
      <c r="O34" s="32">
        <f>COUNTIFS(Master_List_Of_Injuries[Year],$B$3,Master_List_Of_Injuries[Area],N34)</f>
        <v>14</v>
      </c>
      <c r="P34" s="18"/>
      <c r="Q34" s="18"/>
      <c r="R34" s="18"/>
      <c r="S34" s="18"/>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row>
    <row r="35" spans="1:52" ht="15" x14ac:dyDescent="0.25">
      <c r="A35" s="18"/>
      <c r="B35" s="18"/>
      <c r="C35" s="18"/>
      <c r="D35" s="18"/>
      <c r="E35" s="18"/>
      <c r="F35" s="18"/>
      <c r="G35" s="19"/>
      <c r="H35" s="18"/>
      <c r="I35" s="18"/>
      <c r="J35" s="18"/>
      <c r="K35" s="18"/>
      <c r="L35" s="18"/>
      <c r="M35" s="18"/>
      <c r="N35" s="18">
        <v>100</v>
      </c>
      <c r="O35" s="32">
        <f>COUNTIFS(Master_List_Of_Injuries[Year],$B$3,Master_List_Of_Injuries[Area],N35)</f>
        <v>12</v>
      </c>
      <c r="P35" s="18"/>
      <c r="Q35" s="18"/>
      <c r="R35" s="18"/>
      <c r="S35" s="18"/>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row>
    <row r="36" spans="1:52" ht="15" x14ac:dyDescent="0.25">
      <c r="A36" s="8" t="s">
        <v>727</v>
      </c>
      <c r="B36" s="8">
        <v>2025</v>
      </c>
      <c r="C36" s="8">
        <v>2026</v>
      </c>
      <c r="D36" s="18"/>
      <c r="E36" s="18"/>
      <c r="F36" s="18"/>
      <c r="G36" s="19"/>
      <c r="H36" s="18"/>
      <c r="I36" s="18"/>
      <c r="J36" s="18"/>
      <c r="K36" s="18"/>
      <c r="L36" s="18"/>
      <c r="M36" s="18"/>
      <c r="N36" s="18">
        <v>415</v>
      </c>
      <c r="O36" s="32">
        <f>COUNTIFS(Master_List_Of_Injuries[Year],$B$3,Master_List_Of_Injuries[Area],N36)</f>
        <v>11</v>
      </c>
      <c r="P36" s="18"/>
      <c r="Q36" s="18"/>
      <c r="R36" s="18"/>
      <c r="S36" s="18"/>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row>
    <row r="37" spans="1:52" ht="15" x14ac:dyDescent="0.25">
      <c r="A37" s="18" t="s">
        <v>1073</v>
      </c>
      <c r="B37" s="18">
        <f t="shared" ref="B37:C48" si="1">C22</f>
        <v>23</v>
      </c>
      <c r="C37" s="18">
        <f t="shared" si="1"/>
        <v>28</v>
      </c>
      <c r="D37" s="18"/>
      <c r="E37" s="18"/>
      <c r="F37" s="18"/>
      <c r="G37" s="19"/>
      <c r="H37" s="18"/>
      <c r="I37" s="18"/>
      <c r="J37" s="18"/>
      <c r="K37" s="18"/>
      <c r="L37" s="18"/>
      <c r="M37" s="18"/>
      <c r="N37" s="18">
        <v>447</v>
      </c>
      <c r="O37" s="32">
        <f>COUNTIFS(Master_List_Of_Injuries[Year],$B$3,Master_List_Of_Injuries[Area],N37)</f>
        <v>4</v>
      </c>
      <c r="P37" s="18"/>
      <c r="Q37" s="18"/>
      <c r="R37" s="18"/>
      <c r="S37" s="18"/>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row>
    <row r="38" spans="1:52" ht="15" x14ac:dyDescent="0.25">
      <c r="A38" s="18" t="s">
        <v>1074</v>
      </c>
      <c r="B38" s="18">
        <f t="shared" si="1"/>
        <v>19</v>
      </c>
      <c r="C38" s="18">
        <f t="shared" si="1"/>
        <v>44</v>
      </c>
      <c r="D38" s="18"/>
      <c r="E38" s="18"/>
      <c r="F38" s="18"/>
      <c r="G38" s="19"/>
      <c r="H38" s="18"/>
      <c r="I38" s="18"/>
      <c r="J38" s="18"/>
      <c r="K38" s="18"/>
      <c r="L38" s="18"/>
      <c r="M38" s="18"/>
      <c r="N38" s="18"/>
      <c r="O38" s="18"/>
      <c r="P38" s="18"/>
      <c r="Q38" s="18"/>
      <c r="R38" s="18"/>
      <c r="S38" s="18"/>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row>
    <row r="39" spans="1:52" ht="15" x14ac:dyDescent="0.25">
      <c r="A39" s="18" t="s">
        <v>1075</v>
      </c>
      <c r="B39" s="18">
        <f t="shared" si="1"/>
        <v>24</v>
      </c>
      <c r="C39" s="18">
        <f t="shared" si="1"/>
        <v>31</v>
      </c>
      <c r="D39" s="18"/>
      <c r="E39" s="18"/>
      <c r="F39" s="18"/>
      <c r="G39" s="19"/>
      <c r="H39" s="18"/>
      <c r="I39" s="18"/>
      <c r="J39" s="18"/>
      <c r="K39" s="18"/>
      <c r="L39" s="18"/>
      <c r="M39" s="18"/>
      <c r="N39" s="18"/>
      <c r="O39" s="18"/>
      <c r="P39" s="18"/>
      <c r="Q39" s="18"/>
      <c r="R39" s="18"/>
      <c r="S39" s="18"/>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row>
    <row r="40" spans="1:52" ht="15" x14ac:dyDescent="0.25">
      <c r="A40" s="18" t="s">
        <v>1076</v>
      </c>
      <c r="B40" s="18">
        <f t="shared" si="1"/>
        <v>17</v>
      </c>
      <c r="C40" s="18">
        <f t="shared" si="1"/>
        <v>48</v>
      </c>
      <c r="D40" s="18"/>
      <c r="E40" s="18"/>
      <c r="F40" s="18"/>
      <c r="G40" s="19"/>
      <c r="H40" s="18"/>
      <c r="I40" s="18"/>
      <c r="J40" s="18"/>
      <c r="K40" s="18"/>
      <c r="L40" s="18"/>
      <c r="M40" s="18"/>
      <c r="N40" s="18"/>
      <c r="O40" s="18"/>
      <c r="P40" s="18"/>
      <c r="Q40" s="18"/>
      <c r="R40" s="18"/>
      <c r="S40" s="18"/>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row>
    <row r="41" spans="1:52" ht="15" x14ac:dyDescent="0.25">
      <c r="A41" s="18" t="s">
        <v>735</v>
      </c>
      <c r="B41" s="18">
        <f t="shared" si="1"/>
        <v>22</v>
      </c>
      <c r="C41" s="18">
        <f t="shared" si="1"/>
        <v>25</v>
      </c>
      <c r="D41" s="18"/>
      <c r="E41" s="18"/>
      <c r="F41" s="18"/>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row>
    <row r="42" spans="1:52" ht="15" x14ac:dyDescent="0.25">
      <c r="A42" s="18" t="s">
        <v>1077</v>
      </c>
      <c r="B42" s="18">
        <f t="shared" si="1"/>
        <v>21</v>
      </c>
      <c r="C42" s="18">
        <f t="shared" si="1"/>
        <v>56</v>
      </c>
      <c r="D42" s="18"/>
      <c r="E42" s="18"/>
      <c r="F42" s="18"/>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2" ht="15" x14ac:dyDescent="0.25">
      <c r="A43" s="18" t="s">
        <v>1078</v>
      </c>
      <c r="B43" s="18">
        <f t="shared" si="1"/>
        <v>15</v>
      </c>
      <c r="C43" s="18">
        <f t="shared" si="1"/>
        <v>43</v>
      </c>
      <c r="D43" s="18"/>
      <c r="E43" s="18"/>
      <c r="F43" s="18"/>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2" ht="15" x14ac:dyDescent="0.25">
      <c r="A44" s="18" t="s">
        <v>1151</v>
      </c>
      <c r="B44" s="18">
        <f t="shared" si="1"/>
        <v>20</v>
      </c>
      <c r="C44" s="18">
        <f t="shared" si="1"/>
        <v>0</v>
      </c>
      <c r="D44" s="18"/>
      <c r="E44" s="18"/>
      <c r="F44" s="18"/>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row>
    <row r="45" spans="1:52" ht="15" x14ac:dyDescent="0.25">
      <c r="A45" s="18" t="s">
        <v>1152</v>
      </c>
      <c r="B45" s="18">
        <f t="shared" si="1"/>
        <v>34</v>
      </c>
      <c r="C45" s="18">
        <f t="shared" si="1"/>
        <v>0</v>
      </c>
      <c r="D45" s="18"/>
      <c r="E45" s="18"/>
      <c r="F45" s="18"/>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row>
    <row r="46" spans="1:52" ht="15" x14ac:dyDescent="0.25">
      <c r="A46" s="18" t="s">
        <v>1153</v>
      </c>
      <c r="B46" s="18">
        <f t="shared" si="1"/>
        <v>42</v>
      </c>
      <c r="C46" s="18">
        <f t="shared" si="1"/>
        <v>0</v>
      </c>
      <c r="D46" s="18"/>
      <c r="E46" s="18"/>
      <c r="F46" s="18"/>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row>
    <row r="47" spans="1:52" ht="15" x14ac:dyDescent="0.25">
      <c r="A47" s="18" t="s">
        <v>1154</v>
      </c>
      <c r="B47" s="18">
        <f t="shared" si="1"/>
        <v>37</v>
      </c>
      <c r="C47" s="18">
        <f t="shared" si="1"/>
        <v>0</v>
      </c>
      <c r="D47" s="18"/>
      <c r="E47" s="18"/>
      <c r="F47" s="18"/>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row>
    <row r="48" spans="1:52" ht="15" x14ac:dyDescent="0.25">
      <c r="A48" s="18" t="s">
        <v>1155</v>
      </c>
      <c r="B48" s="18">
        <f t="shared" si="1"/>
        <v>31</v>
      </c>
      <c r="C48" s="18">
        <f t="shared" si="1"/>
        <v>0</v>
      </c>
      <c r="D48" s="18"/>
      <c r="E48" s="18"/>
      <c r="F48" s="18"/>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row>
    <row r="49" spans="1:52" ht="15" x14ac:dyDescent="0.25">
      <c r="A49" s="18"/>
      <c r="B49" s="18"/>
      <c r="C49" s="18"/>
      <c r="D49" s="18"/>
      <c r="E49" s="18"/>
      <c r="F49" s="18"/>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row>
    <row r="50" spans="1:52" ht="15" x14ac:dyDescent="0.25">
      <c r="A50" s="18"/>
      <c r="B50" s="18"/>
      <c r="C50" s="18"/>
      <c r="D50" s="18"/>
      <c r="E50" s="18"/>
      <c r="F50" s="18"/>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row>
    <row r="51" spans="1:52" ht="15" x14ac:dyDescent="0.25">
      <c r="A51" s="33" t="s">
        <v>1160</v>
      </c>
      <c r="B51" s="19"/>
      <c r="C51" s="19"/>
      <c r="D51" s="33" t="s">
        <v>1162</v>
      </c>
      <c r="E51" s="19"/>
      <c r="F51" s="19"/>
      <c r="G51" s="33" t="s">
        <v>1163</v>
      </c>
      <c r="H51" s="19"/>
      <c r="I51" s="19"/>
      <c r="J51" s="33" t="s">
        <v>1164</v>
      </c>
      <c r="K51" s="19"/>
      <c r="L51" s="19"/>
      <c r="M51" s="33" t="s">
        <v>1165</v>
      </c>
      <c r="N51" s="19"/>
      <c r="O51" s="19"/>
      <c r="P51" s="33" t="s">
        <v>1180</v>
      </c>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row>
    <row r="52" spans="1:52" ht="15" x14ac:dyDescent="0.25">
      <c r="A52" s="23" t="s">
        <v>1161</v>
      </c>
      <c r="B52" s="23" t="s">
        <v>1102</v>
      </c>
      <c r="C52" s="19"/>
      <c r="D52" s="23" t="s">
        <v>1036</v>
      </c>
      <c r="E52" s="23" t="s">
        <v>1053</v>
      </c>
      <c r="F52" s="19"/>
      <c r="G52" s="23" t="s">
        <v>1058</v>
      </c>
      <c r="H52" s="23" t="s">
        <v>1102</v>
      </c>
      <c r="I52" s="19"/>
      <c r="J52" s="23" t="s">
        <v>3</v>
      </c>
      <c r="K52" s="23" t="s">
        <v>1102</v>
      </c>
      <c r="L52" s="19"/>
      <c r="M52" s="23" t="s">
        <v>2</v>
      </c>
      <c r="N52" s="23" t="s">
        <v>1053</v>
      </c>
      <c r="O52" s="19"/>
      <c r="P52" s="23" t="s">
        <v>1144</v>
      </c>
      <c r="Q52" s="23" t="s">
        <v>1102</v>
      </c>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row>
    <row r="53" spans="1:52" ht="15" x14ac:dyDescent="0.25">
      <c r="A53" s="19" t="str">
        <f>IFERROR(INDEX(_xlfn.ANCHORARRAY($G$65),1,1),"")</f>
        <v>Strain</v>
      </c>
      <c r="B53" s="19">
        <f>IFERROR(INDEX(_xlfn.ANCHORARRAY($G$65),1,2),0)</f>
        <v>97</v>
      </c>
      <c r="C53" s="19"/>
      <c r="D53" s="19" t="str">
        <f>IFERROR(INDEX(_xlfn.ANCHORARRAY($D$65),1,1),"")</f>
        <v>Fabrication</v>
      </c>
      <c r="E53" s="19">
        <f>IFERROR(INDEX(_xlfn.ANCHORARRAY($D$65),1,2),0)</f>
        <v>132</v>
      </c>
      <c r="F53" s="19"/>
      <c r="G53" s="19" t="str">
        <f t="shared" ref="G53:H55" si="2">H23</f>
        <v>FA</v>
      </c>
      <c r="H53" s="19">
        <f t="shared" si="2"/>
        <v>228</v>
      </c>
      <c r="I53" s="19"/>
      <c r="J53" s="19">
        <f>IFERROR(INDEX(_xlfn.ANCHORARRAY($J$65),1,1),"")</f>
        <v>102</v>
      </c>
      <c r="K53" s="19">
        <f>IFERROR(INDEX(_xlfn.ANCHORARRAY($J$65),1,2),0)</f>
        <v>32</v>
      </c>
      <c r="L53" s="19"/>
      <c r="M53" s="19" t="str">
        <f>IFERROR(INDEX(_xlfn.ANCHORARRAY($M$65),1,1),"")</f>
        <v>Samuel Sierra</v>
      </c>
      <c r="N53" s="19">
        <f>IFERROR(INDEX(_xlfn.ANCHORARRAY($M$65),1,2),0)</f>
        <v>24</v>
      </c>
      <c r="O53" s="19"/>
      <c r="P53" s="19" t="str">
        <f>IFERROR(INDEX(_xlfn.ANCHORARRAY($P$65),1,1),"")</f>
        <v>Tender Puller</v>
      </c>
      <c r="Q53" s="19">
        <f>IFERROR(INDEX(_xlfn.ANCHORARRAY($P$65),1,2),0)</f>
        <v>8</v>
      </c>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row>
    <row r="54" spans="1:52" ht="15" x14ac:dyDescent="0.25">
      <c r="A54" s="19" t="str">
        <f>IFERROR(INDEX(_xlfn.ANCHORARRAY($G$65),2,1),"")</f>
        <v>Slip, Trip, &amp; Fall</v>
      </c>
      <c r="B54" s="19">
        <f>IFERROR(INDEX(_xlfn.ANCHORARRAY($G$65),2,2),0)</f>
        <v>26</v>
      </c>
      <c r="C54" s="19"/>
      <c r="D54" s="19" t="str">
        <f>IFERROR(INDEX(_xlfn.ANCHORARRAY($D$65),2,1),"")</f>
        <v>Harvest</v>
      </c>
      <c r="E54" s="19">
        <f>IFERROR(INDEX(_xlfn.ANCHORARRAY($D$65),2,2),0)</f>
        <v>106</v>
      </c>
      <c r="F54" s="19"/>
      <c r="G54" s="19" t="str">
        <f t="shared" si="2"/>
        <v>RPO</v>
      </c>
      <c r="H54" s="19">
        <f t="shared" si="2"/>
        <v>40</v>
      </c>
      <c r="I54" s="19"/>
      <c r="J54" s="19">
        <f>IFERROR(INDEX(_xlfn.ANCHORARRAY($J$65),2,1),"")</f>
        <v>410</v>
      </c>
      <c r="K54" s="19">
        <f>IFERROR(INDEX(_xlfn.ANCHORARRAY($J$65),2,2),0)</f>
        <v>23</v>
      </c>
      <c r="L54" s="19"/>
      <c r="M54" s="19" t="str">
        <f>IFERROR(INDEX(_xlfn.ANCHORARRAY($M$65),2,1),"")</f>
        <v>Elizabeth Neufeld</v>
      </c>
      <c r="N54" s="19">
        <f>IFERROR(INDEX(_xlfn.ANCHORARRAY($M$65),2,2),0)</f>
        <v>23</v>
      </c>
      <c r="O54" s="19"/>
      <c r="P54" s="19" t="str">
        <f>IFERROR(INDEX(_xlfn.ANCHORARRAY($P$65),2,1),"")</f>
        <v>Plate Boner</v>
      </c>
      <c r="Q54" s="19">
        <f>IFERROR(INDEX(_xlfn.ANCHORARRAY($P$65),2,2),0)</f>
        <v>6</v>
      </c>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row>
    <row r="55" spans="1:52" ht="15" x14ac:dyDescent="0.25">
      <c r="A55" s="19" t="str">
        <f>IFERROR(INDEX(_xlfn.ANCHORARRAY($G$65),3,1),"")</f>
        <v>Puncture</v>
      </c>
      <c r="B55" s="19">
        <f>IFERROR(INDEX(_xlfn.ANCHORARRAY($G$65),3,2),0)</f>
        <v>25</v>
      </c>
      <c r="C55" s="19"/>
      <c r="D55" s="19" t="str">
        <f>IFERROR(INDEX(_xlfn.ANCHORARRAY($D$65),3,1),"")</f>
        <v>Maintenance</v>
      </c>
      <c r="E55" s="19">
        <f>IFERROR(INDEX(_xlfn.ANCHORARRAY($D$65),3,2),0)</f>
        <v>10</v>
      </c>
      <c r="F55" s="19"/>
      <c r="G55" s="19" t="str">
        <f t="shared" si="2"/>
        <v>RECORDABLE</v>
      </c>
      <c r="H55" s="19">
        <f t="shared" si="2"/>
        <v>7</v>
      </c>
      <c r="I55" s="19"/>
      <c r="J55" s="19">
        <f>IFERROR(INDEX(_xlfn.ANCHORARRAY($J$65),3,1),"")</f>
        <v>420</v>
      </c>
      <c r="K55" s="19">
        <f>IFERROR(INDEX(_xlfn.ANCHORARRAY($J$65),3,2),0)</f>
        <v>22</v>
      </c>
      <c r="L55" s="19"/>
      <c r="M55" s="19" t="str">
        <f>IFERROR(INDEX(_xlfn.ANCHORARRAY($M$65),3,1),"")</f>
        <v>Juan Ramirez</v>
      </c>
      <c r="N55" s="19">
        <f>IFERROR(INDEX(_xlfn.ANCHORARRAY($M$65),3,2),0)</f>
        <v>21</v>
      </c>
      <c r="O55" s="19"/>
      <c r="P55" s="19" t="str">
        <f>IFERROR(INDEX(_xlfn.ANCHORARRAY($P$65),3,1),"")</f>
        <v>Intestine Stripper</v>
      </c>
      <c r="Q55" s="19">
        <f>IFERROR(INDEX(_xlfn.ANCHORARRAY($P$65),3,2),0)</f>
        <v>6</v>
      </c>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1:52" ht="15" x14ac:dyDescent="0.25">
      <c r="A56" s="19" t="str">
        <f>IFERROR(INDEX(_xlfn.ANCHORARRAY($G$65),4,1),"")</f>
        <v>Rash</v>
      </c>
      <c r="B56" s="19">
        <f>IFERROR(INDEX(_xlfn.ANCHORARRAY($G$65),4,2),0)</f>
        <v>14</v>
      </c>
      <c r="C56" s="19"/>
      <c r="D56" s="19" t="str">
        <f>IFERROR(INDEX(_xlfn.ANCHORARRAY($D$65),4,1),"")</f>
        <v>Corrals</v>
      </c>
      <c r="E56" s="19">
        <f>IFERROR(INDEX(_xlfn.ANCHORARRAY($D$65),4,2),0)</f>
        <v>8</v>
      </c>
      <c r="F56" s="19"/>
      <c r="G56" s="19"/>
      <c r="H56" s="19"/>
      <c r="I56" s="19"/>
      <c r="J56" s="19">
        <f>IFERROR(INDEX(_xlfn.ANCHORARRAY($J$65),4,1),"")</f>
        <v>400</v>
      </c>
      <c r="K56" s="19">
        <f>IFERROR(INDEX(_xlfn.ANCHORARRAY($J$65),4,2),0)</f>
        <v>21</v>
      </c>
      <c r="L56" s="19"/>
      <c r="M56" s="19" t="str">
        <f>IFERROR(INDEX(_xlfn.ANCHORARRAY($M$65),4,1),"")</f>
        <v>Ovidio Sanchez</v>
      </c>
      <c r="N56" s="19">
        <f>IFERROR(INDEX(_xlfn.ANCHORARRAY($M$65),4,2),0)</f>
        <v>21</v>
      </c>
      <c r="O56" s="19"/>
      <c r="P56" s="19" t="str">
        <f>IFERROR(INDEX(_xlfn.ANCHORARRAY($P$65),4,1),"")</f>
        <v>Whizzard Knife Op.</v>
      </c>
      <c r="Q56" s="19">
        <f>IFERROR(INDEX(_xlfn.ANCHORARRAY($P$65),4,2),0)</f>
        <v>5</v>
      </c>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1:52" ht="15" x14ac:dyDescent="0.25">
      <c r="A57" s="19" t="str">
        <f>IFERROR(INDEX(_xlfn.ANCHORARRAY($G$65),5,1),"")</f>
        <v>Burn</v>
      </c>
      <c r="B57" s="19">
        <f>IFERROR(INDEX(_xlfn.ANCHORARRAY($G$65),5,2),0)</f>
        <v>12</v>
      </c>
      <c r="C57" s="19"/>
      <c r="D57" s="19" t="str">
        <f>IFERROR(INDEX(_xlfn.ANCHORARRAY($D$65),5,1),"")</f>
        <v>Warehouse</v>
      </c>
      <c r="E57" s="19">
        <f>IFERROR(INDEX(_xlfn.ANCHORARRAY($D$65),5,2),0)</f>
        <v>6</v>
      </c>
      <c r="F57" s="19"/>
      <c r="G57" s="19"/>
      <c r="H57" s="19"/>
      <c r="I57" s="19"/>
      <c r="J57" s="19">
        <f>IFERROR(INDEX(_xlfn.ANCHORARRAY($J$65),5,1),"")</f>
        <v>405</v>
      </c>
      <c r="K57" s="19">
        <f>IFERROR(INDEX(_xlfn.ANCHORARRAY($J$65),5,2),0)</f>
        <v>20</v>
      </c>
      <c r="L57" s="19"/>
      <c r="M57" s="19" t="str">
        <f>IFERROR(INDEX(_xlfn.ANCHORARRAY($M$65),5,1),"")</f>
        <v>Alex Vargas</v>
      </c>
      <c r="N57" s="19">
        <f>IFERROR(INDEX(_xlfn.ANCHORARRAY($M$65),5,2),0)</f>
        <v>19</v>
      </c>
      <c r="O57" s="19"/>
      <c r="P57" s="19" t="str">
        <f>IFERROR(INDEX(_xlfn.ANCHORARRAY($P$65),5,1),"")</f>
        <v>Wax Papper Remover</v>
      </c>
      <c r="Q57" s="19">
        <f>IFERROR(INDEX(_xlfn.ANCHORARRAY($P$65),5,2),0)</f>
        <v>5</v>
      </c>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1:52" ht="15" x14ac:dyDescent="0.25">
      <c r="A58" s="19" t="str">
        <f>IFERROR(INDEX(_xlfn.ANCHORARRAY($G$65),6,1),"")</f>
        <v>Abrasion</v>
      </c>
      <c r="B58" s="19">
        <f>IFERROR(INDEX(_xlfn.ANCHORARRAY($G$65),6,2),0)</f>
        <v>9</v>
      </c>
      <c r="C58" s="19"/>
      <c r="D58" s="19" t="str">
        <f>IFERROR(INDEX(_xlfn.ANCHORARRAY($D$65),6,1),"")</f>
        <v>Buildings &amp; Grounds</v>
      </c>
      <c r="E58" s="19">
        <f>IFERROR(INDEX(_xlfn.ANCHORARRAY($D$65),6,2),0)</f>
        <v>4</v>
      </c>
      <c r="F58" s="19"/>
      <c r="G58" s="19"/>
      <c r="H58" s="19"/>
      <c r="I58" s="19"/>
      <c r="J58" s="19">
        <f>IFERROR(INDEX(_xlfn.ANCHORARRAY($J$65),6,1),"")</f>
        <v>109</v>
      </c>
      <c r="K58" s="19">
        <f>IFERROR(INDEX(_xlfn.ANCHORARRAY($J$65),6,2),0)</f>
        <v>16</v>
      </c>
      <c r="L58" s="19"/>
      <c r="M58" s="19" t="str">
        <f>IFERROR(INDEX(_xlfn.ANCHORARRAY($M$65),6,1),"")</f>
        <v>Diego Soria</v>
      </c>
      <c r="N58" s="19">
        <f>IFERROR(INDEX(_xlfn.ANCHORARRAY($M$65),6,2),0)</f>
        <v>18</v>
      </c>
      <c r="O58" s="19"/>
      <c r="P58" s="19" t="str">
        <f>IFERROR(INDEX(_xlfn.ANCHORARRAY($P$65),6,1),"")</f>
        <v>Cattle Pusher</v>
      </c>
      <c r="Q58" s="19">
        <f>IFERROR(INDEX(_xlfn.ANCHORARRAY($P$65),6,2),0)</f>
        <v>5</v>
      </c>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1:52" ht="15" x14ac:dyDescent="0.25">
      <c r="A59" s="19" t="str">
        <f>IFERROR(INDEX(_xlfn.ANCHORARRAY($G$65),7,1),"")</f>
        <v>Laceration</v>
      </c>
      <c r="B59" s="19">
        <f>IFERROR(INDEX(_xlfn.ANCHORARRAY($G$65),7,2),0)</f>
        <v>8</v>
      </c>
      <c r="C59" s="19"/>
      <c r="D59" s="19" t="str">
        <f>IFERROR(INDEX(_xlfn.ANCHORARRAY($D$65),7,1),"")</f>
        <v>Outside Clean Up</v>
      </c>
      <c r="E59" s="19">
        <f>IFERROR(INDEX(_xlfn.ANCHORARRAY($D$65),7,2),0)</f>
        <v>3</v>
      </c>
      <c r="F59" s="19"/>
      <c r="G59" s="19"/>
      <c r="H59" s="19"/>
      <c r="I59" s="19"/>
      <c r="J59" s="19">
        <f>IFERROR(INDEX(_xlfn.ANCHORARRAY($J$65),7,1),"")</f>
        <v>101</v>
      </c>
      <c r="K59" s="19">
        <f>IFERROR(INDEX(_xlfn.ANCHORARRAY($J$65),7,2),0)</f>
        <v>16</v>
      </c>
      <c r="L59" s="19"/>
      <c r="M59" s="19" t="str">
        <f>IFERROR(INDEX(_xlfn.ANCHORARRAY($M$65),7,1),"")</f>
        <v>Christian Lopez</v>
      </c>
      <c r="N59" s="19">
        <f>IFERROR(INDEX(_xlfn.ANCHORARRAY($M$65),7,2),0)</f>
        <v>15</v>
      </c>
      <c r="O59" s="19"/>
      <c r="P59" s="19" t="str">
        <f>IFERROR(INDEX(_xlfn.ANCHORARRAY($P$65),7,1),"")</f>
        <v>Herdsman</v>
      </c>
      <c r="Q59" s="19">
        <f>IFERROR(INDEX(_xlfn.ANCHORARRAY($P$65),7,2),0)</f>
        <v>5</v>
      </c>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1:52" ht="15" x14ac:dyDescent="0.25">
      <c r="A60" s="19" t="str">
        <f>IFERROR(INDEX(_xlfn.ANCHORARRAY($G$65),8,1),"")</f>
        <v>Struck By Cattle</v>
      </c>
      <c r="B60" s="19">
        <f>IFERROR(INDEX(_xlfn.ANCHORARRAY($G$65),8,2),0)</f>
        <v>7</v>
      </c>
      <c r="C60" s="19"/>
      <c r="D60" s="19" t="str">
        <f>IFERROR(INDEX(_xlfn.ANCHORARRAY($D$65),8,1),"")</f>
        <v>Loading Dock</v>
      </c>
      <c r="E60" s="19">
        <f>IFERROR(INDEX(_xlfn.ANCHORARRAY($D$65),8,2),0)</f>
        <v>3</v>
      </c>
      <c r="F60" s="19"/>
      <c r="G60" s="19"/>
      <c r="H60" s="19"/>
      <c r="I60" s="19"/>
      <c r="J60" s="19">
        <f>IFERROR(INDEX(_xlfn.ANCHORARRAY($J$65),8,1),"")</f>
        <v>429</v>
      </c>
      <c r="K60" s="19">
        <f>IFERROR(INDEX(_xlfn.ANCHORARRAY($J$65),8,2),0)</f>
        <v>15</v>
      </c>
      <c r="L60" s="19"/>
      <c r="M60" s="19" t="str">
        <f>IFERROR(INDEX(_xlfn.ANCHORARRAY($M$65),8,1),"")</f>
        <v>Chadu Moua</v>
      </c>
      <c r="N60" s="19">
        <f>IFERROR(INDEX(_xlfn.ANCHORARRAY($M$65),8,2),0)</f>
        <v>15</v>
      </c>
      <c r="O60" s="19"/>
      <c r="P60" s="19" t="str">
        <f>IFERROR(INDEX(_xlfn.ANCHORARRAY($P$65),8,1),"")</f>
        <v>Maintenance</v>
      </c>
      <c r="Q60" s="19">
        <f>IFERROR(INDEX(_xlfn.ANCHORARRAY($P$65),8,2),0)</f>
        <v>1</v>
      </c>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1:52" ht="15" x14ac:dyDescent="0.2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1:52" ht="15" x14ac:dyDescent="0.25">
      <c r="A62" s="29" t="s">
        <v>1166</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row>
    <row r="63" spans="1:52" ht="15" x14ac:dyDescent="0.25">
      <c r="A63" s="19" t="s">
        <v>1056</v>
      </c>
      <c r="B63" s="19" t="str" cm="1">
        <f t="array" ref="B63">LOOKUP(2,1/(D22:D33&gt;0),A22:A33)</f>
        <v>July</v>
      </c>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row>
    <row r="64" spans="1:52" ht="15" x14ac:dyDescent="0.25">
      <c r="A64" s="19" t="s">
        <v>1167</v>
      </c>
      <c r="B64" s="19" cm="1">
        <f t="array" ref="B64">LOOKUP(2,1/(D22:D33&gt;0),D22:D33)</f>
        <v>43</v>
      </c>
      <c r="C64" s="19"/>
      <c r="D64" s="33" t="s">
        <v>1156</v>
      </c>
      <c r="E64" s="19"/>
      <c r="F64" s="19"/>
      <c r="G64" s="33" t="s">
        <v>1157</v>
      </c>
      <c r="H64" s="19"/>
      <c r="I64" s="19"/>
      <c r="J64" s="33" t="s">
        <v>1158</v>
      </c>
      <c r="K64" s="19"/>
      <c r="L64" s="19"/>
      <c r="M64" s="33" t="s">
        <v>1159</v>
      </c>
      <c r="N64" s="19"/>
      <c r="O64" s="19"/>
      <c r="P64" s="19" t="s">
        <v>1181</v>
      </c>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row>
    <row r="65" spans="1:52" ht="15" x14ac:dyDescent="0.25">
      <c r="A65" s="19" t="s">
        <v>1168</v>
      </c>
      <c r="B65" s="19" cm="1">
        <f t="array" ref="B65">IFERROR(INDEX(D22:D33,MATCH(B63,A22:A33,0)-1),0)</f>
        <v>56</v>
      </c>
      <c r="C65" s="19"/>
      <c r="D65" s="19" t="str" cm="1">
        <f t="array" ref="D65:E75">_xlfn.SORTBY(H8:I18,I8:I18,-1)</f>
        <v>Fabrication</v>
      </c>
      <c r="E65" s="19">
        <v>132</v>
      </c>
      <c r="F65" s="19"/>
      <c r="G65" s="19" t="str" cm="1">
        <f t="array" ref="G65:H78">_xlfn.SORTBY(N8:O21,O8:O21,-1)</f>
        <v>Strain</v>
      </c>
      <c r="H65" s="19">
        <v>97</v>
      </c>
      <c r="I65" s="19"/>
      <c r="J65" s="19" cm="1">
        <f t="array" ref="J65:K76">_xlfn.SORTBY(N26:O37,O26:O37,-1)</f>
        <v>102</v>
      </c>
      <c r="K65" s="19">
        <v>32</v>
      </c>
      <c r="L65" s="19"/>
      <c r="M65" s="19" t="str" cm="1">
        <f t="array" ref="M65:N74">_xlfn.SORTBY(Q8:R17,R8:R17,-1)</f>
        <v>Samuel Sierra</v>
      </c>
      <c r="N65" s="19">
        <v>24</v>
      </c>
      <c r="O65" s="19"/>
      <c r="P65" s="19" t="str" cm="1">
        <f t="array" ref="P65:Q74">_xlfn.SORTBY(Q22:R31,R22:R31,-1)</f>
        <v>Tender Puller</v>
      </c>
      <c r="Q65" s="19">
        <v>8</v>
      </c>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row>
    <row r="66" spans="1:52" ht="15" x14ac:dyDescent="0.25">
      <c r="A66" s="19" t="s">
        <v>1169</v>
      </c>
      <c r="B66" s="19">
        <f>B64-B65</f>
        <v>-13</v>
      </c>
      <c r="C66" s="19"/>
      <c r="D66" s="19" t="str">
        <v>Harvest</v>
      </c>
      <c r="E66" s="19">
        <v>106</v>
      </c>
      <c r="F66" s="19"/>
      <c r="G66" s="19" t="str">
        <v>Slip, Trip, &amp; Fall</v>
      </c>
      <c r="H66" s="19">
        <v>26</v>
      </c>
      <c r="I66" s="19"/>
      <c r="J66" s="19">
        <v>410</v>
      </c>
      <c r="K66" s="19">
        <v>23</v>
      </c>
      <c r="L66" s="19"/>
      <c r="M66" s="19" t="str">
        <v>Elizabeth Neufeld</v>
      </c>
      <c r="N66" s="19">
        <v>23</v>
      </c>
      <c r="O66" s="19"/>
      <c r="P66" s="19" t="str">
        <v>Plate Boner</v>
      </c>
      <c r="Q66" s="19">
        <v>6</v>
      </c>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row>
    <row r="67" spans="1:52" ht="15" x14ac:dyDescent="0.25">
      <c r="A67" s="19" t="s">
        <v>1170</v>
      </c>
      <c r="B67" s="24">
        <f>IFERROR(INDEX(_xlfn.ANCHORARRAY($D$65),1,2)/B7,0)</f>
        <v>0.48</v>
      </c>
      <c r="C67" s="19"/>
      <c r="D67" s="19" t="str">
        <v>Maintenance</v>
      </c>
      <c r="E67" s="19">
        <v>10</v>
      </c>
      <c r="F67" s="19"/>
      <c r="G67" s="19" t="str">
        <v>Puncture</v>
      </c>
      <c r="H67" s="19">
        <v>25</v>
      </c>
      <c r="I67" s="19"/>
      <c r="J67" s="19">
        <v>420</v>
      </c>
      <c r="K67" s="19">
        <v>22</v>
      </c>
      <c r="L67" s="19"/>
      <c r="M67" s="19" t="str">
        <v>Juan Ramirez</v>
      </c>
      <c r="N67" s="19">
        <v>21</v>
      </c>
      <c r="O67" s="19"/>
      <c r="P67" s="19" t="str">
        <v>Intestine Stripper</v>
      </c>
      <c r="Q67" s="19">
        <v>6</v>
      </c>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row>
    <row r="68" spans="1:52" ht="15" x14ac:dyDescent="0.25">
      <c r="A68" s="19" t="s">
        <v>1171</v>
      </c>
      <c r="B68" s="34">
        <f>IFERROR((B7-D7)/D7,0)</f>
        <v>0.95035460992907805</v>
      </c>
      <c r="C68" s="19"/>
      <c r="D68" s="19" t="str">
        <v>Corrals</v>
      </c>
      <c r="E68" s="19">
        <v>8</v>
      </c>
      <c r="F68" s="19"/>
      <c r="G68" s="19" t="str">
        <v>Rash</v>
      </c>
      <c r="H68" s="19">
        <v>14</v>
      </c>
      <c r="I68" s="19"/>
      <c r="J68" s="19">
        <v>400</v>
      </c>
      <c r="K68" s="19">
        <v>21</v>
      </c>
      <c r="L68" s="19"/>
      <c r="M68" s="19" t="str">
        <v>Ovidio Sanchez</v>
      </c>
      <c r="N68" s="19">
        <v>21</v>
      </c>
      <c r="O68" s="19"/>
      <c r="P68" s="19" t="str">
        <v>Whizzard Knife Op.</v>
      </c>
      <c r="Q68" s="19">
        <v>5</v>
      </c>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row>
    <row r="69" spans="1:52" ht="15" x14ac:dyDescent="0.25">
      <c r="A69" s="19"/>
      <c r="B69" s="19"/>
      <c r="C69" s="19"/>
      <c r="D69" s="19" t="str">
        <v>Warehouse</v>
      </c>
      <c r="E69" s="19">
        <v>6</v>
      </c>
      <c r="F69" s="19"/>
      <c r="G69" s="19" t="str">
        <v>Burn</v>
      </c>
      <c r="H69" s="19">
        <v>12</v>
      </c>
      <c r="I69" s="19"/>
      <c r="J69" s="19">
        <v>405</v>
      </c>
      <c r="K69" s="19">
        <v>20</v>
      </c>
      <c r="L69" s="19"/>
      <c r="M69" s="19" t="str">
        <v>Alex Vargas</v>
      </c>
      <c r="N69" s="19">
        <v>19</v>
      </c>
      <c r="O69" s="19"/>
      <c r="P69" s="19" t="str">
        <v>Wax Papper Remover</v>
      </c>
      <c r="Q69" s="19">
        <v>5</v>
      </c>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row>
    <row r="70" spans="1:52" ht="15" x14ac:dyDescent="0.25">
      <c r="A70" s="19" t="s">
        <v>1172</v>
      </c>
      <c r="B70" s="19" t="str">
        <f>B63&amp;" has "&amp;TEXT(B64,"0")&amp;" incidents ("&amp;B84&amp;" "&amp;TEXT(B66,"+0;-0")&amp;" MoM)."</f>
        <v>July has 43 incidents (▼ -13 MoM).</v>
      </c>
      <c r="C70" s="19"/>
      <c r="D70" s="19" t="str">
        <v>Buildings &amp; Grounds</v>
      </c>
      <c r="E70" s="19">
        <v>4</v>
      </c>
      <c r="F70" s="19"/>
      <c r="G70" s="19" t="str">
        <v>Abrasion</v>
      </c>
      <c r="H70" s="19">
        <v>9</v>
      </c>
      <c r="I70" s="19"/>
      <c r="J70" s="19">
        <v>109</v>
      </c>
      <c r="K70" s="19">
        <v>16</v>
      </c>
      <c r="L70" s="19"/>
      <c r="M70" s="19" t="str">
        <v>Diego Soria</v>
      </c>
      <c r="N70" s="19">
        <v>18</v>
      </c>
      <c r="O70" s="19"/>
      <c r="P70" s="19" t="str">
        <v>Cattle Pusher</v>
      </c>
      <c r="Q70" s="19">
        <v>5</v>
      </c>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row>
    <row r="71" spans="1:52" ht="15" x14ac:dyDescent="0.25">
      <c r="A71" s="19" t="s">
        <v>1173</v>
      </c>
      <c r="B71" s="19" t="str">
        <f>B14&amp;" leads with "&amp;TEXT(INDEX(_xlfn.ANCHORARRAY($D$65),1,2),"0")&amp;" ("&amp;TEXT(B67,"0%")&amp;" of YTD)."</f>
        <v>Fabrication leads with 132 (48% of YTD).</v>
      </c>
      <c r="C71" s="19"/>
      <c r="D71" s="19" t="str">
        <v>Outside Clean Up</v>
      </c>
      <c r="E71" s="19">
        <v>3</v>
      </c>
      <c r="F71" s="19"/>
      <c r="G71" s="19" t="str">
        <v>Laceration</v>
      </c>
      <c r="H71" s="19">
        <v>8</v>
      </c>
      <c r="I71" s="19"/>
      <c r="J71" s="19">
        <v>101</v>
      </c>
      <c r="K71" s="19">
        <v>16</v>
      </c>
      <c r="L71" s="19"/>
      <c r="M71" s="19" t="str">
        <v>Christian Lopez</v>
      </c>
      <c r="N71" s="19">
        <v>15</v>
      </c>
      <c r="O71" s="19"/>
      <c r="P71" s="19" t="str">
        <v>Herdsman</v>
      </c>
      <c r="Q71" s="19">
        <v>5</v>
      </c>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row>
    <row r="72" spans="1:52" ht="15" x14ac:dyDescent="0.25">
      <c r="A72" s="19" t="s">
        <v>1174</v>
      </c>
      <c r="B72" s="19" t="str">
        <f>B13&amp;" is #1 injury type ("&amp;TEXT(INDEX(_xlfn.ANCHORARRAY($G$65),1,2),"0")&amp;" cases)."</f>
        <v>Strain is #1 injury type (97 cases).</v>
      </c>
      <c r="C72" s="19"/>
      <c r="D72" s="19" t="str">
        <v>Loading Dock</v>
      </c>
      <c r="E72" s="19">
        <v>3</v>
      </c>
      <c r="F72" s="19"/>
      <c r="G72" s="19" t="str">
        <v>Struck By Cattle</v>
      </c>
      <c r="H72" s="19">
        <v>7</v>
      </c>
      <c r="I72" s="19"/>
      <c r="J72" s="19">
        <v>429</v>
      </c>
      <c r="K72" s="19">
        <v>15</v>
      </c>
      <c r="L72" s="19"/>
      <c r="M72" s="19" t="str">
        <v>Chadu Moua</v>
      </c>
      <c r="N72" s="19">
        <v>15</v>
      </c>
      <c r="O72" s="19"/>
      <c r="P72" s="19" t="str">
        <v>Maintenance</v>
      </c>
      <c r="Q72" s="19">
        <v>1</v>
      </c>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row>
    <row r="73" spans="1:52" ht="15" x14ac:dyDescent="0.25">
      <c r="A73" s="19" t="s">
        <v>1175</v>
      </c>
      <c r="B73" s="19" t="str">
        <f>"Recordables "&amp;B8&amp;" YTD vs "&amp;D8&amp;" prior ("&amp;TEXT(E8,"+0;-0")&amp;"). Rate "&amp;TEXT(B11,"0.0%")&amp;"."</f>
        <v>Recordables 7 YTD vs 7 prior (+0). Rate 2.5%.</v>
      </c>
      <c r="C73" s="19"/>
      <c r="D73" s="19" t="str">
        <v>FSQA</v>
      </c>
      <c r="E73" s="19">
        <v>2</v>
      </c>
      <c r="F73" s="19"/>
      <c r="G73" s="19" t="str">
        <v>Inhalation / Reaction</v>
      </c>
      <c r="H73" s="19">
        <v>7</v>
      </c>
      <c r="I73" s="19"/>
      <c r="J73" s="19">
        <v>106</v>
      </c>
      <c r="K73" s="19">
        <v>14</v>
      </c>
      <c r="L73" s="19"/>
      <c r="M73" s="19" t="str">
        <v>Richard Xiong</v>
      </c>
      <c r="N73" s="19">
        <v>15</v>
      </c>
      <c r="O73" s="19"/>
      <c r="P73" s="19" t="str">
        <v>Trimmer</v>
      </c>
      <c r="Q73" s="19">
        <v>1</v>
      </c>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row>
    <row r="74" spans="1:52" ht="15" x14ac:dyDescent="0.25">
      <c r="A74" s="19" t="s">
        <v>1176</v>
      </c>
      <c r="B74" s="19" t="str">
        <f ca="1">B3&amp;" YTD "&amp;B7&amp;" vs "&amp;D7&amp;" prior YTD ("&amp;TEXT(B68,"+0%;-0%")&amp;"). "&amp;INT(B12)&amp;" days since last recordable."</f>
        <v>2026 YTD 275 vs 141 prior YTD (+95%). 26 days since last recordable.</v>
      </c>
      <c r="C74" s="19"/>
      <c r="D74" s="19" t="str">
        <v>Utilities</v>
      </c>
      <c r="E74" s="19">
        <v>1</v>
      </c>
      <c r="F74" s="19"/>
      <c r="G74" s="19" t="str">
        <v>Struck By Equipment</v>
      </c>
      <c r="H74" s="19">
        <v>3</v>
      </c>
      <c r="I74" s="19"/>
      <c r="J74" s="19">
        <v>100</v>
      </c>
      <c r="K74" s="19">
        <v>12</v>
      </c>
      <c r="L74" s="19"/>
      <c r="M74" s="19" t="str">
        <v>Rutilo Rodriguez</v>
      </c>
      <c r="N74" s="19">
        <v>0</v>
      </c>
      <c r="O74" s="19"/>
      <c r="P74" s="19" t="str">
        <v>Chuck Boner</v>
      </c>
      <c r="Q74" s="19">
        <v>0</v>
      </c>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row>
    <row r="75" spans="1:52" ht="15" x14ac:dyDescent="0.25">
      <c r="A75" s="19"/>
      <c r="B75" s="19"/>
      <c r="C75" s="19"/>
      <c r="D75" s="19" t="str">
        <v>Recycling</v>
      </c>
      <c r="E75" s="19">
        <v>0</v>
      </c>
      <c r="F75" s="19"/>
      <c r="G75" s="19" t="str">
        <v>Crush Injury</v>
      </c>
      <c r="H75" s="19">
        <v>1</v>
      </c>
      <c r="I75" s="19"/>
      <c r="J75" s="19">
        <v>415</v>
      </c>
      <c r="K75" s="19">
        <v>11</v>
      </c>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row>
    <row r="76" spans="1:52" ht="15" x14ac:dyDescent="0.25">
      <c r="A76" s="19" t="s">
        <v>1177</v>
      </c>
      <c r="B76" s="19" t="str">
        <f>INDEX(_xlfn.ANCHORARRAY($D$65),1,1)&amp;" ("&amp;INDEX(_xlfn.ANCHORARRAY($D$65),1,2)&amp;"), "&amp;INDEX(_xlfn.ANCHORARRAY($D$65),2,1)&amp;" ("&amp;INDEX(_xlfn.ANCHORARRAY($D$65),2,2)&amp;"), "&amp;INDEX(_xlfn.ANCHORARRAY($D$65),3,1)&amp;" ("&amp;INDEX(_xlfn.ANCHORARRAY($D$65),3,2)&amp;")"</f>
        <v>Fabrication (132), Harvest (106), Maintenance (10)</v>
      </c>
      <c r="C76" s="19"/>
      <c r="D76" s="19"/>
      <c r="E76" s="19"/>
      <c r="F76" s="19"/>
      <c r="G76" s="19" t="str">
        <v>Foreign Object in Eye</v>
      </c>
      <c r="H76" s="19">
        <v>0</v>
      </c>
      <c r="I76" s="19"/>
      <c r="J76" s="19">
        <v>447</v>
      </c>
      <c r="K76" s="19">
        <v>4</v>
      </c>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row>
    <row r="77" spans="1:52" ht="15" x14ac:dyDescent="0.25">
      <c r="A77" s="19" t="s">
        <v>1178</v>
      </c>
      <c r="B77" s="19" t="str">
        <f>INDEX(_xlfn.ANCHORARRAY($J$65),1,1)&amp;" ("&amp;INDEX(_xlfn.ANCHORARRAY($J$65),1,2)&amp;"), "&amp;INDEX(_xlfn.ANCHORARRAY($J$65),2,1)&amp;" ("&amp;INDEX(_xlfn.ANCHORARRAY($J$65),2,2)&amp;"), "&amp;INDEX(_xlfn.ANCHORARRAY($J$65),3,1)&amp;" ("&amp;INDEX(_xlfn.ANCHORARRAY($J$65),3,2)&amp;")"</f>
        <v>102 (32), 410 (23), 420 (22)</v>
      </c>
      <c r="C77" s="19"/>
      <c r="D77" s="19"/>
      <c r="E77" s="19"/>
      <c r="F77" s="19"/>
      <c r="G77" s="19" t="str">
        <v>Contact Stress</v>
      </c>
      <c r="H77" s="19">
        <v>0</v>
      </c>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row>
    <row r="78" spans="1:52" ht="15" x14ac:dyDescent="0.25">
      <c r="A78" s="19" t="s">
        <v>1179</v>
      </c>
      <c r="B78" s="19" t="str">
        <f>INDEX(_xlfn.ANCHORARRAY($M$65),1,1)&amp;" ("&amp;INDEX(_xlfn.ANCHORARRAY($M$65),1,2)&amp;"), "&amp;INDEX(_xlfn.ANCHORARRAY($M$65),2,1)&amp;" ("&amp;INDEX(_xlfn.ANCHORARRAY($M$65),2,2)&amp;"), "&amp;INDEX(_xlfn.ANCHORARRAY($M$65),3,1)&amp;" ("&amp;INDEX(_xlfn.ANCHORARRAY($M$65),3,2)&amp;")"</f>
        <v>Samuel Sierra (24), Elizabeth Neufeld (23), Juan Ramirez (21)</v>
      </c>
      <c r="C78" s="19"/>
      <c r="D78" s="19"/>
      <c r="E78" s="19"/>
      <c r="F78" s="19"/>
      <c r="G78" s="19" t="str">
        <v>Struck By/Against Object</v>
      </c>
      <c r="H78" s="19">
        <v>0</v>
      </c>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row>
    <row r="79" spans="1:52" ht="15" x14ac:dyDescent="0.2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row>
    <row r="80" spans="1:52" ht="16.5" x14ac:dyDescent="0.3">
      <c r="A80" s="35" t="s">
        <v>1238</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row>
    <row r="81" spans="1:52" ht="15" x14ac:dyDescent="0.25">
      <c r="A81" s="19" t="s">
        <v>1207</v>
      </c>
      <c r="B81" s="19" t="str">
        <f>IF(E7&gt;0,"▲",IF(E7&lt;0,"▼","●"))</f>
        <v>▲</v>
      </c>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row>
    <row r="82" spans="1:52" ht="15" x14ac:dyDescent="0.25">
      <c r="A82" s="19" t="s">
        <v>1208</v>
      </c>
      <c r="B82" s="19" t="str">
        <f>IF(E8&gt;0,"▲",IF(E8&lt;0,"▼","●"))</f>
        <v>●</v>
      </c>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row>
    <row r="83" spans="1:52" ht="15" x14ac:dyDescent="0.25">
      <c r="A83" s="19" t="s">
        <v>1209</v>
      </c>
      <c r="B83" s="19" t="str">
        <f>IF(E11&gt;0,"▲",IF(E11&lt;0,"▼","●"))</f>
        <v>▼</v>
      </c>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row>
    <row r="84" spans="1:52" ht="15" x14ac:dyDescent="0.25">
      <c r="A84" s="19" t="s">
        <v>1210</v>
      </c>
      <c r="B84" s="19" t="str">
        <f>IF(B66&gt;0,"▲",IF(B66&lt;0,"▼","●"))</f>
        <v>▼</v>
      </c>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row>
    <row r="85" spans="1:52" ht="15" x14ac:dyDescent="0.25">
      <c r="A85" s="19" t="s">
        <v>1211</v>
      </c>
      <c r="B85" s="19">
        <f>IF(E7&gt;0,1,0)</f>
        <v>1</v>
      </c>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row>
    <row r="86" spans="1:52" ht="15" x14ac:dyDescent="0.2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row>
    <row r="87" spans="1:52" ht="15" x14ac:dyDescent="0.25">
      <c r="A87" s="19" t="s">
        <v>1212</v>
      </c>
      <c r="B87" s="19" t="str">
        <f>B81&amp;" "&amp;TEXT(B68,"+0%;-0%")&amp;" vs YTD"</f>
        <v>▲ +95% vs YTD</v>
      </c>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row>
    <row r="88" spans="1:52" ht="15" x14ac:dyDescent="0.25">
      <c r="A88" s="19" t="s">
        <v>1213</v>
      </c>
      <c r="B88" s="19" t="str">
        <f>B82&amp;" "&amp;TEXT(E8,"+0;-0")&amp;" vs YTD"</f>
        <v>● +0 vs YTD</v>
      </c>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row>
    <row r="89" spans="1:52" ht="15" x14ac:dyDescent="0.25">
      <c r="A89" s="19" t="s">
        <v>1214</v>
      </c>
      <c r="B89" s="19" t="str">
        <f>TEXT(IFERROR(B9/B7,0),"0%")&amp;" of YTD"</f>
        <v>83% of YTD</v>
      </c>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row>
    <row r="90" spans="1:52" ht="15" x14ac:dyDescent="0.25">
      <c r="A90" s="19" t="s">
        <v>1215</v>
      </c>
      <c r="B90" s="19" t="str">
        <f>TEXT(IFERROR(B10/B7,0),"0%")&amp;" of YTD"</f>
        <v>15% of YTD</v>
      </c>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row>
    <row r="91" spans="1:52" ht="15" x14ac:dyDescent="0.25">
      <c r="A91" s="19" t="s">
        <v>1216</v>
      </c>
      <c r="B91" s="19" t="str">
        <f>B83&amp;" "&amp;TEXT(E11,"+0.0%;-0.0%")</f>
        <v>▼ -2.4%</v>
      </c>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row>
    <row r="92" spans="1:52" ht="15" x14ac:dyDescent="0.25">
      <c r="A92" s="19" t="s">
        <v>1217</v>
      </c>
      <c r="B92" s="19" t="str">
        <f>TEXT(B16,"m/d")&amp;" · 30+ goal"</f>
        <v>7/1 · 30+ goal</v>
      </c>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row>
    <row r="93" spans="1:52" ht="15" x14ac:dyDescent="0.25">
      <c r="A93" s="19" t="s">
        <v>1218</v>
      </c>
      <c r="B93" s="19" t="str">
        <f>TEXT(INDEX(_xlfn.ANCHORARRAY($G$65),1,2),"0")&amp;" cases"</f>
        <v>97 cases</v>
      </c>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row>
    <row r="94" spans="1:52" ht="15" x14ac:dyDescent="0.25">
      <c r="A94" s="19" t="s">
        <v>1219</v>
      </c>
      <c r="B94" s="19" t="str">
        <f>TEXT(B67,"0%")&amp;" share"</f>
        <v>48% share</v>
      </c>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row>
    <row r="95" spans="1:52" ht="15" x14ac:dyDescent="0.2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row>
    <row r="96" spans="1:52" ht="15" x14ac:dyDescent="0.25">
      <c r="A96" s="19" t="s">
        <v>1220</v>
      </c>
      <c r="B96" s="19">
        <f ca="1">MIN(100,ROUND(B11*400+IF(B12&lt;14,30,IF(B12&lt;30,12,0))+IF(B66&gt;5,8,0)+B8*1.5+IF(B68&gt;0.5,10,0),0))</f>
        <v>43</v>
      </c>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row>
    <row r="97" spans="1:52" ht="15" x14ac:dyDescent="0.25">
      <c r="A97" s="19" t="s">
        <v>1221</v>
      </c>
      <c r="B97" s="19" t="str">
        <f ca="1">IF(B96&gt;=50,"Critical",IF(B96&gt;=30,"Elevated",IF(B96&gt;=15,"Watch","Stable")))</f>
        <v>Elevated</v>
      </c>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row>
    <row r="98" spans="1:52" ht="15" x14ac:dyDescent="0.2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row>
    <row r="99" spans="1:52" ht="30" x14ac:dyDescent="0.25">
      <c r="A99" s="19" t="s">
        <v>1222</v>
      </c>
      <c r="B99" s="116" t="str">
        <f ca="1">"As of "&amp;TEXT(B2,"mmm dd, yyyy")&amp;", "&amp;B3&amp;" YTD shows "&amp;TEXT(B7,"#,##0")&amp;" incidents ("&amp;B81&amp;" "&amp;TEXT(B68,"+0%;-0%")&amp;" vs prior YTD). Recordables: "&amp;B8&amp;" ("&amp;TEXT(B11,"0.0%")&amp;" rate). "&amp;B14&amp;" and "&amp;B13&amp;" remain primary drivers. Status: "&amp;B17&amp;" · Severity "&amp;B96&amp;"/100 ("&amp;B97&amp;")."</f>
        <v>As of Jul 27, 2026, 2026 YTD shows 275 incidents (▲ +95% vs prior YTD). Recordables: 7 (2.5% rate). Fabrication and Strain remain primary drivers. Status: Medium Risk · Severity 43/100 (Elevated).</v>
      </c>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row>
    <row r="100" spans="1:52" ht="15" x14ac:dyDescent="0.2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row>
    <row r="101" spans="1:52" ht="15" x14ac:dyDescent="0.25">
      <c r="A101" s="19" t="s">
        <v>1223</v>
      </c>
      <c r="B101" s="19" t="str">
        <f>IF(E7&gt;0,"▲ +"&amp;TEXT(E7,"0"),IF(E7&lt;0,"▼ "&amp;TEXT(ABS(E7),"0"),"● 0"))</f>
        <v>▲ +134</v>
      </c>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row>
    <row r="102" spans="1:52" ht="15" x14ac:dyDescent="0.25">
      <c r="A102" s="19" t="s">
        <v>1224</v>
      </c>
      <c r="B102" s="19" t="str">
        <f>IF(E8&gt;0,"▲ +"&amp;TEXT(E8,"0"),IF(E8&lt;0,"▼ "&amp;TEXT(ABS(E8),"0"),"● 0"))</f>
        <v>● 0</v>
      </c>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row>
    <row r="103" spans="1:52" ht="15" x14ac:dyDescent="0.25">
      <c r="A103" s="19" t="s">
        <v>1225</v>
      </c>
      <c r="B103" s="19" t="str">
        <f>IF(E9&gt;0,"▲ +"&amp;TEXT(E9,"0"),IF(E9&lt;0,"▼ "&amp;TEXT(ABS(E9),"0"),"● 0"))</f>
        <v>▲ +124</v>
      </c>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row>
    <row r="104" spans="1:52" ht="15" x14ac:dyDescent="0.25">
      <c r="A104" s="19" t="s">
        <v>1226</v>
      </c>
      <c r="B104" s="19" t="str">
        <f>IF(E10&gt;0,"▲ +"&amp;TEXT(E10,"0"),IF(E10&lt;0,"▼ "&amp;TEXT(ABS(E10),"0"),"● 0"))</f>
        <v>▲ +10</v>
      </c>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row>
    <row r="105" spans="1:52" ht="15" x14ac:dyDescent="0.25">
      <c r="A105" s="19" t="s">
        <v>1227</v>
      </c>
      <c r="B105" s="19" t="str">
        <f>IF(E11&gt;0,"▲ "&amp;TEXT(E11,"+0.0%;-0.0%"),IF(E11&lt;0,"▼ "&amp;TEXT(E11,"+0.0%;-0.0%"),"● 0.0%"))</f>
        <v>▼ -2.4%</v>
      </c>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row>
    <row r="106" spans="1:52" ht="15" x14ac:dyDescent="0.2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row>
    <row r="107" spans="1:52" ht="15" x14ac:dyDescent="0.25">
      <c r="A107" s="19" t="s">
        <v>1228</v>
      </c>
      <c r="B107" s="19" t="str">
        <f>REPT("█",ROUND(B67*20,0))&amp;REPT("░",20-ROUND(B67*20,0))</f>
        <v>██████████░░░░░░░░░░</v>
      </c>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row>
    <row r="108" spans="1:52" ht="15" x14ac:dyDescent="0.25">
      <c r="A108" s="19" t="s">
        <v>1229</v>
      </c>
      <c r="B108" s="19" t="str">
        <f>REPT("█",ROUND(MIN(B11,0.1)/0.1*20,0))&amp;REPT("░",20-ROUND(MIN(B11,0.1)/0.1*20,0))</f>
        <v>█████░░░░░░░░░░░░░░░</v>
      </c>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row>
    <row r="109" spans="1:52" ht="15" x14ac:dyDescent="0.2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row>
    <row r="110" spans="1:52" ht="15" x14ac:dyDescent="0.25">
      <c r="A110" s="19" t="s">
        <v>1230</v>
      </c>
      <c r="B110" s="19" t="str">
        <f ca="1">IF(B17="High Risk","Escalate: leadership review + stop-work audit in "&amp;B14&amp;".",IF(B17="Medium Risk","Focus ergo &amp; coaching in "&amp;B14&amp;"; reduce "&amp;B13&amp;" exposures.",IF(B12&lt;30,"Protect streak: pre-shift huddles in top areas.","Maintain controls; share best practices from low-incident depts.")))</f>
        <v>Focus ergo &amp; coaching in Fabrication; reduce Strain exposures.</v>
      </c>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row>
    <row r="111" spans="1:52" ht="15" x14ac:dyDescent="0.25">
      <c r="A111" s="29" t="s">
        <v>1239</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row>
    <row r="112" spans="1:52" ht="15" x14ac:dyDescent="0.25">
      <c r="A112" s="19" t="s">
        <v>1234</v>
      </c>
      <c r="B112" s="19" t="str">
        <f>"Monthly Trend · "&amp;B4&amp;" vs "&amp;B3</f>
        <v>Monthly Trend · 2025 vs 2026</v>
      </c>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row>
    <row r="113" spans="1:52" ht="15" x14ac:dyDescent="0.25">
      <c r="A113" s="19" t="s">
        <v>1235</v>
      </c>
      <c r="B113" s="19" t="str">
        <f>"ESI Mix · "&amp;B3&amp;" YTD ("&amp;TEXT(B7,"0")&amp;" incidents)"</f>
        <v>ESI Mix · 2026 YTD (275 incidents)</v>
      </c>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row>
    <row r="114" spans="1:52" ht="15" x14ac:dyDescent="0.25">
      <c r="A114" s="19" t="s">
        <v>1236</v>
      </c>
      <c r="B114" s="19" t="str">
        <f>"Departments · "&amp;B3&amp;" · Leader: "&amp;B14</f>
        <v>Departments · 2026 · Leader: Fabrication</v>
      </c>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row>
    <row r="115" spans="1:52" ht="15" x14ac:dyDescent="0.25">
      <c r="A115" s="19" t="s">
        <v>1237</v>
      </c>
      <c r="B115" s="19" t="str">
        <f>"Injury Types · Leader: "&amp;B13</f>
        <v>Injury Types · Leader: Strain</v>
      </c>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row>
    <row r="116" spans="1:52" ht="15" x14ac:dyDescent="0.25">
      <c r="A116" s="19" t="s">
        <v>1302</v>
      </c>
      <c r="B116" s="19" t="str">
        <f>"Weekly Trend · "&amp;Data!B3&amp;" · Incidents vs Recordables"</f>
        <v>Weekly Trend · 2026 · Incidents vs Recordables</v>
      </c>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row>
    <row r="117" spans="1:52" ht="15" x14ac:dyDescent="0.2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row>
    <row r="118" spans="1:52" ht="15" x14ac:dyDescent="0.2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row>
    <row r="119" spans="1:52" ht="15" x14ac:dyDescent="0.2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row>
    <row r="120" spans="1:52" ht="15" x14ac:dyDescent="0.2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row>
  </sheetData>
  <dataValidations count="2">
    <dataValidation type="list" allowBlank="1" showInputMessage="1" showErrorMessage="1" promptTitle="Focus Year" prompt="Select focus year for all Dashboard KPIs." sqref="B3" xr:uid="{87388977-D530-4785-8D1F-9ECC48C7A466}">
      <formula1>$Z$1:$Z$2</formula1>
    </dataValidation>
    <dataValidation type="list" allowBlank="1" showInputMessage="1" showErrorMessage="1" sqref="B4" xr:uid="{62D9214B-C089-43B4-A529-6CBE110A4644}">
      <formula1>$Z$1:$Z$2</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82B24-AD3D-4DBF-9B83-B10A78E3D573}">
  <sheetPr>
    <tabColor rgb="FF94A3B8"/>
  </sheetPr>
  <dimension ref="A1:Z66"/>
  <sheetViews>
    <sheetView showGridLines="0" workbookViewId="0">
      <selection activeCell="D3" sqref="D3"/>
    </sheetView>
  </sheetViews>
  <sheetFormatPr defaultRowHeight="14.25" x14ac:dyDescent="0.2"/>
  <cols>
    <col min="1" max="1" width="14.875" bestFit="1" customWidth="1"/>
    <col min="2" max="2" width="10.25" bestFit="1" customWidth="1"/>
    <col min="4" max="4" width="16.75" bestFit="1" customWidth="1"/>
    <col min="5" max="5" width="10.25" bestFit="1" customWidth="1"/>
    <col min="7" max="7" width="14.375" bestFit="1" customWidth="1"/>
    <col min="8" max="8" width="10.25" bestFit="1" customWidth="1"/>
    <col min="10" max="10" width="24" bestFit="1" customWidth="1"/>
    <col min="11" max="11" width="10.25" bestFit="1" customWidth="1"/>
  </cols>
  <sheetData>
    <row r="1" spans="1:26" x14ac:dyDescent="0.2">
      <c r="A1" s="86" t="s">
        <v>1240</v>
      </c>
      <c r="B1" s="17"/>
      <c r="C1" s="17"/>
      <c r="D1" s="17"/>
      <c r="E1" s="17"/>
      <c r="F1" s="17"/>
      <c r="G1" s="17"/>
      <c r="H1" s="17"/>
      <c r="I1" s="17"/>
      <c r="J1" s="17"/>
      <c r="K1" s="17"/>
      <c r="L1" s="17"/>
      <c r="M1" s="17"/>
      <c r="N1" s="17"/>
      <c r="O1" s="17"/>
      <c r="P1" s="17"/>
      <c r="Q1" s="17"/>
      <c r="R1" s="17"/>
      <c r="S1" s="17"/>
      <c r="T1" s="17"/>
      <c r="U1" s="17"/>
      <c r="V1" s="17"/>
      <c r="W1" s="17"/>
      <c r="X1" s="17"/>
      <c r="Y1" s="17"/>
      <c r="Z1" s="17"/>
    </row>
    <row r="2" spans="1:26" x14ac:dyDescent="0.2">
      <c r="A2" s="17"/>
      <c r="B2" s="17"/>
      <c r="C2" s="17"/>
      <c r="D2" s="17"/>
      <c r="E2" s="17"/>
      <c r="F2" s="17"/>
      <c r="G2" s="17"/>
      <c r="H2" s="17"/>
      <c r="I2" s="17"/>
      <c r="J2" s="17"/>
      <c r="K2" s="17"/>
      <c r="L2" s="17"/>
      <c r="M2" s="17"/>
      <c r="N2" s="17"/>
      <c r="O2" s="17"/>
      <c r="P2" s="17"/>
      <c r="Q2" s="17"/>
      <c r="R2" s="17"/>
      <c r="S2" s="17"/>
      <c r="T2" s="17"/>
      <c r="U2" s="17"/>
      <c r="V2" s="17"/>
      <c r="W2" s="17"/>
      <c r="X2" s="17"/>
      <c r="Y2" s="17"/>
      <c r="Z2" s="17"/>
    </row>
    <row r="3" spans="1:26" x14ac:dyDescent="0.2">
      <c r="A3" s="2" t="s">
        <v>744</v>
      </c>
      <c r="B3" t="s">
        <v>1053</v>
      </c>
      <c r="D3" s="2" t="s">
        <v>744</v>
      </c>
      <c r="E3" t="s">
        <v>1053</v>
      </c>
      <c r="G3" s="2" t="s">
        <v>744</v>
      </c>
      <c r="H3" t="s">
        <v>1053</v>
      </c>
      <c r="J3" s="2" t="s">
        <v>744</v>
      </c>
      <c r="K3" t="s">
        <v>1053</v>
      </c>
      <c r="M3" s="17"/>
      <c r="N3" s="17"/>
      <c r="O3" s="17"/>
      <c r="P3" s="17"/>
      <c r="Q3" s="17"/>
      <c r="R3" s="17"/>
      <c r="S3" s="17"/>
      <c r="T3" s="17"/>
      <c r="U3" s="17"/>
      <c r="V3" s="17"/>
      <c r="W3" s="17"/>
      <c r="X3" s="17"/>
      <c r="Y3" s="17"/>
      <c r="Z3" s="17"/>
    </row>
    <row r="4" spans="1:26" x14ac:dyDescent="0.2">
      <c r="A4" s="3" t="s">
        <v>15</v>
      </c>
      <c r="B4" s="204">
        <v>485</v>
      </c>
      <c r="D4" s="3" t="s">
        <v>726</v>
      </c>
      <c r="E4" s="204">
        <v>2</v>
      </c>
      <c r="G4" s="3">
        <v>2025</v>
      </c>
      <c r="H4" s="204">
        <v>305</v>
      </c>
      <c r="J4" s="3" t="s">
        <v>148</v>
      </c>
      <c r="K4" s="204">
        <v>1</v>
      </c>
      <c r="M4" s="17"/>
      <c r="N4" s="17"/>
      <c r="O4" s="17"/>
      <c r="P4" s="17"/>
      <c r="Q4" s="17"/>
      <c r="R4" s="17"/>
      <c r="S4" s="17"/>
      <c r="T4" s="17"/>
      <c r="U4" s="17"/>
      <c r="V4" s="17"/>
      <c r="W4" s="17"/>
      <c r="X4" s="17"/>
      <c r="Y4" s="17"/>
      <c r="Z4" s="17"/>
    </row>
    <row r="5" spans="1:26" x14ac:dyDescent="0.2">
      <c r="A5" s="3" t="s">
        <v>76</v>
      </c>
      <c r="B5" s="204">
        <v>17</v>
      </c>
      <c r="D5" s="3" t="s">
        <v>10</v>
      </c>
      <c r="E5" s="204">
        <v>50</v>
      </c>
      <c r="G5" s="3" t="s">
        <v>745</v>
      </c>
      <c r="H5" s="204">
        <v>305</v>
      </c>
      <c r="J5" s="3" t="s">
        <v>665</v>
      </c>
      <c r="K5" s="204">
        <v>9</v>
      </c>
      <c r="M5" s="17"/>
      <c r="N5" s="17"/>
      <c r="O5" s="17"/>
      <c r="P5" s="17"/>
      <c r="Q5" s="17"/>
      <c r="R5" s="17"/>
      <c r="S5" s="17"/>
      <c r="T5" s="17"/>
      <c r="U5" s="17"/>
      <c r="V5" s="17"/>
      <c r="W5" s="17"/>
      <c r="X5" s="17"/>
      <c r="Y5" s="17"/>
      <c r="Z5" s="17"/>
    </row>
    <row r="6" spans="1:26" x14ac:dyDescent="0.2">
      <c r="A6" s="3" t="s">
        <v>278</v>
      </c>
      <c r="B6" s="204">
        <v>78</v>
      </c>
      <c r="D6" s="3" t="s">
        <v>36</v>
      </c>
      <c r="E6" s="204">
        <v>1</v>
      </c>
      <c r="J6" s="3" t="s">
        <v>348</v>
      </c>
      <c r="K6" s="204">
        <v>12</v>
      </c>
      <c r="M6" s="17"/>
      <c r="N6" s="17"/>
      <c r="O6" s="17"/>
      <c r="P6" s="17"/>
      <c r="Q6" s="17"/>
      <c r="R6" s="17"/>
      <c r="S6" s="17"/>
      <c r="T6" s="17"/>
      <c r="U6" s="17"/>
      <c r="V6" s="17"/>
      <c r="W6" s="17"/>
      <c r="X6" s="17"/>
      <c r="Y6" s="17"/>
      <c r="Z6" s="17"/>
    </row>
    <row r="7" spans="1:26" x14ac:dyDescent="0.2">
      <c r="A7" s="3" t="s">
        <v>745</v>
      </c>
      <c r="B7" s="204">
        <v>580</v>
      </c>
      <c r="D7" s="3" t="s">
        <v>17</v>
      </c>
      <c r="E7" s="204">
        <v>50</v>
      </c>
      <c r="J7" s="3" t="s">
        <v>855</v>
      </c>
      <c r="K7" s="204">
        <v>1</v>
      </c>
      <c r="M7" s="17"/>
      <c r="N7" s="17"/>
      <c r="O7" s="17"/>
      <c r="P7" s="17"/>
      <c r="Q7" s="17"/>
      <c r="R7" s="17"/>
      <c r="S7" s="17"/>
      <c r="T7" s="17"/>
      <c r="U7" s="17"/>
      <c r="V7" s="17"/>
      <c r="W7" s="17"/>
      <c r="X7" s="17"/>
      <c r="Y7" s="17"/>
      <c r="Z7" s="17"/>
    </row>
    <row r="8" spans="1:26" x14ac:dyDescent="0.2">
      <c r="D8" s="3" t="s">
        <v>41</v>
      </c>
      <c r="E8" s="204">
        <v>1</v>
      </c>
      <c r="J8" s="3" t="s">
        <v>111</v>
      </c>
      <c r="K8" s="204">
        <v>2</v>
      </c>
      <c r="M8" s="17"/>
      <c r="N8" s="17"/>
      <c r="O8" s="17"/>
      <c r="P8" s="17"/>
      <c r="Q8" s="17"/>
      <c r="R8" s="17"/>
      <c r="S8" s="17"/>
      <c r="T8" s="17"/>
      <c r="U8" s="17"/>
      <c r="V8" s="17"/>
      <c r="W8" s="17"/>
      <c r="X8" s="17"/>
      <c r="Y8" s="17"/>
      <c r="Z8" s="17"/>
    </row>
    <row r="9" spans="1:26" x14ac:dyDescent="0.2">
      <c r="D9" s="3" t="s">
        <v>305</v>
      </c>
      <c r="E9" s="204">
        <v>3</v>
      </c>
      <c r="J9" s="3" t="s">
        <v>271</v>
      </c>
      <c r="K9" s="204">
        <v>2</v>
      </c>
      <c r="M9" s="17"/>
      <c r="N9" s="17"/>
      <c r="O9" s="17"/>
      <c r="P9" s="17"/>
      <c r="Q9" s="17"/>
      <c r="R9" s="17"/>
      <c r="S9" s="17"/>
      <c r="T9" s="17"/>
      <c r="U9" s="17"/>
      <c r="V9" s="17"/>
      <c r="W9" s="17"/>
      <c r="X9" s="17"/>
      <c r="Y9" s="17"/>
      <c r="Z9" s="17"/>
    </row>
    <row r="10" spans="1:26" x14ac:dyDescent="0.2">
      <c r="D10" s="3" t="s">
        <v>246</v>
      </c>
      <c r="E10" s="204">
        <v>2</v>
      </c>
      <c r="J10" s="3" t="s">
        <v>393</v>
      </c>
      <c r="K10" s="204">
        <v>17</v>
      </c>
      <c r="M10" s="17"/>
      <c r="N10" s="17"/>
      <c r="O10" s="17"/>
      <c r="P10" s="17"/>
      <c r="Q10" s="17"/>
      <c r="R10" s="17"/>
      <c r="S10" s="17"/>
      <c r="T10" s="17"/>
      <c r="U10" s="17"/>
      <c r="V10" s="17"/>
      <c r="W10" s="17"/>
      <c r="X10" s="17"/>
      <c r="Y10" s="17"/>
      <c r="Z10" s="17"/>
    </row>
    <row r="11" spans="1:26" x14ac:dyDescent="0.2">
      <c r="D11" s="3" t="s">
        <v>323</v>
      </c>
      <c r="E11" s="204">
        <v>5</v>
      </c>
      <c r="J11" s="3" t="s">
        <v>20</v>
      </c>
      <c r="K11" s="204">
        <v>12</v>
      </c>
      <c r="M11" s="17"/>
      <c r="N11" s="17"/>
      <c r="O11" s="17"/>
      <c r="P11" s="17"/>
      <c r="Q11" s="17"/>
      <c r="R11" s="17"/>
      <c r="S11" s="17"/>
      <c r="T11" s="17"/>
      <c r="U11" s="17"/>
      <c r="V11" s="17"/>
      <c r="W11" s="17"/>
      <c r="X11" s="17"/>
      <c r="Y11" s="17"/>
      <c r="Z11" s="17"/>
    </row>
    <row r="12" spans="1:26" x14ac:dyDescent="0.2">
      <c r="D12" s="3" t="s">
        <v>745</v>
      </c>
      <c r="E12" s="204">
        <v>114</v>
      </c>
      <c r="J12" s="3" t="s">
        <v>786</v>
      </c>
      <c r="K12" s="204">
        <v>10</v>
      </c>
      <c r="M12" s="17"/>
      <c r="N12" s="17"/>
      <c r="O12" s="17"/>
      <c r="P12" s="17"/>
      <c r="Q12" s="17"/>
      <c r="R12" s="17"/>
      <c r="S12" s="17"/>
      <c r="T12" s="17"/>
      <c r="U12" s="17"/>
      <c r="V12" s="17"/>
      <c r="W12" s="17"/>
      <c r="X12" s="17"/>
      <c r="Y12" s="17"/>
      <c r="Z12" s="17"/>
    </row>
    <row r="13" spans="1:26" x14ac:dyDescent="0.2">
      <c r="J13" s="3" t="s">
        <v>13</v>
      </c>
      <c r="K13" s="204">
        <v>7</v>
      </c>
      <c r="M13" s="17"/>
      <c r="N13" s="17"/>
      <c r="O13" s="17"/>
      <c r="P13" s="17"/>
      <c r="Q13" s="17"/>
      <c r="R13" s="17"/>
      <c r="S13" s="17"/>
      <c r="T13" s="17"/>
      <c r="U13" s="17"/>
      <c r="V13" s="17"/>
      <c r="W13" s="17"/>
      <c r="X13" s="17"/>
      <c r="Y13" s="17"/>
      <c r="Z13" s="17"/>
    </row>
    <row r="14" spans="1:26" x14ac:dyDescent="0.2">
      <c r="J14" s="3" t="s">
        <v>719</v>
      </c>
      <c r="K14" s="204">
        <v>1</v>
      </c>
      <c r="M14" s="17"/>
      <c r="N14" s="17"/>
      <c r="O14" s="17"/>
      <c r="P14" s="17"/>
      <c r="Q14" s="17"/>
      <c r="R14" s="17"/>
      <c r="S14" s="17"/>
      <c r="T14" s="17"/>
      <c r="U14" s="17"/>
      <c r="V14" s="17"/>
      <c r="W14" s="17"/>
      <c r="X14" s="17"/>
      <c r="Y14" s="17"/>
      <c r="Z14" s="17"/>
    </row>
    <row r="15" spans="1:26" x14ac:dyDescent="0.2">
      <c r="J15" s="3" t="s">
        <v>406</v>
      </c>
      <c r="K15" s="204">
        <v>6</v>
      </c>
      <c r="M15" s="17"/>
      <c r="N15" s="17"/>
      <c r="O15" s="17"/>
      <c r="P15" s="17"/>
      <c r="Q15" s="17"/>
      <c r="R15" s="17"/>
      <c r="S15" s="17"/>
      <c r="T15" s="17"/>
      <c r="U15" s="17"/>
      <c r="V15" s="17"/>
      <c r="W15" s="17"/>
      <c r="X15" s="17"/>
      <c r="Y15" s="17"/>
      <c r="Z15" s="17"/>
    </row>
    <row r="16" spans="1:26" x14ac:dyDescent="0.2">
      <c r="J16" s="3" t="s">
        <v>90</v>
      </c>
      <c r="K16" s="204">
        <v>1</v>
      </c>
      <c r="M16" s="17"/>
      <c r="N16" s="17"/>
      <c r="O16" s="17"/>
      <c r="P16" s="17"/>
      <c r="Q16" s="17"/>
      <c r="R16" s="17"/>
      <c r="S16" s="17"/>
      <c r="T16" s="17"/>
      <c r="U16" s="17"/>
      <c r="V16" s="17"/>
      <c r="W16" s="17"/>
      <c r="X16" s="17"/>
      <c r="Y16" s="17"/>
      <c r="Z16" s="17"/>
    </row>
    <row r="17" spans="1:26" x14ac:dyDescent="0.2">
      <c r="J17" s="3" t="s">
        <v>173</v>
      </c>
      <c r="K17" s="204">
        <v>4</v>
      </c>
      <c r="M17" s="17"/>
      <c r="N17" s="17"/>
      <c r="O17" s="17"/>
      <c r="P17" s="17"/>
      <c r="Q17" s="17"/>
      <c r="R17" s="17"/>
      <c r="S17" s="17"/>
      <c r="T17" s="17"/>
      <c r="U17" s="17"/>
      <c r="V17" s="17"/>
      <c r="W17" s="17"/>
      <c r="X17" s="17"/>
      <c r="Y17" s="17"/>
      <c r="Z17" s="17"/>
    </row>
    <row r="18" spans="1:26" x14ac:dyDescent="0.2">
      <c r="J18" s="3" t="s">
        <v>334</v>
      </c>
      <c r="K18" s="204">
        <v>7</v>
      </c>
      <c r="M18" s="17"/>
      <c r="N18" s="17"/>
      <c r="O18" s="17"/>
      <c r="P18" s="17"/>
      <c r="Q18" s="17"/>
      <c r="R18" s="17"/>
      <c r="S18" s="17"/>
      <c r="T18" s="17"/>
      <c r="U18" s="17"/>
      <c r="V18" s="17"/>
      <c r="W18" s="17"/>
      <c r="X18" s="17"/>
      <c r="Y18" s="17"/>
      <c r="Z18" s="17"/>
    </row>
    <row r="19" spans="1:26" x14ac:dyDescent="0.2">
      <c r="J19" s="3" t="s">
        <v>306</v>
      </c>
      <c r="K19" s="204">
        <v>3</v>
      </c>
      <c r="M19" s="17"/>
      <c r="N19" s="17"/>
      <c r="O19" s="17"/>
      <c r="P19" s="17"/>
      <c r="Q19" s="17"/>
      <c r="R19" s="17"/>
      <c r="S19" s="17"/>
      <c r="T19" s="17"/>
      <c r="U19" s="17"/>
      <c r="V19" s="17"/>
      <c r="W19" s="17"/>
      <c r="X19" s="17"/>
      <c r="Y19" s="17"/>
      <c r="Z19" s="17"/>
    </row>
    <row r="20" spans="1:26" x14ac:dyDescent="0.2">
      <c r="J20" s="3" t="s">
        <v>287</v>
      </c>
      <c r="K20" s="204">
        <v>5</v>
      </c>
      <c r="M20" s="17"/>
      <c r="N20" s="17"/>
      <c r="O20" s="17"/>
      <c r="P20" s="17"/>
      <c r="Q20" s="17"/>
      <c r="R20" s="17"/>
      <c r="S20" s="17"/>
      <c r="T20" s="17"/>
      <c r="U20" s="17"/>
      <c r="V20" s="17"/>
      <c r="W20" s="17"/>
      <c r="X20" s="17"/>
      <c r="Y20" s="17"/>
      <c r="Z20" s="17"/>
    </row>
    <row r="21" spans="1:26" x14ac:dyDescent="0.2">
      <c r="A21" s="17"/>
      <c r="B21" s="17"/>
      <c r="C21" s="17"/>
      <c r="D21" s="17"/>
      <c r="E21" s="17"/>
      <c r="F21" s="17"/>
      <c r="G21" s="17"/>
      <c r="H21" s="17"/>
      <c r="I21" s="17"/>
      <c r="J21" s="3" t="s">
        <v>1041</v>
      </c>
      <c r="K21" s="204">
        <v>1</v>
      </c>
      <c r="L21" s="17"/>
      <c r="M21" s="17"/>
      <c r="N21" s="17"/>
      <c r="O21" s="17"/>
      <c r="P21" s="17"/>
      <c r="Q21" s="17"/>
      <c r="R21" s="17"/>
      <c r="S21" s="17"/>
      <c r="T21" s="17"/>
      <c r="U21" s="17"/>
      <c r="V21" s="17"/>
      <c r="W21" s="17"/>
      <c r="X21" s="17"/>
      <c r="Y21" s="17"/>
      <c r="Z21" s="17"/>
    </row>
    <row r="22" spans="1:26" x14ac:dyDescent="0.2">
      <c r="A22" s="17"/>
      <c r="B22" s="17"/>
      <c r="C22" s="17"/>
      <c r="D22" s="17"/>
      <c r="E22" s="17"/>
      <c r="F22" s="17"/>
      <c r="G22" s="17"/>
      <c r="H22" s="17"/>
      <c r="I22" s="17"/>
      <c r="J22" s="3" t="s">
        <v>97</v>
      </c>
      <c r="K22" s="204">
        <v>19</v>
      </c>
      <c r="L22" s="17"/>
      <c r="M22" s="17"/>
      <c r="N22" s="17"/>
      <c r="O22" s="17"/>
      <c r="P22" s="17"/>
      <c r="Q22" s="17"/>
      <c r="R22" s="17"/>
      <c r="S22" s="17"/>
      <c r="T22" s="17"/>
      <c r="U22" s="17"/>
      <c r="V22" s="17"/>
      <c r="W22" s="17"/>
      <c r="X22" s="17"/>
      <c r="Y22" s="17"/>
      <c r="Z22" s="17"/>
    </row>
    <row r="23" spans="1:26" x14ac:dyDescent="0.2">
      <c r="A23" s="17"/>
      <c r="B23" s="17"/>
      <c r="C23" s="17"/>
      <c r="D23" s="17"/>
      <c r="E23" s="17"/>
      <c r="F23" s="17"/>
      <c r="G23" s="17"/>
      <c r="H23" s="17"/>
      <c r="I23" s="17"/>
      <c r="J23" s="3" t="s">
        <v>967</v>
      </c>
      <c r="K23" s="204">
        <v>18</v>
      </c>
      <c r="L23" s="17"/>
      <c r="M23" s="17"/>
      <c r="N23" s="17"/>
      <c r="O23" s="17"/>
      <c r="P23" s="17"/>
      <c r="Q23" s="17"/>
      <c r="R23" s="17"/>
      <c r="S23" s="17"/>
      <c r="T23" s="17"/>
      <c r="U23" s="17"/>
      <c r="V23" s="17"/>
      <c r="W23" s="17"/>
      <c r="X23" s="17"/>
      <c r="Y23" s="17"/>
      <c r="Z23" s="17"/>
    </row>
    <row r="24" spans="1:26" x14ac:dyDescent="0.2">
      <c r="A24" s="17"/>
      <c r="B24" s="17"/>
      <c r="C24" s="17"/>
      <c r="D24" s="17"/>
      <c r="E24" s="17"/>
      <c r="F24" s="17"/>
      <c r="G24" s="17"/>
      <c r="H24" s="17"/>
      <c r="I24" s="17"/>
      <c r="J24" s="3" t="s">
        <v>361</v>
      </c>
      <c r="K24" s="204">
        <v>1</v>
      </c>
      <c r="L24" s="17"/>
      <c r="M24" s="17"/>
      <c r="N24" s="17"/>
      <c r="O24" s="17"/>
      <c r="P24" s="17"/>
      <c r="Q24" s="17"/>
      <c r="R24" s="17"/>
      <c r="S24" s="17"/>
      <c r="T24" s="17"/>
      <c r="U24" s="17"/>
      <c r="V24" s="17"/>
      <c r="W24" s="17"/>
      <c r="X24" s="17"/>
      <c r="Y24" s="17"/>
      <c r="Z24" s="17"/>
    </row>
    <row r="25" spans="1:26" x14ac:dyDescent="0.2">
      <c r="A25" s="17"/>
      <c r="B25" s="17"/>
      <c r="C25" s="17"/>
      <c r="D25" s="17"/>
      <c r="E25" s="17"/>
      <c r="F25" s="17"/>
      <c r="G25" s="17"/>
      <c r="H25" s="17"/>
      <c r="I25" s="17"/>
      <c r="J25" s="3" t="s">
        <v>198</v>
      </c>
      <c r="K25" s="204">
        <v>1</v>
      </c>
      <c r="L25" s="17"/>
      <c r="M25" s="17"/>
      <c r="N25" s="17"/>
      <c r="O25" s="17"/>
      <c r="P25" s="17"/>
      <c r="Q25" s="17"/>
      <c r="R25" s="17"/>
      <c r="S25" s="17"/>
      <c r="T25" s="17"/>
      <c r="U25" s="17"/>
      <c r="V25" s="17"/>
      <c r="W25" s="17"/>
      <c r="X25" s="17"/>
      <c r="Y25" s="17"/>
      <c r="Z25" s="17"/>
    </row>
    <row r="26" spans="1:26" x14ac:dyDescent="0.2">
      <c r="A26" s="17"/>
      <c r="B26" s="17"/>
      <c r="C26" s="17"/>
      <c r="D26" s="17"/>
      <c r="E26" s="17"/>
      <c r="F26" s="17"/>
      <c r="G26" s="17"/>
      <c r="H26" s="17"/>
      <c r="I26" s="17"/>
      <c r="J26" s="3" t="s">
        <v>679</v>
      </c>
      <c r="K26" s="204">
        <v>2</v>
      </c>
      <c r="L26" s="17"/>
      <c r="M26" s="17"/>
      <c r="N26" s="17"/>
      <c r="O26" s="17"/>
      <c r="P26" s="17"/>
      <c r="Q26" s="17"/>
      <c r="R26" s="17"/>
      <c r="S26" s="17"/>
      <c r="T26" s="17"/>
      <c r="U26" s="17"/>
      <c r="V26" s="17"/>
      <c r="W26" s="17"/>
      <c r="X26" s="17"/>
      <c r="Y26" s="17"/>
      <c r="Z26" s="17"/>
    </row>
    <row r="27" spans="1:26" x14ac:dyDescent="0.2">
      <c r="A27" s="17"/>
      <c r="B27" s="17"/>
      <c r="C27" s="17"/>
      <c r="D27" s="17"/>
      <c r="E27" s="17"/>
      <c r="F27" s="17"/>
      <c r="G27" s="17"/>
      <c r="H27" s="17"/>
      <c r="I27" s="17"/>
      <c r="J27" s="3" t="s">
        <v>144</v>
      </c>
      <c r="K27" s="204">
        <v>1</v>
      </c>
      <c r="L27" s="17"/>
      <c r="M27" s="17"/>
      <c r="N27" s="17"/>
      <c r="O27" s="17"/>
      <c r="P27" s="17"/>
      <c r="Q27" s="17"/>
      <c r="R27" s="17"/>
      <c r="S27" s="17"/>
      <c r="T27" s="17"/>
      <c r="U27" s="17"/>
      <c r="V27" s="17"/>
      <c r="W27" s="17"/>
      <c r="X27" s="17"/>
      <c r="Y27" s="17"/>
      <c r="Z27" s="17"/>
    </row>
    <row r="28" spans="1:26" x14ac:dyDescent="0.2">
      <c r="A28" s="17"/>
      <c r="B28" s="17"/>
      <c r="C28" s="17"/>
      <c r="D28" s="17"/>
      <c r="E28" s="17"/>
      <c r="F28" s="17"/>
      <c r="G28" s="17"/>
      <c r="H28" s="17"/>
      <c r="I28" s="17"/>
      <c r="J28" s="3" t="s">
        <v>755</v>
      </c>
      <c r="K28" s="204">
        <v>7</v>
      </c>
      <c r="L28" s="17"/>
      <c r="M28" s="17"/>
      <c r="N28" s="17"/>
      <c r="O28" s="17"/>
      <c r="P28" s="17"/>
      <c r="Q28" s="17"/>
      <c r="R28" s="17"/>
      <c r="S28" s="17"/>
      <c r="T28" s="17"/>
      <c r="U28" s="17"/>
      <c r="V28" s="17"/>
      <c r="W28" s="17"/>
      <c r="X28" s="17"/>
      <c r="Y28" s="17"/>
      <c r="Z28" s="17"/>
    </row>
    <row r="29" spans="1:26" x14ac:dyDescent="0.2">
      <c r="A29" s="17"/>
      <c r="B29" s="17"/>
      <c r="C29" s="17"/>
      <c r="D29" s="17"/>
      <c r="E29" s="17"/>
      <c r="F29" s="17"/>
      <c r="G29" s="17"/>
      <c r="H29" s="17"/>
      <c r="I29" s="17"/>
      <c r="J29" s="3" t="s">
        <v>992</v>
      </c>
      <c r="K29" s="204">
        <v>2</v>
      </c>
      <c r="L29" s="17"/>
      <c r="M29" s="17"/>
      <c r="N29" s="17"/>
      <c r="O29" s="17"/>
      <c r="P29" s="17"/>
      <c r="Q29" s="17"/>
      <c r="R29" s="17"/>
      <c r="S29" s="17"/>
      <c r="T29" s="17"/>
      <c r="U29" s="17"/>
      <c r="V29" s="17"/>
      <c r="W29" s="17"/>
      <c r="X29" s="17"/>
      <c r="Y29" s="17"/>
      <c r="Z29" s="17"/>
    </row>
    <row r="30" spans="1:26" x14ac:dyDescent="0.2">
      <c r="A30" s="17"/>
      <c r="B30" s="17"/>
      <c r="C30" s="17"/>
      <c r="D30" s="17"/>
      <c r="E30" s="17"/>
      <c r="F30" s="17"/>
      <c r="G30" s="17"/>
      <c r="H30" s="17"/>
      <c r="I30" s="17"/>
      <c r="J30" s="3" t="s">
        <v>328</v>
      </c>
      <c r="K30" s="204">
        <v>1</v>
      </c>
      <c r="L30" s="17"/>
      <c r="M30" s="17"/>
      <c r="N30" s="17"/>
      <c r="O30" s="17"/>
      <c r="P30" s="17"/>
      <c r="Q30" s="17"/>
      <c r="R30" s="17"/>
      <c r="S30" s="17"/>
      <c r="T30" s="17"/>
      <c r="U30" s="17"/>
      <c r="V30" s="17"/>
      <c r="W30" s="17"/>
      <c r="X30" s="17"/>
      <c r="Y30" s="17"/>
      <c r="Z30" s="17"/>
    </row>
    <row r="31" spans="1:26" x14ac:dyDescent="0.2">
      <c r="A31" s="17"/>
      <c r="B31" s="17"/>
      <c r="C31" s="17"/>
      <c r="D31" s="17"/>
      <c r="E31" s="17"/>
      <c r="F31" s="17"/>
      <c r="G31" s="17"/>
      <c r="H31" s="17"/>
      <c r="I31" s="17"/>
      <c r="J31" s="3" t="s">
        <v>58</v>
      </c>
      <c r="K31" s="204">
        <v>23</v>
      </c>
      <c r="L31" s="17"/>
      <c r="M31" s="17"/>
      <c r="N31" s="17"/>
      <c r="O31" s="17"/>
      <c r="P31" s="17"/>
      <c r="Q31" s="17"/>
      <c r="R31" s="17"/>
      <c r="S31" s="17"/>
      <c r="T31" s="17"/>
      <c r="U31" s="17"/>
      <c r="V31" s="17"/>
      <c r="W31" s="17"/>
      <c r="X31" s="17"/>
      <c r="Y31" s="17"/>
      <c r="Z31" s="17"/>
    </row>
    <row r="32" spans="1:26" x14ac:dyDescent="0.2">
      <c r="A32" s="17"/>
      <c r="B32" s="17"/>
      <c r="C32" s="17"/>
      <c r="D32" s="17"/>
      <c r="E32" s="17"/>
      <c r="F32" s="17"/>
      <c r="G32" s="17"/>
      <c r="H32" s="17"/>
      <c r="I32" s="17"/>
      <c r="J32" s="3" t="s">
        <v>43</v>
      </c>
      <c r="K32" s="204">
        <v>1</v>
      </c>
      <c r="L32" s="17"/>
      <c r="M32" s="17"/>
      <c r="N32" s="17"/>
      <c r="O32" s="17"/>
      <c r="P32" s="17"/>
      <c r="Q32" s="17"/>
      <c r="R32" s="17"/>
      <c r="S32" s="17"/>
      <c r="T32" s="17"/>
      <c r="U32" s="17"/>
      <c r="V32" s="17"/>
      <c r="W32" s="17"/>
      <c r="X32" s="17"/>
      <c r="Y32" s="17"/>
      <c r="Z32" s="17"/>
    </row>
    <row r="33" spans="1:26" x14ac:dyDescent="0.2">
      <c r="A33" s="17"/>
      <c r="B33" s="17"/>
      <c r="C33" s="17"/>
      <c r="D33" s="17"/>
      <c r="E33" s="17"/>
      <c r="F33" s="17"/>
      <c r="G33" s="17"/>
      <c r="H33" s="17"/>
      <c r="I33" s="17"/>
      <c r="J33" s="3" t="s">
        <v>926</v>
      </c>
      <c r="K33" s="204">
        <v>1</v>
      </c>
      <c r="L33" s="17"/>
      <c r="M33" s="17"/>
      <c r="N33" s="17"/>
      <c r="O33" s="17"/>
      <c r="P33" s="17"/>
      <c r="Q33" s="17"/>
      <c r="R33" s="17"/>
      <c r="S33" s="17"/>
      <c r="T33" s="17"/>
      <c r="U33" s="17"/>
      <c r="V33" s="17"/>
      <c r="W33" s="17"/>
      <c r="X33" s="17"/>
      <c r="Y33" s="17"/>
      <c r="Z33" s="17"/>
    </row>
    <row r="34" spans="1:26" x14ac:dyDescent="0.2">
      <c r="A34" s="17"/>
      <c r="B34" s="17"/>
      <c r="C34" s="17"/>
      <c r="D34" s="17"/>
      <c r="E34" s="17"/>
      <c r="F34" s="17"/>
      <c r="G34" s="17"/>
      <c r="H34" s="17"/>
      <c r="I34" s="17"/>
      <c r="J34" s="3" t="s">
        <v>1017</v>
      </c>
      <c r="K34" s="204">
        <v>1</v>
      </c>
      <c r="L34" s="17"/>
      <c r="M34" s="17"/>
      <c r="N34" s="17"/>
      <c r="O34" s="17"/>
      <c r="P34" s="17"/>
      <c r="Q34" s="17"/>
      <c r="R34" s="17"/>
      <c r="S34" s="17"/>
      <c r="T34" s="17"/>
      <c r="U34" s="17"/>
      <c r="V34" s="17"/>
      <c r="W34" s="17"/>
      <c r="X34" s="17"/>
      <c r="Y34" s="17"/>
      <c r="Z34" s="17"/>
    </row>
    <row r="35" spans="1:26" x14ac:dyDescent="0.2">
      <c r="A35" s="17"/>
      <c r="B35" s="17"/>
      <c r="C35" s="17"/>
      <c r="D35" s="17"/>
      <c r="E35" s="17"/>
      <c r="F35" s="17"/>
      <c r="G35" s="17"/>
      <c r="H35" s="17"/>
      <c r="I35" s="17"/>
      <c r="J35" s="3" t="s">
        <v>324</v>
      </c>
      <c r="K35" s="204">
        <v>3</v>
      </c>
      <c r="L35" s="17"/>
      <c r="M35" s="17"/>
      <c r="N35" s="17"/>
      <c r="O35" s="17"/>
      <c r="P35" s="17"/>
      <c r="Q35" s="17"/>
      <c r="R35" s="17"/>
      <c r="S35" s="17"/>
      <c r="T35" s="17"/>
      <c r="U35" s="17"/>
      <c r="V35" s="17"/>
      <c r="W35" s="17"/>
      <c r="X35" s="17"/>
      <c r="Y35" s="17"/>
      <c r="Z35" s="17"/>
    </row>
    <row r="36" spans="1:26" x14ac:dyDescent="0.2">
      <c r="A36" s="17"/>
      <c r="B36" s="17"/>
      <c r="C36" s="17"/>
      <c r="D36" s="17"/>
      <c r="E36" s="17"/>
      <c r="F36" s="17"/>
      <c r="G36" s="17"/>
      <c r="H36" s="17"/>
      <c r="I36" s="17"/>
      <c r="J36" s="3" t="s">
        <v>954</v>
      </c>
      <c r="K36" s="204">
        <v>1</v>
      </c>
      <c r="L36" s="17"/>
      <c r="M36" s="17"/>
      <c r="N36" s="17"/>
      <c r="O36" s="17"/>
      <c r="P36" s="17"/>
      <c r="Q36" s="17"/>
      <c r="R36" s="17"/>
      <c r="S36" s="17"/>
      <c r="T36" s="17"/>
      <c r="U36" s="17"/>
      <c r="V36" s="17"/>
      <c r="W36" s="17"/>
      <c r="X36" s="17"/>
      <c r="Y36" s="17"/>
      <c r="Z36" s="17"/>
    </row>
    <row r="37" spans="1:26" x14ac:dyDescent="0.2">
      <c r="A37" s="17"/>
      <c r="B37" s="17"/>
      <c r="C37" s="17"/>
      <c r="D37" s="17"/>
      <c r="E37" s="17"/>
      <c r="F37" s="17"/>
      <c r="G37" s="17"/>
      <c r="H37" s="17"/>
      <c r="I37" s="17"/>
      <c r="J37" s="3" t="s">
        <v>645</v>
      </c>
      <c r="K37" s="204">
        <v>1</v>
      </c>
      <c r="L37" s="17"/>
      <c r="M37" s="17"/>
      <c r="N37" s="17"/>
      <c r="O37" s="17"/>
      <c r="P37" s="17"/>
      <c r="Q37" s="17"/>
      <c r="R37" s="17"/>
      <c r="S37" s="17"/>
      <c r="T37" s="17"/>
      <c r="U37" s="17"/>
      <c r="V37" s="17"/>
      <c r="W37" s="17"/>
      <c r="X37" s="17"/>
      <c r="Y37" s="17"/>
      <c r="Z37" s="17"/>
    </row>
    <row r="38" spans="1:26" x14ac:dyDescent="0.2">
      <c r="A38" s="17"/>
      <c r="B38" s="17"/>
      <c r="C38" s="17"/>
      <c r="D38" s="17"/>
      <c r="E38" s="17"/>
      <c r="F38" s="17"/>
      <c r="G38" s="17"/>
      <c r="H38" s="17"/>
      <c r="I38" s="17"/>
      <c r="J38" s="3" t="s">
        <v>69</v>
      </c>
      <c r="K38" s="204">
        <v>44</v>
      </c>
      <c r="L38" s="17"/>
      <c r="M38" s="17"/>
      <c r="N38" s="17"/>
      <c r="O38" s="17"/>
      <c r="P38" s="17"/>
      <c r="Q38" s="17"/>
      <c r="R38" s="17"/>
      <c r="S38" s="17"/>
      <c r="T38" s="17"/>
      <c r="U38" s="17"/>
      <c r="V38" s="17"/>
      <c r="W38" s="17"/>
      <c r="X38" s="17"/>
      <c r="Y38" s="17"/>
      <c r="Z38" s="17"/>
    </row>
    <row r="39" spans="1:26" x14ac:dyDescent="0.2">
      <c r="A39" s="17"/>
      <c r="B39" s="17"/>
      <c r="C39" s="17"/>
      <c r="D39" s="17"/>
      <c r="E39" s="17"/>
      <c r="F39" s="17"/>
      <c r="G39" s="17"/>
      <c r="H39" s="17"/>
      <c r="I39" s="17"/>
      <c r="J39" s="3" t="s">
        <v>184</v>
      </c>
      <c r="K39" s="204">
        <v>34</v>
      </c>
      <c r="L39" s="17"/>
      <c r="M39" s="17"/>
      <c r="N39" s="17"/>
      <c r="O39" s="17"/>
      <c r="P39" s="17"/>
      <c r="Q39" s="17"/>
      <c r="R39" s="17"/>
      <c r="S39" s="17"/>
      <c r="T39" s="17"/>
      <c r="U39" s="17"/>
      <c r="V39" s="17"/>
      <c r="W39" s="17"/>
      <c r="X39" s="17"/>
      <c r="Y39" s="17"/>
      <c r="Z39" s="17"/>
    </row>
    <row r="40" spans="1:26" x14ac:dyDescent="0.2">
      <c r="A40" s="17"/>
      <c r="B40" s="17"/>
      <c r="C40" s="17"/>
      <c r="D40" s="17"/>
      <c r="E40" s="17"/>
      <c r="F40" s="17"/>
      <c r="G40" s="17"/>
      <c r="H40" s="17"/>
      <c r="I40" s="17"/>
      <c r="J40" s="3" t="s">
        <v>483</v>
      </c>
      <c r="K40" s="204">
        <v>1</v>
      </c>
      <c r="L40" s="17"/>
      <c r="M40" s="17"/>
      <c r="N40" s="17"/>
      <c r="O40" s="17"/>
      <c r="P40" s="17"/>
      <c r="Q40" s="17"/>
      <c r="R40" s="17"/>
      <c r="S40" s="17"/>
      <c r="T40" s="17"/>
      <c r="U40" s="17"/>
      <c r="V40" s="17"/>
      <c r="W40" s="17"/>
      <c r="X40" s="17"/>
      <c r="Y40" s="17"/>
      <c r="Z40" s="17"/>
    </row>
    <row r="41" spans="1:26" x14ac:dyDescent="0.2">
      <c r="A41" s="17"/>
      <c r="B41" s="17"/>
      <c r="C41" s="17"/>
      <c r="D41" s="17"/>
      <c r="E41" s="17"/>
      <c r="F41" s="17"/>
      <c r="G41" s="17"/>
      <c r="H41" s="17"/>
      <c r="I41" s="17"/>
      <c r="J41" s="3" t="s">
        <v>875</v>
      </c>
      <c r="K41" s="204">
        <v>1</v>
      </c>
      <c r="L41" s="17"/>
      <c r="M41" s="17"/>
      <c r="N41" s="17"/>
      <c r="O41" s="17"/>
      <c r="P41" s="17"/>
      <c r="Q41" s="17"/>
      <c r="R41" s="17"/>
      <c r="S41" s="17"/>
      <c r="T41" s="17"/>
      <c r="U41" s="17"/>
      <c r="V41" s="17"/>
      <c r="W41" s="17"/>
      <c r="X41" s="17"/>
      <c r="Y41" s="17"/>
      <c r="Z41" s="17"/>
    </row>
    <row r="42" spans="1:26" x14ac:dyDescent="0.2">
      <c r="A42" s="17"/>
      <c r="B42" s="17"/>
      <c r="C42" s="17"/>
      <c r="D42" s="17"/>
      <c r="E42" s="17"/>
      <c r="F42" s="17"/>
      <c r="G42" s="17"/>
      <c r="H42" s="17"/>
      <c r="I42" s="17"/>
      <c r="J42" s="3" t="s">
        <v>468</v>
      </c>
      <c r="K42" s="204">
        <v>1</v>
      </c>
      <c r="L42" s="17"/>
      <c r="M42" s="17"/>
      <c r="N42" s="17"/>
      <c r="O42" s="17"/>
      <c r="P42" s="17"/>
      <c r="Q42" s="17"/>
      <c r="R42" s="17"/>
      <c r="S42" s="17"/>
      <c r="T42" s="17"/>
      <c r="U42" s="17"/>
      <c r="V42" s="17"/>
      <c r="W42" s="17"/>
      <c r="X42" s="17"/>
      <c r="Y42" s="17"/>
      <c r="Z42" s="17"/>
    </row>
    <row r="43" spans="1:26" x14ac:dyDescent="0.2">
      <c r="A43" s="17"/>
      <c r="B43" s="17"/>
      <c r="C43" s="17"/>
      <c r="D43" s="17"/>
      <c r="E43" s="17"/>
      <c r="F43" s="17"/>
      <c r="G43" s="17"/>
      <c r="H43" s="17"/>
      <c r="I43" s="17"/>
      <c r="J43" s="3" t="s">
        <v>151</v>
      </c>
      <c r="K43" s="204">
        <v>34</v>
      </c>
      <c r="L43" s="17"/>
      <c r="M43" s="17"/>
      <c r="N43" s="17"/>
      <c r="O43" s="17"/>
      <c r="P43" s="17"/>
      <c r="Q43" s="17"/>
      <c r="R43" s="17"/>
      <c r="S43" s="17"/>
      <c r="T43" s="17"/>
      <c r="U43" s="17"/>
      <c r="V43" s="17"/>
      <c r="W43" s="17"/>
      <c r="X43" s="17"/>
      <c r="Y43" s="17"/>
      <c r="Z43" s="17"/>
    </row>
    <row r="44" spans="1:26" x14ac:dyDescent="0.2">
      <c r="A44" s="17"/>
      <c r="B44" s="17"/>
      <c r="C44" s="17"/>
      <c r="D44" s="17"/>
      <c r="E44" s="17"/>
      <c r="F44" s="17"/>
      <c r="G44" s="17"/>
      <c r="H44" s="17"/>
      <c r="I44" s="17"/>
      <c r="J44" s="3" t="s">
        <v>28</v>
      </c>
      <c r="K44" s="204">
        <v>23</v>
      </c>
      <c r="L44" s="17"/>
      <c r="M44" s="17"/>
      <c r="N44" s="17"/>
      <c r="O44" s="17"/>
      <c r="P44" s="17"/>
      <c r="Q44" s="17"/>
      <c r="R44" s="17"/>
      <c r="S44" s="17"/>
      <c r="T44" s="17"/>
      <c r="U44" s="17"/>
      <c r="V44" s="17"/>
      <c r="W44" s="17"/>
      <c r="X44" s="17"/>
      <c r="Y44" s="17"/>
      <c r="Z44" s="17"/>
    </row>
    <row r="45" spans="1:26" x14ac:dyDescent="0.2">
      <c r="A45" s="17"/>
      <c r="B45" s="17"/>
      <c r="C45" s="17"/>
      <c r="D45" s="17"/>
      <c r="E45" s="17"/>
      <c r="F45" s="17"/>
      <c r="G45" s="17"/>
      <c r="H45" s="17"/>
      <c r="I45" s="17"/>
      <c r="J45" s="3" t="s">
        <v>608</v>
      </c>
      <c r="K45" s="204">
        <v>1</v>
      </c>
      <c r="L45" s="17"/>
      <c r="M45" s="17"/>
      <c r="N45" s="17"/>
      <c r="O45" s="17"/>
      <c r="P45" s="17"/>
      <c r="Q45" s="17"/>
      <c r="R45" s="17"/>
      <c r="S45" s="17"/>
      <c r="T45" s="17"/>
      <c r="U45" s="17"/>
      <c r="V45" s="17"/>
      <c r="W45" s="17"/>
      <c r="X45" s="17"/>
      <c r="Y45" s="17"/>
      <c r="Z45" s="17"/>
    </row>
    <row r="46" spans="1:26" x14ac:dyDescent="0.2">
      <c r="A46" s="17"/>
      <c r="B46" s="17"/>
      <c r="C46" s="17"/>
      <c r="D46" s="17"/>
      <c r="E46" s="17"/>
      <c r="F46" s="17"/>
      <c r="G46" s="17"/>
      <c r="H46" s="17"/>
      <c r="I46" s="17"/>
      <c r="J46" s="3" t="s">
        <v>24</v>
      </c>
      <c r="K46" s="204">
        <v>205</v>
      </c>
      <c r="L46" s="17"/>
      <c r="M46" s="17"/>
      <c r="N46" s="17"/>
      <c r="O46" s="17"/>
      <c r="P46" s="17"/>
      <c r="Q46" s="17"/>
      <c r="R46" s="17"/>
      <c r="S46" s="17"/>
      <c r="T46" s="17"/>
      <c r="U46" s="17"/>
      <c r="V46" s="17"/>
      <c r="W46" s="17"/>
      <c r="X46" s="17"/>
      <c r="Y46" s="17"/>
      <c r="Z46" s="17"/>
    </row>
    <row r="47" spans="1:26" x14ac:dyDescent="0.2">
      <c r="A47" s="17"/>
      <c r="B47" s="17"/>
      <c r="C47" s="17"/>
      <c r="D47" s="17"/>
      <c r="E47" s="17"/>
      <c r="F47" s="17"/>
      <c r="G47" s="17"/>
      <c r="H47" s="17"/>
      <c r="I47" s="17"/>
      <c r="J47" s="3" t="s">
        <v>812</v>
      </c>
      <c r="K47" s="204">
        <v>2</v>
      </c>
      <c r="L47" s="17"/>
      <c r="M47" s="17"/>
      <c r="N47" s="17"/>
      <c r="O47" s="17"/>
      <c r="P47" s="17"/>
      <c r="Q47" s="17"/>
      <c r="R47" s="17"/>
      <c r="S47" s="17"/>
      <c r="T47" s="17"/>
      <c r="U47" s="17"/>
      <c r="V47" s="17"/>
      <c r="W47" s="17"/>
      <c r="X47" s="17"/>
      <c r="Y47" s="17"/>
      <c r="Z47" s="17"/>
    </row>
    <row r="48" spans="1:26" x14ac:dyDescent="0.2">
      <c r="A48" s="17"/>
      <c r="B48" s="17"/>
      <c r="C48" s="17"/>
      <c r="D48" s="17"/>
      <c r="E48" s="17"/>
      <c r="F48" s="17"/>
      <c r="G48" s="17"/>
      <c r="H48" s="17"/>
      <c r="I48" s="17"/>
      <c r="J48" s="3" t="s">
        <v>584</v>
      </c>
      <c r="K48" s="204">
        <v>1</v>
      </c>
      <c r="L48" s="17"/>
      <c r="M48" s="17"/>
      <c r="N48" s="17"/>
      <c r="O48" s="17"/>
      <c r="P48" s="17"/>
      <c r="Q48" s="17"/>
      <c r="R48" s="17"/>
      <c r="S48" s="17"/>
      <c r="T48" s="17"/>
      <c r="U48" s="17"/>
      <c r="V48" s="17"/>
      <c r="W48" s="17"/>
      <c r="X48" s="17"/>
      <c r="Y48" s="17"/>
      <c r="Z48" s="17"/>
    </row>
    <row r="49" spans="1:26" x14ac:dyDescent="0.2">
      <c r="A49" s="17"/>
      <c r="B49" s="17"/>
      <c r="C49" s="17"/>
      <c r="D49" s="17"/>
      <c r="E49" s="17"/>
      <c r="F49" s="17"/>
      <c r="G49" s="17"/>
      <c r="H49" s="17"/>
      <c r="I49" s="17"/>
      <c r="J49" s="3" t="s">
        <v>527</v>
      </c>
      <c r="K49" s="204">
        <v>1</v>
      </c>
      <c r="L49" s="17"/>
      <c r="M49" s="17"/>
      <c r="N49" s="17"/>
      <c r="O49" s="17"/>
      <c r="P49" s="17"/>
      <c r="Q49" s="17"/>
      <c r="R49" s="17"/>
      <c r="S49" s="17"/>
      <c r="T49" s="17"/>
      <c r="U49" s="17"/>
      <c r="V49" s="17"/>
      <c r="W49" s="17"/>
      <c r="X49" s="17"/>
      <c r="Y49" s="17"/>
      <c r="Z49" s="17"/>
    </row>
    <row r="50" spans="1:26" x14ac:dyDescent="0.2">
      <c r="A50" s="17"/>
      <c r="B50" s="17"/>
      <c r="C50" s="17"/>
      <c r="D50" s="17"/>
      <c r="E50" s="17"/>
      <c r="F50" s="17"/>
      <c r="G50" s="17"/>
      <c r="H50" s="17"/>
      <c r="I50" s="17"/>
      <c r="J50" s="3" t="s">
        <v>345</v>
      </c>
      <c r="K50" s="204">
        <v>1</v>
      </c>
      <c r="L50" s="17"/>
      <c r="M50" s="17"/>
      <c r="N50" s="17"/>
      <c r="O50" s="17"/>
      <c r="P50" s="17"/>
      <c r="Q50" s="17"/>
      <c r="R50" s="17"/>
      <c r="S50" s="17"/>
      <c r="T50" s="17"/>
      <c r="U50" s="17"/>
      <c r="V50" s="17"/>
      <c r="W50" s="17"/>
      <c r="X50" s="17"/>
      <c r="Y50" s="17"/>
      <c r="Z50" s="17"/>
    </row>
    <row r="51" spans="1:26" x14ac:dyDescent="0.2">
      <c r="J51" s="3" t="s">
        <v>835</v>
      </c>
      <c r="K51" s="204">
        <v>5</v>
      </c>
    </row>
    <row r="52" spans="1:26" x14ac:dyDescent="0.2">
      <c r="J52" s="3" t="s">
        <v>1043</v>
      </c>
      <c r="K52" s="204">
        <v>4</v>
      </c>
    </row>
    <row r="53" spans="1:26" x14ac:dyDescent="0.2">
      <c r="J53" s="3" t="s">
        <v>130</v>
      </c>
      <c r="K53" s="204">
        <v>2</v>
      </c>
    </row>
    <row r="54" spans="1:26" x14ac:dyDescent="0.2">
      <c r="J54" s="3" t="s">
        <v>372</v>
      </c>
      <c r="K54" s="204">
        <v>12</v>
      </c>
    </row>
    <row r="55" spans="1:26" x14ac:dyDescent="0.2">
      <c r="J55" s="3" t="s">
        <v>1042</v>
      </c>
      <c r="K55" s="204">
        <v>3</v>
      </c>
    </row>
    <row r="56" spans="1:26" x14ac:dyDescent="0.2">
      <c r="J56" s="3" t="s">
        <v>542</v>
      </c>
      <c r="K56" s="204">
        <v>1</v>
      </c>
    </row>
    <row r="57" spans="1:26" x14ac:dyDescent="0.2">
      <c r="J57" s="3" t="s">
        <v>365</v>
      </c>
      <c r="K57" s="204">
        <v>1</v>
      </c>
    </row>
    <row r="58" spans="1:26" x14ac:dyDescent="0.2">
      <c r="J58" s="3" t="s">
        <v>463</v>
      </c>
      <c r="K58" s="204">
        <v>5</v>
      </c>
    </row>
    <row r="59" spans="1:26" x14ac:dyDescent="0.2">
      <c r="J59" s="3" t="s">
        <v>712</v>
      </c>
      <c r="K59" s="204">
        <v>3</v>
      </c>
    </row>
    <row r="60" spans="1:26" x14ac:dyDescent="0.2">
      <c r="J60" s="3" t="s">
        <v>74</v>
      </c>
      <c r="K60" s="204">
        <v>6</v>
      </c>
    </row>
    <row r="61" spans="1:26" x14ac:dyDescent="0.2">
      <c r="J61" s="3" t="s">
        <v>106</v>
      </c>
      <c r="K61" s="204">
        <v>1</v>
      </c>
    </row>
    <row r="62" spans="1:26" x14ac:dyDescent="0.2">
      <c r="J62" s="3" t="s">
        <v>49</v>
      </c>
      <c r="K62" s="204">
        <v>1</v>
      </c>
    </row>
    <row r="63" spans="1:26" x14ac:dyDescent="0.2">
      <c r="J63" s="3" t="s">
        <v>85</v>
      </c>
      <c r="K63" s="204">
        <v>1</v>
      </c>
    </row>
    <row r="64" spans="1:26" x14ac:dyDescent="0.2">
      <c r="J64" s="3" t="s">
        <v>621</v>
      </c>
      <c r="K64" s="204">
        <v>1</v>
      </c>
    </row>
    <row r="65" spans="10:11" x14ac:dyDescent="0.2">
      <c r="J65" s="3" t="s">
        <v>938</v>
      </c>
      <c r="K65" s="204">
        <v>1</v>
      </c>
    </row>
    <row r="66" spans="10:11" x14ac:dyDescent="0.2">
      <c r="J66" s="3" t="s">
        <v>745</v>
      </c>
      <c r="K66" s="204">
        <v>580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BF67D-4065-4371-8AB1-B177BC60E64E}">
  <sheetPr>
    <tabColor rgb="FFCBD5E1"/>
  </sheetPr>
  <dimension ref="A1:A23"/>
  <sheetViews>
    <sheetView showGridLines="0" workbookViewId="0"/>
  </sheetViews>
  <sheetFormatPr defaultRowHeight="14.25" x14ac:dyDescent="0.2"/>
  <cols>
    <col min="1" max="1" width="83.375" customWidth="1"/>
  </cols>
  <sheetData>
    <row r="1" spans="1:1" ht="25.5" x14ac:dyDescent="0.5">
      <c r="A1" s="88" t="s">
        <v>1241</v>
      </c>
    </row>
    <row r="2" spans="1:1" ht="16.5" x14ac:dyDescent="0.3">
      <c r="A2" s="87"/>
    </row>
    <row r="3" spans="1:1" ht="16.5" x14ac:dyDescent="0.3">
      <c r="A3" s="89" t="s">
        <v>1242</v>
      </c>
    </row>
    <row r="4" spans="1:1" ht="16.5" x14ac:dyDescent="0.3">
      <c r="A4" s="87" t="s">
        <v>1243</v>
      </c>
    </row>
    <row r="5" spans="1:1" ht="16.5" x14ac:dyDescent="0.3">
      <c r="A5" s="87" t="s">
        <v>1244</v>
      </c>
    </row>
    <row r="6" spans="1:1" ht="16.5" x14ac:dyDescent="0.3">
      <c r="A6" s="87" t="s">
        <v>1245</v>
      </c>
    </row>
    <row r="7" spans="1:1" ht="16.5" x14ac:dyDescent="0.3">
      <c r="A7" s="87" t="s">
        <v>1246</v>
      </c>
    </row>
    <row r="8" spans="1:1" ht="16.5" x14ac:dyDescent="0.3">
      <c r="A8" s="87" t="s">
        <v>1247</v>
      </c>
    </row>
    <row r="9" spans="1:1" ht="16.5" x14ac:dyDescent="0.3">
      <c r="A9" s="87"/>
    </row>
    <row r="10" spans="1:1" ht="16.5" x14ac:dyDescent="0.3">
      <c r="A10" s="89" t="s">
        <v>1248</v>
      </c>
    </row>
    <row r="11" spans="1:1" ht="16.5" x14ac:dyDescent="0.3">
      <c r="A11" s="87" t="s">
        <v>1249</v>
      </c>
    </row>
    <row r="12" spans="1:1" ht="16.5" x14ac:dyDescent="0.3">
      <c r="A12" s="87" t="s">
        <v>1250</v>
      </c>
    </row>
    <row r="13" spans="1:1" ht="16.5" x14ac:dyDescent="0.3">
      <c r="A13" s="87" t="s">
        <v>1251</v>
      </c>
    </row>
    <row r="14" spans="1:1" ht="16.5" x14ac:dyDescent="0.3">
      <c r="A14" s="87" t="s">
        <v>1252</v>
      </c>
    </row>
    <row r="15" spans="1:1" ht="16.5" x14ac:dyDescent="0.3">
      <c r="A15" s="87"/>
    </row>
    <row r="16" spans="1:1" ht="16.5" x14ac:dyDescent="0.3">
      <c r="A16" s="89" t="s">
        <v>1253</v>
      </c>
    </row>
    <row r="17" spans="1:1" ht="16.5" x14ac:dyDescent="0.3">
      <c r="A17" s="87" t="s">
        <v>1254</v>
      </c>
    </row>
    <row r="18" spans="1:1" ht="16.5" x14ac:dyDescent="0.3">
      <c r="A18" s="87" t="s">
        <v>1255</v>
      </c>
    </row>
    <row r="19" spans="1:1" ht="16.5" x14ac:dyDescent="0.3">
      <c r="A19" s="87" t="s">
        <v>1256</v>
      </c>
    </row>
    <row r="20" spans="1:1" ht="16.5" x14ac:dyDescent="0.3">
      <c r="A20" s="87"/>
    </row>
    <row r="21" spans="1:1" ht="16.5" x14ac:dyDescent="0.3">
      <c r="A21" s="89" t="s">
        <v>1257</v>
      </c>
    </row>
    <row r="22" spans="1:1" ht="16.5" x14ac:dyDescent="0.3">
      <c r="A22" s="87" t="s">
        <v>1258</v>
      </c>
    </row>
    <row r="23" spans="1:1" ht="16.5" x14ac:dyDescent="0.3">
      <c r="A23" s="87" t="s">
        <v>1259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E32E8-20D0-422D-A86E-253232316696}">
  <dimension ref="A3:B8"/>
  <sheetViews>
    <sheetView workbookViewId="0">
      <selection activeCell="B39" sqref="B39"/>
    </sheetView>
  </sheetViews>
  <sheetFormatPr defaultRowHeight="14.25" x14ac:dyDescent="0.2"/>
  <cols>
    <col min="1" max="1" width="12.875" bestFit="1" customWidth="1"/>
    <col min="2" max="2" width="14.125" bestFit="1" customWidth="1"/>
    <col min="3" max="3" width="12.875" bestFit="1" customWidth="1"/>
    <col min="4" max="182" width="14.75" bestFit="1" customWidth="1"/>
    <col min="183" max="183" width="9.875" bestFit="1" customWidth="1"/>
  </cols>
  <sheetData>
    <row r="3" spans="1:2" x14ac:dyDescent="0.2">
      <c r="B3" t="s">
        <v>743</v>
      </c>
    </row>
    <row r="4" spans="1:2" x14ac:dyDescent="0.2">
      <c r="A4" s="3" t="s">
        <v>732</v>
      </c>
      <c r="B4" s="204">
        <v>63</v>
      </c>
    </row>
    <row r="5" spans="1:2" x14ac:dyDescent="0.2">
      <c r="A5" s="3" t="s">
        <v>734</v>
      </c>
      <c r="B5" s="204">
        <v>65</v>
      </c>
    </row>
    <row r="6" spans="1:2" x14ac:dyDescent="0.2">
      <c r="A6" s="3" t="s">
        <v>735</v>
      </c>
      <c r="B6" s="204">
        <v>47</v>
      </c>
    </row>
    <row r="7" spans="1:2" x14ac:dyDescent="0.2">
      <c r="A7" s="3" t="s">
        <v>736</v>
      </c>
      <c r="B7" s="204">
        <v>77</v>
      </c>
    </row>
    <row r="8" spans="1:2" x14ac:dyDescent="0.2">
      <c r="A8" s="3" t="s">
        <v>745</v>
      </c>
      <c r="B8" s="204">
        <v>252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60DBD-FF87-4EFC-BDC0-F3BD095351A1}">
  <dimension ref="A3:C12"/>
  <sheetViews>
    <sheetView showGridLines="0" zoomScaleNormal="100" workbookViewId="0">
      <selection activeCell="B10" sqref="B10"/>
    </sheetView>
  </sheetViews>
  <sheetFormatPr defaultRowHeight="14.25" x14ac:dyDescent="0.2"/>
  <cols>
    <col min="1" max="1" width="14.375" bestFit="1" customWidth="1"/>
    <col min="2" max="2" width="17.75" bestFit="1" customWidth="1"/>
    <col min="3" max="5" width="12.875" bestFit="1" customWidth="1"/>
    <col min="6" max="6" width="11.25" customWidth="1"/>
    <col min="7" max="15" width="8.25" bestFit="1" customWidth="1"/>
    <col min="16" max="19" width="7.375" bestFit="1" customWidth="1"/>
    <col min="20" max="27" width="8.25" bestFit="1" customWidth="1"/>
    <col min="28" max="31" width="7.375" bestFit="1" customWidth="1"/>
    <col min="32" max="39" width="8.25" bestFit="1" customWidth="1"/>
    <col min="40" max="43" width="7.375" bestFit="1" customWidth="1"/>
    <col min="44" max="49" width="8.25" bestFit="1" customWidth="1"/>
    <col min="50" max="52" width="7.375" bestFit="1" customWidth="1"/>
    <col min="53" max="61" width="8.25" bestFit="1" customWidth="1"/>
    <col min="62" max="64" width="7.375" bestFit="1" customWidth="1"/>
    <col min="65" max="71" width="8.25" bestFit="1" customWidth="1"/>
    <col min="72" max="75" width="7.375" bestFit="1" customWidth="1"/>
    <col min="76" max="83" width="8.25" bestFit="1" customWidth="1"/>
    <col min="84" max="87" width="7.375" bestFit="1" customWidth="1"/>
    <col min="88" max="93" width="8.25" bestFit="1" customWidth="1"/>
    <col min="94" max="97" width="7.375" bestFit="1" customWidth="1"/>
    <col min="98" max="111" width="8.25" bestFit="1" customWidth="1"/>
    <col min="112" max="123" width="9.125" bestFit="1" customWidth="1"/>
    <col min="124" max="127" width="8.25" bestFit="1" customWidth="1"/>
    <col min="128" max="137" width="9.125" bestFit="1" customWidth="1"/>
    <col min="138" max="142" width="8.25" bestFit="1" customWidth="1"/>
    <col min="143" max="155" width="9.125" bestFit="1" customWidth="1"/>
    <col min="156" max="158" width="7.375" bestFit="1" customWidth="1"/>
    <col min="159" max="168" width="8.25" bestFit="1" customWidth="1"/>
    <col min="169" max="172" width="7.375" bestFit="1" customWidth="1"/>
    <col min="173" max="179" width="8.25" bestFit="1" customWidth="1"/>
    <col min="180" max="180" width="9.875" bestFit="1" customWidth="1"/>
  </cols>
  <sheetData>
    <row r="3" spans="1:3" x14ac:dyDescent="0.2">
      <c r="A3" s="2" t="s">
        <v>743</v>
      </c>
      <c r="B3" s="2" t="s">
        <v>750</v>
      </c>
    </row>
    <row r="4" spans="1:3" x14ac:dyDescent="0.2">
      <c r="A4" s="2" t="s">
        <v>744</v>
      </c>
      <c r="B4" t="s">
        <v>76</v>
      </c>
      <c r="C4" t="s">
        <v>745</v>
      </c>
    </row>
    <row r="5" spans="1:3" x14ac:dyDescent="0.2">
      <c r="A5" s="3">
        <v>2025</v>
      </c>
      <c r="B5" s="204">
        <v>4</v>
      </c>
      <c r="C5" s="204">
        <v>4</v>
      </c>
    </row>
    <row r="6" spans="1:3" x14ac:dyDescent="0.2">
      <c r="A6" s="4" t="s">
        <v>732</v>
      </c>
      <c r="B6" s="204">
        <v>3</v>
      </c>
      <c r="C6" s="204">
        <v>3</v>
      </c>
    </row>
    <row r="7" spans="1:3" x14ac:dyDescent="0.2">
      <c r="A7" s="4" t="s">
        <v>736</v>
      </c>
      <c r="B7" s="204">
        <v>1</v>
      </c>
      <c r="C7" s="204">
        <v>1</v>
      </c>
    </row>
    <row r="8" spans="1:3" x14ac:dyDescent="0.2">
      <c r="A8" s="3">
        <v>2026</v>
      </c>
      <c r="B8" s="204">
        <v>4</v>
      </c>
      <c r="C8" s="204">
        <v>4</v>
      </c>
    </row>
    <row r="9" spans="1:3" x14ac:dyDescent="0.2">
      <c r="A9" s="4" t="s">
        <v>734</v>
      </c>
      <c r="B9" s="204">
        <v>1</v>
      </c>
      <c r="C9" s="204">
        <v>1</v>
      </c>
    </row>
    <row r="10" spans="1:3" x14ac:dyDescent="0.2">
      <c r="A10" s="4" t="s">
        <v>735</v>
      </c>
      <c r="B10" s="204">
        <v>1</v>
      </c>
      <c r="C10" s="204">
        <v>1</v>
      </c>
    </row>
    <row r="11" spans="1:3" x14ac:dyDescent="0.2">
      <c r="A11" s="4" t="s">
        <v>736</v>
      </c>
      <c r="B11" s="204">
        <v>2</v>
      </c>
      <c r="C11" s="204">
        <v>2</v>
      </c>
    </row>
    <row r="12" spans="1:3" x14ac:dyDescent="0.2">
      <c r="A12" s="3" t="s">
        <v>745</v>
      </c>
      <c r="B12" s="204">
        <v>8</v>
      </c>
      <c r="C12" s="204">
        <v>8</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94E8D-2700-46E2-82C6-983AF2F25E37}">
  <dimension ref="A3:B6"/>
  <sheetViews>
    <sheetView workbookViewId="0">
      <selection activeCell="H32" sqref="H32"/>
    </sheetView>
  </sheetViews>
  <sheetFormatPr defaultRowHeight="14.25" x14ac:dyDescent="0.2"/>
  <cols>
    <col min="1" max="1" width="14.375" bestFit="1" customWidth="1"/>
    <col min="2" max="2" width="14.125" bestFit="1" customWidth="1"/>
    <col min="3" max="3" width="16.75" customWidth="1"/>
    <col min="4" max="4" width="9.875" bestFit="1" customWidth="1"/>
  </cols>
  <sheetData>
    <row r="3" spans="1:2" x14ac:dyDescent="0.2">
      <c r="A3" s="2" t="s">
        <v>744</v>
      </c>
      <c r="B3" t="s">
        <v>743</v>
      </c>
    </row>
    <row r="4" spans="1:2" x14ac:dyDescent="0.2">
      <c r="A4" s="3">
        <v>2025</v>
      </c>
      <c r="B4" s="204">
        <v>79</v>
      </c>
    </row>
    <row r="5" spans="1:2" x14ac:dyDescent="0.2">
      <c r="A5" s="3">
        <v>2026</v>
      </c>
      <c r="B5" s="204">
        <v>173</v>
      </c>
    </row>
    <row r="6" spans="1:2" x14ac:dyDescent="0.2">
      <c r="A6" s="3" t="s">
        <v>745</v>
      </c>
      <c r="B6" s="204">
        <v>252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FAFCB-DFB7-4150-A92C-0A36980F963B}">
  <dimension ref="A3:A4"/>
  <sheetViews>
    <sheetView zoomScaleNormal="100" workbookViewId="0">
      <selection activeCell="A4" sqref="A4"/>
      <pivotSelection pane="bottomRight" showHeader="1" extendable="1" activeRow="2" previousRow="2" click="1" r:id="rId1">
        <pivotArea dataOnly="0" outline="0" axis="axisValues" fieldPosition="0"/>
      </pivotSelection>
    </sheetView>
  </sheetViews>
  <sheetFormatPr defaultRowHeight="14.25" x14ac:dyDescent="0.2"/>
  <cols>
    <col min="1" max="1" width="14.125" bestFit="1" customWidth="1"/>
    <col min="2" max="2" width="12.625" customWidth="1"/>
    <col min="3" max="3" width="11.875" bestFit="1" customWidth="1"/>
    <col min="4" max="4" width="4.25" bestFit="1" customWidth="1"/>
    <col min="5" max="5" width="6.375" bestFit="1" customWidth="1"/>
    <col min="6" max="6" width="9.875" bestFit="1" customWidth="1"/>
    <col min="7" max="7" width="4.5" bestFit="1" customWidth="1"/>
    <col min="8" max="8" width="4.875" bestFit="1" customWidth="1"/>
    <col min="9" max="9" width="12.625" bestFit="1" customWidth="1"/>
    <col min="10" max="10" width="9.5" bestFit="1" customWidth="1"/>
    <col min="11" max="11" width="10" bestFit="1" customWidth="1"/>
    <col min="12" max="12" width="5.625" bestFit="1" customWidth="1"/>
    <col min="13" max="13" width="10.5" bestFit="1" customWidth="1"/>
    <col min="14" max="14" width="10.875" bestFit="1" customWidth="1"/>
    <col min="15" max="15" width="12.125" bestFit="1" customWidth="1"/>
    <col min="16" max="16" width="11.75" bestFit="1" customWidth="1"/>
    <col min="17" max="17" width="16.375" bestFit="1" customWidth="1"/>
    <col min="18" max="18" width="17.75" bestFit="1" customWidth="1"/>
    <col min="19" max="19" width="9.5" bestFit="1" customWidth="1"/>
    <col min="20" max="20" width="13.875" bestFit="1" customWidth="1"/>
    <col min="21" max="21" width="7.5" bestFit="1" customWidth="1"/>
    <col min="22" max="22" width="8.75" bestFit="1" customWidth="1"/>
    <col min="23" max="23" width="9.125" bestFit="1" customWidth="1"/>
    <col min="24" max="24" width="10.125" bestFit="1" customWidth="1"/>
    <col min="25" max="25" width="9.125" bestFit="1" customWidth="1"/>
    <col min="26" max="26" width="3.125" bestFit="1" customWidth="1"/>
    <col min="27" max="27" width="5.25" bestFit="1" customWidth="1"/>
    <col min="28" max="28" width="10" bestFit="1" customWidth="1"/>
    <col min="29" max="29" width="8" bestFit="1" customWidth="1"/>
    <col min="30" max="30" width="4.75" bestFit="1" customWidth="1"/>
    <col min="31" max="31" width="5.125" bestFit="1" customWidth="1"/>
    <col min="32" max="32" width="9.25" bestFit="1" customWidth="1"/>
    <col min="33" max="33" width="13" bestFit="1" customWidth="1"/>
    <col min="34" max="34" width="5.875" bestFit="1" customWidth="1"/>
    <col min="35" max="35" width="16.5" bestFit="1" customWidth="1"/>
    <col min="36" max="36" width="5.5" bestFit="1" customWidth="1"/>
    <col min="37" max="37" width="13.125" bestFit="1" customWidth="1"/>
    <col min="38" max="38" width="20.125" bestFit="1" customWidth="1"/>
    <col min="39" max="39" width="5.875" bestFit="1" customWidth="1"/>
    <col min="40" max="40" width="20.875" bestFit="1" customWidth="1"/>
    <col min="41" max="41" width="13.5" bestFit="1" customWidth="1"/>
    <col min="42" max="42" width="19.125" bestFit="1" customWidth="1"/>
    <col min="43" max="43" width="12" bestFit="1" customWidth="1"/>
    <col min="44" max="44" width="13.875" bestFit="1" customWidth="1"/>
    <col min="45" max="46" width="20.5" bestFit="1" customWidth="1"/>
    <col min="47" max="47" width="21" bestFit="1" customWidth="1"/>
    <col min="48" max="48" width="17.625" bestFit="1" customWidth="1"/>
    <col min="49" max="49" width="8.375" bestFit="1" customWidth="1"/>
    <col min="50" max="50" width="14.875" bestFit="1" customWidth="1"/>
    <col min="51" max="51" width="6.375" bestFit="1" customWidth="1"/>
    <col min="52" max="52" width="9.875" bestFit="1" customWidth="1"/>
  </cols>
  <sheetData>
    <row r="3" spans="1:1" x14ac:dyDescent="0.2">
      <c r="A3" t="s">
        <v>743</v>
      </c>
    </row>
    <row r="4" spans="1:1" x14ac:dyDescent="0.2">
      <c r="A4" s="204">
        <v>580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79951-9CEC-4A0F-BD7A-45EAFD41330C}">
  <dimension ref="A3:B16"/>
  <sheetViews>
    <sheetView zoomScaleNormal="100" workbookViewId="0">
      <selection activeCell="A4" sqref="A4"/>
    </sheetView>
  </sheetViews>
  <sheetFormatPr defaultRowHeight="14.25" x14ac:dyDescent="0.2"/>
  <cols>
    <col min="1" max="1" width="20.5" bestFit="1" customWidth="1"/>
    <col min="2" max="2" width="14.125" bestFit="1" customWidth="1"/>
    <col min="3" max="4" width="12.875" bestFit="1" customWidth="1"/>
    <col min="5" max="5" width="9.875" bestFit="1" customWidth="1"/>
    <col min="6" max="6" width="8.875" bestFit="1" customWidth="1"/>
    <col min="7" max="7" width="4.5" bestFit="1" customWidth="1"/>
    <col min="8" max="8" width="4.875" bestFit="1" customWidth="1"/>
    <col min="9" max="9" width="12.625" bestFit="1" customWidth="1"/>
    <col min="10" max="10" width="9.5" bestFit="1" customWidth="1"/>
    <col min="11" max="11" width="10" bestFit="1" customWidth="1"/>
    <col min="12" max="12" width="5.625" bestFit="1" customWidth="1"/>
    <col min="13" max="13" width="10.5" bestFit="1" customWidth="1"/>
    <col min="14" max="14" width="10.875" bestFit="1" customWidth="1"/>
    <col min="15" max="15" width="12.125" bestFit="1" customWidth="1"/>
    <col min="16" max="16" width="11.75" bestFit="1" customWidth="1"/>
    <col min="17" max="17" width="16.375" bestFit="1" customWidth="1"/>
    <col min="18" max="18" width="17.75" bestFit="1" customWidth="1"/>
    <col min="19" max="19" width="9.5" bestFit="1" customWidth="1"/>
    <col min="20" max="20" width="13.875" bestFit="1" customWidth="1"/>
    <col min="21" max="21" width="7.5" bestFit="1" customWidth="1"/>
    <col min="22" max="22" width="8.75" bestFit="1" customWidth="1"/>
    <col min="23" max="23" width="9.125" bestFit="1" customWidth="1"/>
    <col min="24" max="24" width="10.125" bestFit="1" customWidth="1"/>
    <col min="25" max="25" width="9.125" bestFit="1" customWidth="1"/>
    <col min="26" max="26" width="3.125" bestFit="1" customWidth="1"/>
    <col min="27" max="27" width="5.25" bestFit="1" customWidth="1"/>
    <col min="28" max="28" width="10" bestFit="1" customWidth="1"/>
    <col min="29" max="29" width="8"/>
    <col min="30" max="30" width="4.75" bestFit="1" customWidth="1"/>
    <col min="31" max="31" width="5.125" bestFit="1" customWidth="1"/>
    <col min="32" max="32" width="9.25" bestFit="1" customWidth="1"/>
    <col min="33" max="33" width="13" bestFit="1" customWidth="1"/>
    <col min="34" max="34" width="5.875" bestFit="1" customWidth="1"/>
    <col min="35" max="35" width="16.5" bestFit="1" customWidth="1"/>
    <col min="36" max="36" width="5.5" bestFit="1" customWidth="1"/>
    <col min="37" max="37" width="13.125" bestFit="1" customWidth="1"/>
    <col min="38" max="38" width="20.125" bestFit="1" customWidth="1"/>
    <col min="39" max="39" width="5.875" bestFit="1" customWidth="1"/>
    <col min="40" max="40" width="20.875" bestFit="1" customWidth="1"/>
    <col min="41" max="41" width="13.5" bestFit="1" customWidth="1"/>
    <col min="42" max="42" width="19.125" bestFit="1" customWidth="1"/>
    <col min="43" max="43" width="12" bestFit="1" customWidth="1"/>
    <col min="44" max="44" width="13.875" bestFit="1" customWidth="1"/>
    <col min="45" max="46" width="20.5" bestFit="1" customWidth="1"/>
    <col min="47" max="47" width="21" bestFit="1" customWidth="1"/>
    <col min="48" max="48" width="17.625" bestFit="1" customWidth="1"/>
    <col min="49" max="49" width="8.375" bestFit="1" customWidth="1"/>
    <col min="50" max="50" width="14.875" bestFit="1" customWidth="1"/>
    <col min="51" max="51" width="6.375" bestFit="1" customWidth="1"/>
    <col min="52" max="52" width="9.875" bestFit="1" customWidth="1"/>
  </cols>
  <sheetData>
    <row r="3" spans="1:2" x14ac:dyDescent="0.2">
      <c r="A3" s="2" t="s">
        <v>744</v>
      </c>
      <c r="B3" t="s">
        <v>743</v>
      </c>
    </row>
    <row r="4" spans="1:2" x14ac:dyDescent="0.2">
      <c r="A4" s="3" t="s">
        <v>726</v>
      </c>
      <c r="B4" s="204">
        <v>1</v>
      </c>
    </row>
    <row r="5" spans="1:2" x14ac:dyDescent="0.2">
      <c r="A5" s="4">
        <v>2026</v>
      </c>
      <c r="B5" s="204">
        <v>1</v>
      </c>
    </row>
    <row r="6" spans="1:2" x14ac:dyDescent="0.2">
      <c r="A6" s="3" t="s">
        <v>10</v>
      </c>
      <c r="B6" s="204">
        <v>4</v>
      </c>
    </row>
    <row r="7" spans="1:2" x14ac:dyDescent="0.2">
      <c r="A7" s="4">
        <v>2025</v>
      </c>
      <c r="B7" s="204">
        <v>2</v>
      </c>
    </row>
    <row r="8" spans="1:2" x14ac:dyDescent="0.2">
      <c r="A8" s="4">
        <v>2026</v>
      </c>
      <c r="B8" s="204">
        <v>2</v>
      </c>
    </row>
    <row r="9" spans="1:2" x14ac:dyDescent="0.2">
      <c r="A9" s="3" t="s">
        <v>17</v>
      </c>
      <c r="B9" s="204">
        <v>10</v>
      </c>
    </row>
    <row r="10" spans="1:2" x14ac:dyDescent="0.2">
      <c r="A10" s="4">
        <v>2025</v>
      </c>
      <c r="B10" s="204">
        <v>7</v>
      </c>
    </row>
    <row r="11" spans="1:2" x14ac:dyDescent="0.2">
      <c r="A11" s="4">
        <v>2026</v>
      </c>
      <c r="B11" s="204">
        <v>3</v>
      </c>
    </row>
    <row r="12" spans="1:2" x14ac:dyDescent="0.2">
      <c r="A12" s="3" t="s">
        <v>577</v>
      </c>
      <c r="B12" s="204">
        <v>1</v>
      </c>
    </row>
    <row r="13" spans="1:2" x14ac:dyDescent="0.2">
      <c r="A13" s="4">
        <v>2025</v>
      </c>
      <c r="B13" s="204">
        <v>1</v>
      </c>
    </row>
    <row r="14" spans="1:2" x14ac:dyDescent="0.2">
      <c r="A14" s="3" t="s">
        <v>246</v>
      </c>
      <c r="B14" s="204">
        <v>1</v>
      </c>
    </row>
    <row r="15" spans="1:2" x14ac:dyDescent="0.2">
      <c r="A15" s="4">
        <v>2026</v>
      </c>
      <c r="B15" s="204">
        <v>1</v>
      </c>
    </row>
    <row r="16" spans="1:2" x14ac:dyDescent="0.2">
      <c r="A16" s="3" t="s">
        <v>745</v>
      </c>
      <c r="B16" s="204">
        <v>17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F9A9D-497E-4508-BDC1-23B96B567DC5}">
  <dimension ref="A3:B108"/>
  <sheetViews>
    <sheetView zoomScaleNormal="100" workbookViewId="0">
      <selection activeCell="A4" sqref="A4"/>
    </sheetView>
  </sheetViews>
  <sheetFormatPr defaultRowHeight="14.25" x14ac:dyDescent="0.2"/>
  <cols>
    <col min="1" max="1" width="29.625" bestFit="1" customWidth="1"/>
    <col min="2" max="2" width="24.125" bestFit="1" customWidth="1"/>
    <col min="3" max="3" width="25.25" bestFit="1" customWidth="1"/>
    <col min="4" max="4" width="11.625" bestFit="1" customWidth="1"/>
    <col min="5" max="5" width="14" bestFit="1" customWidth="1"/>
    <col min="6" max="6" width="16.375" bestFit="1" customWidth="1"/>
    <col min="7" max="7" width="10.25" bestFit="1" customWidth="1"/>
    <col min="8" max="8" width="16.5" bestFit="1" customWidth="1"/>
    <col min="9" max="9" width="21.625" bestFit="1" customWidth="1"/>
    <col min="10" max="10" width="19.875" bestFit="1" customWidth="1"/>
    <col min="11" max="11" width="16.5" bestFit="1" customWidth="1"/>
    <col min="12" max="12" width="49.375" bestFit="1" customWidth="1"/>
    <col min="13" max="13" width="10.875" bestFit="1" customWidth="1"/>
    <col min="14" max="14" width="12.25" bestFit="1" customWidth="1"/>
    <col min="15" max="15" width="20.75" bestFit="1" customWidth="1"/>
    <col min="16" max="16" width="9.75" bestFit="1" customWidth="1"/>
    <col min="17" max="17" width="5.75" bestFit="1" customWidth="1"/>
    <col min="18" max="18" width="26.75" bestFit="1" customWidth="1"/>
    <col min="19" max="19" width="6.25" bestFit="1" customWidth="1"/>
    <col min="20" max="20" width="11.625" bestFit="1" customWidth="1"/>
    <col min="21" max="21" width="11.25" bestFit="1" customWidth="1"/>
    <col min="22" max="22" width="10.125" bestFit="1" customWidth="1"/>
    <col min="23" max="23" width="14.125" bestFit="1" customWidth="1"/>
    <col min="24" max="24" width="19.5" bestFit="1" customWidth="1"/>
    <col min="25" max="25" width="25.75" bestFit="1" customWidth="1"/>
    <col min="26" max="26" width="14.5" bestFit="1" customWidth="1"/>
    <col min="27" max="27" width="12.375" bestFit="1" customWidth="1"/>
    <col min="28" max="28" width="10.75" bestFit="1" customWidth="1"/>
    <col min="29" max="29" width="12.5" bestFit="1" customWidth="1"/>
    <col min="30" max="30" width="11.125" bestFit="1" customWidth="1"/>
    <col min="31" max="31" width="9.5" bestFit="1" customWidth="1"/>
    <col min="32" max="32" width="26.5" bestFit="1" customWidth="1"/>
    <col min="33" max="33" width="39.5" bestFit="1" customWidth="1"/>
    <col min="34" max="34" width="11.75" bestFit="1" customWidth="1"/>
    <col min="35" max="35" width="12.25" bestFit="1" customWidth="1"/>
    <col min="36" max="36" width="10.5" bestFit="1" customWidth="1"/>
    <col min="37" max="37" width="20.625" bestFit="1" customWidth="1"/>
    <col min="38" max="38" width="12.375" bestFit="1" customWidth="1"/>
    <col min="39" max="39" width="13.5" bestFit="1" customWidth="1"/>
    <col min="40" max="41" width="22.25" bestFit="1" customWidth="1"/>
    <col min="42" max="42" width="20.25" bestFit="1" customWidth="1"/>
    <col min="43" max="43" width="11.25" bestFit="1" customWidth="1"/>
    <col min="44" max="44" width="11.5" bestFit="1" customWidth="1"/>
    <col min="45" max="45" width="9.125" bestFit="1" customWidth="1"/>
    <col min="46" max="46" width="10.125" bestFit="1" customWidth="1"/>
    <col min="47" max="47" width="41.375" bestFit="1" customWidth="1"/>
    <col min="48" max="48" width="31.375" bestFit="1" customWidth="1"/>
    <col min="49" max="49" width="21.125" bestFit="1" customWidth="1"/>
    <col min="50" max="50" width="16.75" bestFit="1" customWidth="1"/>
    <col min="51" max="51" width="14.125" bestFit="1" customWidth="1"/>
    <col min="52" max="52" width="15.625" bestFit="1" customWidth="1"/>
    <col min="53" max="53" width="32.625" bestFit="1" customWidth="1"/>
    <col min="54" max="54" width="22.25" bestFit="1" customWidth="1"/>
    <col min="55" max="55" width="10.75" bestFit="1" customWidth="1"/>
    <col min="56" max="56" width="17.125" bestFit="1" customWidth="1"/>
    <col min="57" max="57" width="45.375" bestFit="1" customWidth="1"/>
    <col min="58" max="58" width="30.75" bestFit="1" customWidth="1"/>
    <col min="59" max="59" width="28" bestFit="1" customWidth="1"/>
    <col min="60" max="60" width="18.375" bestFit="1" customWidth="1"/>
    <col min="61" max="61" width="15.625" bestFit="1" customWidth="1"/>
    <col min="62" max="62" width="17.375" bestFit="1" customWidth="1"/>
    <col min="63" max="63" width="14.75" bestFit="1" customWidth="1"/>
    <col min="64" max="64" width="19.5" bestFit="1" customWidth="1"/>
    <col min="65" max="65" width="10.375" bestFit="1" customWidth="1"/>
    <col min="66" max="66" width="20.875" bestFit="1" customWidth="1"/>
    <col min="67" max="67" width="24.375" bestFit="1" customWidth="1"/>
    <col min="68" max="68" width="17.125" bestFit="1" customWidth="1"/>
    <col min="69" max="69" width="35.875" bestFit="1" customWidth="1"/>
    <col min="70" max="70" width="14.5" bestFit="1" customWidth="1"/>
    <col min="71" max="71" width="38.5" bestFit="1" customWidth="1"/>
    <col min="72" max="72" width="22.625" bestFit="1" customWidth="1"/>
    <col min="73" max="73" width="36.875" bestFit="1" customWidth="1"/>
    <col min="74" max="74" width="11.75" bestFit="1" customWidth="1"/>
    <col min="75" max="75" width="9.125" bestFit="1" customWidth="1"/>
    <col min="76" max="76" width="16.5" bestFit="1" customWidth="1"/>
    <col min="77" max="77" width="10.75" bestFit="1" customWidth="1"/>
    <col min="78" max="78" width="16.5" bestFit="1" customWidth="1"/>
    <col min="79" max="79" width="19.625" bestFit="1" customWidth="1"/>
    <col min="80" max="80" width="13.375" bestFit="1" customWidth="1"/>
    <col min="81" max="81" width="29" bestFit="1" customWidth="1"/>
    <col min="82" max="82" width="13.25" bestFit="1" customWidth="1"/>
    <col min="83" max="83" width="18.375" bestFit="1" customWidth="1"/>
    <col min="84" max="84" width="19.375" bestFit="1" customWidth="1"/>
    <col min="85" max="85" width="10.25" bestFit="1" customWidth="1"/>
    <col min="86" max="86" width="4.125" bestFit="1" customWidth="1"/>
    <col min="87" max="87" width="6.125" bestFit="1" customWidth="1"/>
    <col min="88" max="88" width="6.625" bestFit="1" customWidth="1"/>
    <col min="89" max="89" width="20.5" bestFit="1" customWidth="1"/>
    <col min="90" max="90" width="11.625" bestFit="1" customWidth="1"/>
    <col min="91" max="91" width="19" bestFit="1" customWidth="1"/>
    <col min="92" max="92" width="11.125" bestFit="1" customWidth="1"/>
    <col min="93" max="93" width="9.75" bestFit="1" customWidth="1"/>
    <col min="94" max="94" width="12.125" bestFit="1" customWidth="1"/>
    <col min="95" max="95" width="11.875" bestFit="1" customWidth="1"/>
    <col min="96" max="96" width="12.5" bestFit="1" customWidth="1"/>
    <col min="97" max="97" width="20.875" bestFit="1" customWidth="1"/>
    <col min="98" max="98" width="11.625" bestFit="1" customWidth="1"/>
    <col min="99" max="99" width="20" bestFit="1" customWidth="1"/>
    <col min="100" max="100" width="23.125" bestFit="1" customWidth="1"/>
    <col min="101" max="101" width="9.25" bestFit="1" customWidth="1"/>
    <col min="102" max="102" width="9.75" bestFit="1" customWidth="1"/>
    <col min="103" max="103" width="10" bestFit="1" customWidth="1"/>
    <col min="104" max="104" width="14.25" bestFit="1" customWidth="1"/>
    <col min="105" max="105" width="10.875" bestFit="1" customWidth="1"/>
    <col min="106" max="106" width="22.25" bestFit="1" customWidth="1"/>
    <col min="107" max="107" width="26.625" bestFit="1" customWidth="1"/>
    <col min="108" max="108" width="19.5" bestFit="1" customWidth="1"/>
    <col min="109" max="109" width="35" bestFit="1" customWidth="1"/>
    <col min="110" max="110" width="16.875" bestFit="1" customWidth="1"/>
    <col min="111" max="111" width="23.625" bestFit="1" customWidth="1"/>
    <col min="112" max="112" width="17.875" bestFit="1" customWidth="1"/>
    <col min="113" max="113" width="10.625" bestFit="1" customWidth="1"/>
    <col min="114" max="114" width="19.125" bestFit="1" customWidth="1"/>
    <col min="115" max="115" width="18.375" bestFit="1" customWidth="1"/>
    <col min="116" max="116" width="21.125" bestFit="1" customWidth="1"/>
    <col min="117" max="117" width="15.375" bestFit="1" customWidth="1"/>
    <col min="118" max="118" width="9.25" bestFit="1" customWidth="1"/>
    <col min="119" max="119" width="16.75" bestFit="1" customWidth="1"/>
    <col min="120" max="120" width="21.875" bestFit="1" customWidth="1"/>
    <col min="121" max="121" width="19.625" bestFit="1" customWidth="1"/>
    <col min="122" max="122" width="11.875" bestFit="1" customWidth="1"/>
    <col min="123" max="123" width="10.625" bestFit="1" customWidth="1"/>
    <col min="124" max="124" width="26.375" bestFit="1" customWidth="1"/>
    <col min="125" max="125" width="30" bestFit="1" customWidth="1"/>
    <col min="126" max="126" width="10.5" bestFit="1" customWidth="1"/>
    <col min="127" max="127" width="18" bestFit="1" customWidth="1"/>
    <col min="128" max="128" width="11.25" bestFit="1" customWidth="1"/>
    <col min="129" max="129" width="17.5" bestFit="1" customWidth="1"/>
    <col min="130" max="130" width="17.375" bestFit="1" customWidth="1"/>
    <col min="131" max="131" width="10" bestFit="1" customWidth="1"/>
    <col min="132" max="132" width="14" bestFit="1" customWidth="1"/>
    <col min="133" max="133" width="15.125" bestFit="1" customWidth="1"/>
    <col min="134" max="134" width="26.125" bestFit="1" customWidth="1"/>
    <col min="135" max="135" width="22.5" bestFit="1" customWidth="1"/>
    <col min="136" max="136" width="40.75" bestFit="1" customWidth="1"/>
    <col min="137" max="137" width="12.5" bestFit="1" customWidth="1"/>
    <col min="138" max="138" width="13" bestFit="1" customWidth="1"/>
    <col min="139" max="139" width="23" bestFit="1" customWidth="1"/>
    <col min="140" max="140" width="17" bestFit="1" customWidth="1"/>
    <col min="141" max="141" width="14.375" bestFit="1" customWidth="1"/>
    <col min="142" max="142" width="10.75" bestFit="1" customWidth="1"/>
    <col min="143" max="143" width="17.125" bestFit="1" customWidth="1"/>
    <col min="144" max="144" width="17.75" bestFit="1" customWidth="1"/>
    <col min="145" max="145" width="57.375" bestFit="1" customWidth="1"/>
    <col min="146" max="146" width="17.5" bestFit="1" customWidth="1"/>
    <col min="147" max="147" width="10.875" bestFit="1" customWidth="1"/>
    <col min="148" max="148" width="11.25" bestFit="1" customWidth="1"/>
    <col min="149" max="149" width="25.625" bestFit="1" customWidth="1"/>
    <col min="150" max="150" width="22.25" bestFit="1" customWidth="1"/>
    <col min="151" max="151" width="20" bestFit="1" customWidth="1"/>
    <col min="152" max="152" width="17.875" bestFit="1" customWidth="1"/>
    <col min="153" max="153" width="33.125" bestFit="1" customWidth="1"/>
    <col min="154" max="154" width="16.375" bestFit="1" customWidth="1"/>
    <col min="155" max="155" width="9.75" bestFit="1" customWidth="1"/>
    <col min="156" max="156" width="13.5" bestFit="1" customWidth="1"/>
    <col min="157" max="157" width="26.25" bestFit="1" customWidth="1"/>
    <col min="158" max="158" width="13.625" bestFit="1" customWidth="1"/>
    <col min="159" max="159" width="7.125" bestFit="1" customWidth="1"/>
    <col min="160" max="160" width="8.875" bestFit="1" customWidth="1"/>
    <col min="161" max="161" width="14" bestFit="1" customWidth="1"/>
    <col min="162" max="162" width="8.125" bestFit="1" customWidth="1"/>
    <col min="163" max="163" width="12.875" bestFit="1" customWidth="1"/>
    <col min="164" max="180" width="19" bestFit="1" customWidth="1"/>
    <col min="181" max="181" width="13.125" bestFit="1" customWidth="1"/>
  </cols>
  <sheetData>
    <row r="3" spans="1:2" x14ac:dyDescent="0.2">
      <c r="A3" s="2" t="s">
        <v>744</v>
      </c>
      <c r="B3" t="s">
        <v>767</v>
      </c>
    </row>
    <row r="4" spans="1:2" x14ac:dyDescent="0.2">
      <c r="A4" s="3">
        <v>2026</v>
      </c>
      <c r="B4" s="204">
        <v>275</v>
      </c>
    </row>
    <row r="5" spans="1:2" x14ac:dyDescent="0.2">
      <c r="A5" s="4" t="s">
        <v>729</v>
      </c>
      <c r="B5" s="204">
        <v>28</v>
      </c>
    </row>
    <row r="6" spans="1:2" x14ac:dyDescent="0.2">
      <c r="A6" s="5" t="s">
        <v>665</v>
      </c>
      <c r="B6" s="204">
        <v>1</v>
      </c>
    </row>
    <row r="7" spans="1:2" x14ac:dyDescent="0.2">
      <c r="A7" s="5" t="s">
        <v>393</v>
      </c>
      <c r="B7" s="204">
        <v>1</v>
      </c>
    </row>
    <row r="8" spans="1:2" x14ac:dyDescent="0.2">
      <c r="A8" s="5" t="s">
        <v>58</v>
      </c>
      <c r="B8" s="204">
        <v>2</v>
      </c>
    </row>
    <row r="9" spans="1:2" x14ac:dyDescent="0.2">
      <c r="A9" s="5" t="s">
        <v>645</v>
      </c>
      <c r="B9" s="204">
        <v>1</v>
      </c>
    </row>
    <row r="10" spans="1:2" x14ac:dyDescent="0.2">
      <c r="A10" s="5" t="s">
        <v>69</v>
      </c>
      <c r="B10" s="204">
        <v>2</v>
      </c>
    </row>
    <row r="11" spans="1:2" x14ac:dyDescent="0.2">
      <c r="A11" s="5" t="s">
        <v>184</v>
      </c>
      <c r="B11" s="204">
        <v>2</v>
      </c>
    </row>
    <row r="12" spans="1:2" x14ac:dyDescent="0.2">
      <c r="A12" s="5" t="s">
        <v>151</v>
      </c>
      <c r="B12" s="204">
        <v>2</v>
      </c>
    </row>
    <row r="13" spans="1:2" x14ac:dyDescent="0.2">
      <c r="A13" s="5" t="s">
        <v>28</v>
      </c>
      <c r="B13" s="204">
        <v>1</v>
      </c>
    </row>
    <row r="14" spans="1:2" x14ac:dyDescent="0.2">
      <c r="A14" s="5" t="s">
        <v>24</v>
      </c>
      <c r="B14" s="204">
        <v>14</v>
      </c>
    </row>
    <row r="15" spans="1:2" x14ac:dyDescent="0.2">
      <c r="A15" s="5" t="s">
        <v>967</v>
      </c>
      <c r="B15" s="204">
        <v>2</v>
      </c>
    </row>
    <row r="16" spans="1:2" x14ac:dyDescent="0.2">
      <c r="A16" s="4" t="s">
        <v>732</v>
      </c>
      <c r="B16" s="204">
        <v>44</v>
      </c>
    </row>
    <row r="17" spans="1:2" x14ac:dyDescent="0.2">
      <c r="A17" s="5" t="s">
        <v>665</v>
      </c>
      <c r="B17" s="204">
        <v>3</v>
      </c>
    </row>
    <row r="18" spans="1:2" x14ac:dyDescent="0.2">
      <c r="A18" s="5" t="s">
        <v>393</v>
      </c>
      <c r="B18" s="204">
        <v>1</v>
      </c>
    </row>
    <row r="19" spans="1:2" x14ac:dyDescent="0.2">
      <c r="A19" s="5" t="s">
        <v>719</v>
      </c>
      <c r="B19" s="204">
        <v>1</v>
      </c>
    </row>
    <row r="20" spans="1:2" x14ac:dyDescent="0.2">
      <c r="A20" s="5" t="s">
        <v>679</v>
      </c>
      <c r="B20" s="204">
        <v>2</v>
      </c>
    </row>
    <row r="21" spans="1:2" x14ac:dyDescent="0.2">
      <c r="A21" s="5" t="s">
        <v>755</v>
      </c>
      <c r="B21" s="204">
        <v>6</v>
      </c>
    </row>
    <row r="22" spans="1:2" x14ac:dyDescent="0.2">
      <c r="A22" s="5" t="s">
        <v>58</v>
      </c>
      <c r="B22" s="204">
        <v>2</v>
      </c>
    </row>
    <row r="23" spans="1:2" x14ac:dyDescent="0.2">
      <c r="A23" s="5" t="s">
        <v>69</v>
      </c>
      <c r="B23" s="204">
        <v>2</v>
      </c>
    </row>
    <row r="24" spans="1:2" x14ac:dyDescent="0.2">
      <c r="A24" s="5" t="s">
        <v>184</v>
      </c>
      <c r="B24" s="204">
        <v>3</v>
      </c>
    </row>
    <row r="25" spans="1:2" x14ac:dyDescent="0.2">
      <c r="A25" s="5" t="s">
        <v>151</v>
      </c>
      <c r="B25" s="204">
        <v>1</v>
      </c>
    </row>
    <row r="26" spans="1:2" x14ac:dyDescent="0.2">
      <c r="A26" s="5" t="s">
        <v>28</v>
      </c>
      <c r="B26" s="204">
        <v>1</v>
      </c>
    </row>
    <row r="27" spans="1:2" x14ac:dyDescent="0.2">
      <c r="A27" s="5" t="s">
        <v>24</v>
      </c>
      <c r="B27" s="204">
        <v>16</v>
      </c>
    </row>
    <row r="28" spans="1:2" x14ac:dyDescent="0.2">
      <c r="A28" s="5" t="s">
        <v>372</v>
      </c>
      <c r="B28" s="204">
        <v>3</v>
      </c>
    </row>
    <row r="29" spans="1:2" x14ac:dyDescent="0.2">
      <c r="A29" s="5" t="s">
        <v>712</v>
      </c>
      <c r="B29" s="204">
        <v>1</v>
      </c>
    </row>
    <row r="30" spans="1:2" x14ac:dyDescent="0.2">
      <c r="A30" s="5" t="s">
        <v>1042</v>
      </c>
      <c r="B30" s="204">
        <v>1</v>
      </c>
    </row>
    <row r="31" spans="1:2" x14ac:dyDescent="0.2">
      <c r="A31" s="5" t="s">
        <v>967</v>
      </c>
      <c r="B31" s="204">
        <v>1</v>
      </c>
    </row>
    <row r="32" spans="1:2" x14ac:dyDescent="0.2">
      <c r="A32" s="4" t="s">
        <v>733</v>
      </c>
      <c r="B32" s="204">
        <v>31</v>
      </c>
    </row>
    <row r="33" spans="1:2" x14ac:dyDescent="0.2">
      <c r="A33" s="5" t="s">
        <v>334</v>
      </c>
      <c r="B33" s="204">
        <v>2</v>
      </c>
    </row>
    <row r="34" spans="1:2" x14ac:dyDescent="0.2">
      <c r="A34" s="5" t="s">
        <v>58</v>
      </c>
      <c r="B34" s="204">
        <v>2</v>
      </c>
    </row>
    <row r="35" spans="1:2" x14ac:dyDescent="0.2">
      <c r="A35" s="5" t="s">
        <v>69</v>
      </c>
      <c r="B35" s="204">
        <v>2</v>
      </c>
    </row>
    <row r="36" spans="1:2" x14ac:dyDescent="0.2">
      <c r="A36" s="5" t="s">
        <v>184</v>
      </c>
      <c r="B36" s="204">
        <v>2</v>
      </c>
    </row>
    <row r="37" spans="1:2" x14ac:dyDescent="0.2">
      <c r="A37" s="5" t="s">
        <v>151</v>
      </c>
      <c r="B37" s="204">
        <v>2</v>
      </c>
    </row>
    <row r="38" spans="1:2" x14ac:dyDescent="0.2">
      <c r="A38" s="5" t="s">
        <v>24</v>
      </c>
      <c r="B38" s="204">
        <v>11</v>
      </c>
    </row>
    <row r="39" spans="1:2" x14ac:dyDescent="0.2">
      <c r="A39" s="5" t="s">
        <v>372</v>
      </c>
      <c r="B39" s="204">
        <v>1</v>
      </c>
    </row>
    <row r="40" spans="1:2" x14ac:dyDescent="0.2">
      <c r="A40" s="5" t="s">
        <v>786</v>
      </c>
      <c r="B40" s="204">
        <v>2</v>
      </c>
    </row>
    <row r="41" spans="1:2" x14ac:dyDescent="0.2">
      <c r="A41" s="5" t="s">
        <v>1043</v>
      </c>
      <c r="B41" s="204">
        <v>2</v>
      </c>
    </row>
    <row r="42" spans="1:2" x14ac:dyDescent="0.2">
      <c r="A42" s="5" t="s">
        <v>1042</v>
      </c>
      <c r="B42" s="204">
        <v>1</v>
      </c>
    </row>
    <row r="43" spans="1:2" x14ac:dyDescent="0.2">
      <c r="A43" s="5" t="s">
        <v>812</v>
      </c>
      <c r="B43" s="204">
        <v>1</v>
      </c>
    </row>
    <row r="44" spans="1:2" x14ac:dyDescent="0.2">
      <c r="A44" s="5" t="s">
        <v>967</v>
      </c>
      <c r="B44" s="204">
        <v>3</v>
      </c>
    </row>
    <row r="45" spans="1:2" x14ac:dyDescent="0.2">
      <c r="A45" s="4" t="s">
        <v>734</v>
      </c>
      <c r="B45" s="204">
        <v>48</v>
      </c>
    </row>
    <row r="46" spans="1:2" x14ac:dyDescent="0.2">
      <c r="A46" s="5" t="s">
        <v>665</v>
      </c>
      <c r="B46" s="204">
        <v>3</v>
      </c>
    </row>
    <row r="47" spans="1:2" x14ac:dyDescent="0.2">
      <c r="A47" s="5" t="s">
        <v>393</v>
      </c>
      <c r="B47" s="204">
        <v>1</v>
      </c>
    </row>
    <row r="48" spans="1:2" x14ac:dyDescent="0.2">
      <c r="A48" s="5" t="s">
        <v>334</v>
      </c>
      <c r="B48" s="204">
        <v>1</v>
      </c>
    </row>
    <row r="49" spans="1:2" x14ac:dyDescent="0.2">
      <c r="A49" s="5" t="s">
        <v>58</v>
      </c>
      <c r="B49" s="204">
        <v>1</v>
      </c>
    </row>
    <row r="50" spans="1:2" x14ac:dyDescent="0.2">
      <c r="A50" s="5" t="s">
        <v>69</v>
      </c>
      <c r="B50" s="204">
        <v>11</v>
      </c>
    </row>
    <row r="51" spans="1:2" x14ac:dyDescent="0.2">
      <c r="A51" s="5" t="s">
        <v>184</v>
      </c>
      <c r="B51" s="204">
        <v>2</v>
      </c>
    </row>
    <row r="52" spans="1:2" x14ac:dyDescent="0.2">
      <c r="A52" s="5" t="s">
        <v>151</v>
      </c>
      <c r="B52" s="204">
        <v>2</v>
      </c>
    </row>
    <row r="53" spans="1:2" x14ac:dyDescent="0.2">
      <c r="A53" s="5" t="s">
        <v>28</v>
      </c>
      <c r="B53" s="204">
        <v>1</v>
      </c>
    </row>
    <row r="54" spans="1:2" x14ac:dyDescent="0.2">
      <c r="A54" s="5" t="s">
        <v>24</v>
      </c>
      <c r="B54" s="204">
        <v>14</v>
      </c>
    </row>
    <row r="55" spans="1:2" x14ac:dyDescent="0.2">
      <c r="A55" s="5" t="s">
        <v>372</v>
      </c>
      <c r="B55" s="204">
        <v>1</v>
      </c>
    </row>
    <row r="56" spans="1:2" x14ac:dyDescent="0.2">
      <c r="A56" s="5" t="s">
        <v>786</v>
      </c>
      <c r="B56" s="204">
        <v>2</v>
      </c>
    </row>
    <row r="57" spans="1:2" x14ac:dyDescent="0.2">
      <c r="A57" s="5" t="s">
        <v>835</v>
      </c>
      <c r="B57" s="204">
        <v>3</v>
      </c>
    </row>
    <row r="58" spans="1:2" x14ac:dyDescent="0.2">
      <c r="A58" s="5" t="s">
        <v>855</v>
      </c>
      <c r="B58" s="204">
        <v>1</v>
      </c>
    </row>
    <row r="59" spans="1:2" x14ac:dyDescent="0.2">
      <c r="A59" s="5" t="s">
        <v>875</v>
      </c>
      <c r="B59" s="204">
        <v>1</v>
      </c>
    </row>
    <row r="60" spans="1:2" x14ac:dyDescent="0.2">
      <c r="A60" s="5" t="s">
        <v>926</v>
      </c>
      <c r="B60" s="204">
        <v>1</v>
      </c>
    </row>
    <row r="61" spans="1:2" x14ac:dyDescent="0.2">
      <c r="A61" s="5" t="s">
        <v>967</v>
      </c>
      <c r="B61" s="204">
        <v>3</v>
      </c>
    </row>
    <row r="62" spans="1:2" x14ac:dyDescent="0.2">
      <c r="A62" s="4" t="s">
        <v>735</v>
      </c>
      <c r="B62" s="204">
        <v>25</v>
      </c>
    </row>
    <row r="63" spans="1:2" x14ac:dyDescent="0.2">
      <c r="A63" s="5" t="s">
        <v>665</v>
      </c>
      <c r="B63" s="204">
        <v>1</v>
      </c>
    </row>
    <row r="64" spans="1:2" x14ac:dyDescent="0.2">
      <c r="A64" s="5" t="s">
        <v>393</v>
      </c>
      <c r="B64" s="204">
        <v>1</v>
      </c>
    </row>
    <row r="65" spans="1:2" x14ac:dyDescent="0.2">
      <c r="A65" s="5" t="s">
        <v>334</v>
      </c>
      <c r="B65" s="204">
        <v>1</v>
      </c>
    </row>
    <row r="66" spans="1:2" x14ac:dyDescent="0.2">
      <c r="A66" s="5" t="s">
        <v>306</v>
      </c>
      <c r="B66" s="204">
        <v>1</v>
      </c>
    </row>
    <row r="67" spans="1:2" x14ac:dyDescent="0.2">
      <c r="A67" s="5" t="s">
        <v>69</v>
      </c>
      <c r="B67" s="204">
        <v>2</v>
      </c>
    </row>
    <row r="68" spans="1:2" x14ac:dyDescent="0.2">
      <c r="A68" s="5" t="s">
        <v>184</v>
      </c>
      <c r="B68" s="204">
        <v>1</v>
      </c>
    </row>
    <row r="69" spans="1:2" x14ac:dyDescent="0.2">
      <c r="A69" s="5" t="s">
        <v>151</v>
      </c>
      <c r="B69" s="204">
        <v>6</v>
      </c>
    </row>
    <row r="70" spans="1:2" x14ac:dyDescent="0.2">
      <c r="A70" s="5" t="s">
        <v>24</v>
      </c>
      <c r="B70" s="204">
        <v>7</v>
      </c>
    </row>
    <row r="71" spans="1:2" x14ac:dyDescent="0.2">
      <c r="A71" s="5" t="s">
        <v>786</v>
      </c>
      <c r="B71" s="204">
        <v>3</v>
      </c>
    </row>
    <row r="72" spans="1:2" x14ac:dyDescent="0.2">
      <c r="A72" s="5" t="s">
        <v>1043</v>
      </c>
      <c r="B72" s="204">
        <v>1</v>
      </c>
    </row>
    <row r="73" spans="1:2" x14ac:dyDescent="0.2">
      <c r="A73" s="5" t="s">
        <v>967</v>
      </c>
      <c r="B73" s="204">
        <v>1</v>
      </c>
    </row>
    <row r="74" spans="1:2" x14ac:dyDescent="0.2">
      <c r="A74" s="4" t="s">
        <v>736</v>
      </c>
      <c r="B74" s="204">
        <v>56</v>
      </c>
    </row>
    <row r="75" spans="1:2" x14ac:dyDescent="0.2">
      <c r="A75" s="5" t="s">
        <v>393</v>
      </c>
      <c r="B75" s="204">
        <v>4</v>
      </c>
    </row>
    <row r="76" spans="1:2" x14ac:dyDescent="0.2">
      <c r="A76" s="5" t="s">
        <v>334</v>
      </c>
      <c r="B76" s="204">
        <v>1</v>
      </c>
    </row>
    <row r="77" spans="1:2" x14ac:dyDescent="0.2">
      <c r="A77" s="5" t="s">
        <v>69</v>
      </c>
      <c r="B77" s="204">
        <v>5</v>
      </c>
    </row>
    <row r="78" spans="1:2" x14ac:dyDescent="0.2">
      <c r="A78" s="5" t="s">
        <v>184</v>
      </c>
      <c r="B78" s="204">
        <v>3</v>
      </c>
    </row>
    <row r="79" spans="1:2" x14ac:dyDescent="0.2">
      <c r="A79" s="5" t="s">
        <v>151</v>
      </c>
      <c r="B79" s="204">
        <v>8</v>
      </c>
    </row>
    <row r="80" spans="1:2" x14ac:dyDescent="0.2">
      <c r="A80" s="5" t="s">
        <v>28</v>
      </c>
      <c r="B80" s="204">
        <v>1</v>
      </c>
    </row>
    <row r="81" spans="1:2" x14ac:dyDescent="0.2">
      <c r="A81" s="5" t="s">
        <v>24</v>
      </c>
      <c r="B81" s="204">
        <v>22</v>
      </c>
    </row>
    <row r="82" spans="1:2" x14ac:dyDescent="0.2">
      <c r="A82" s="5" t="s">
        <v>786</v>
      </c>
      <c r="B82" s="204">
        <v>3</v>
      </c>
    </row>
    <row r="83" spans="1:2" x14ac:dyDescent="0.2">
      <c r="A83" s="5" t="s">
        <v>812</v>
      </c>
      <c r="B83" s="204">
        <v>1</v>
      </c>
    </row>
    <row r="84" spans="1:2" x14ac:dyDescent="0.2">
      <c r="A84" s="5" t="s">
        <v>835</v>
      </c>
      <c r="B84" s="204">
        <v>2</v>
      </c>
    </row>
    <row r="85" spans="1:2" x14ac:dyDescent="0.2">
      <c r="A85" s="5" t="s">
        <v>954</v>
      </c>
      <c r="B85" s="204">
        <v>1</v>
      </c>
    </row>
    <row r="86" spans="1:2" x14ac:dyDescent="0.2">
      <c r="A86" s="5" t="s">
        <v>967</v>
      </c>
      <c r="B86" s="204">
        <v>4</v>
      </c>
    </row>
    <row r="87" spans="1:2" x14ac:dyDescent="0.2">
      <c r="A87" s="5" t="s">
        <v>992</v>
      </c>
      <c r="B87" s="204">
        <v>1</v>
      </c>
    </row>
    <row r="88" spans="1:2" x14ac:dyDescent="0.2">
      <c r="A88" s="4" t="s">
        <v>737</v>
      </c>
      <c r="B88" s="204">
        <v>43</v>
      </c>
    </row>
    <row r="89" spans="1:2" x14ac:dyDescent="0.2">
      <c r="A89" s="5" t="s">
        <v>665</v>
      </c>
      <c r="B89" s="204">
        <v>1</v>
      </c>
    </row>
    <row r="90" spans="1:2" x14ac:dyDescent="0.2">
      <c r="A90" s="5" t="s">
        <v>393</v>
      </c>
      <c r="B90" s="204">
        <v>4</v>
      </c>
    </row>
    <row r="91" spans="1:2" x14ac:dyDescent="0.2">
      <c r="A91" s="5" t="s">
        <v>173</v>
      </c>
      <c r="B91" s="204">
        <v>1</v>
      </c>
    </row>
    <row r="92" spans="1:2" x14ac:dyDescent="0.2">
      <c r="A92" s="5" t="s">
        <v>334</v>
      </c>
      <c r="B92" s="204">
        <v>1</v>
      </c>
    </row>
    <row r="93" spans="1:2" x14ac:dyDescent="0.2">
      <c r="A93" s="5" t="s">
        <v>306</v>
      </c>
      <c r="B93" s="204">
        <v>1</v>
      </c>
    </row>
    <row r="94" spans="1:2" x14ac:dyDescent="0.2">
      <c r="A94" s="5" t="s">
        <v>755</v>
      </c>
      <c r="B94" s="204">
        <v>1</v>
      </c>
    </row>
    <row r="95" spans="1:2" x14ac:dyDescent="0.2">
      <c r="A95" s="5" t="s">
        <v>58</v>
      </c>
      <c r="B95" s="204">
        <v>1</v>
      </c>
    </row>
    <row r="96" spans="1:2" x14ac:dyDescent="0.2">
      <c r="A96" s="5" t="s">
        <v>69</v>
      </c>
      <c r="B96" s="204">
        <v>1</v>
      </c>
    </row>
    <row r="97" spans="1:2" x14ac:dyDescent="0.2">
      <c r="A97" s="5" t="s">
        <v>184</v>
      </c>
      <c r="B97" s="204">
        <v>1</v>
      </c>
    </row>
    <row r="98" spans="1:2" x14ac:dyDescent="0.2">
      <c r="A98" s="5" t="s">
        <v>151</v>
      </c>
      <c r="B98" s="204">
        <v>5</v>
      </c>
    </row>
    <row r="99" spans="1:2" x14ac:dyDescent="0.2">
      <c r="A99" s="5" t="s">
        <v>24</v>
      </c>
      <c r="B99" s="204">
        <v>13</v>
      </c>
    </row>
    <row r="100" spans="1:2" x14ac:dyDescent="0.2">
      <c r="A100" s="5" t="s">
        <v>372</v>
      </c>
      <c r="B100" s="204">
        <v>2</v>
      </c>
    </row>
    <row r="101" spans="1:2" x14ac:dyDescent="0.2">
      <c r="A101" s="5" t="s">
        <v>712</v>
      </c>
      <c r="B101" s="204">
        <v>2</v>
      </c>
    </row>
    <row r="102" spans="1:2" x14ac:dyDescent="0.2">
      <c r="A102" s="5" t="s">
        <v>1043</v>
      </c>
      <c r="B102" s="204">
        <v>1</v>
      </c>
    </row>
    <row r="103" spans="1:2" x14ac:dyDescent="0.2">
      <c r="A103" s="5" t="s">
        <v>1042</v>
      </c>
      <c r="B103" s="204">
        <v>1</v>
      </c>
    </row>
    <row r="104" spans="1:2" x14ac:dyDescent="0.2">
      <c r="A104" s="5" t="s">
        <v>967</v>
      </c>
      <c r="B104" s="204">
        <v>4</v>
      </c>
    </row>
    <row r="105" spans="1:2" x14ac:dyDescent="0.2">
      <c r="A105" s="5" t="s">
        <v>992</v>
      </c>
      <c r="B105" s="204">
        <v>1</v>
      </c>
    </row>
    <row r="106" spans="1:2" x14ac:dyDescent="0.2">
      <c r="A106" s="5" t="s">
        <v>1017</v>
      </c>
      <c r="B106" s="204">
        <v>1</v>
      </c>
    </row>
    <row r="107" spans="1:2" x14ac:dyDescent="0.2">
      <c r="A107" s="5" t="s">
        <v>1041</v>
      </c>
      <c r="B107" s="204">
        <v>1</v>
      </c>
    </row>
    <row r="108" spans="1:2" x14ac:dyDescent="0.2">
      <c r="A108" s="3" t="s">
        <v>745</v>
      </c>
      <c r="B108" s="204">
        <v>275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267F7-979D-4145-9FC2-6CCC8B258C5E}">
  <dimension ref="A1:B7"/>
  <sheetViews>
    <sheetView workbookViewId="0">
      <selection activeCell="A4" sqref="A4"/>
    </sheetView>
  </sheetViews>
  <sheetFormatPr defaultRowHeight="14.25" x14ac:dyDescent="0.2"/>
  <cols>
    <col min="1" max="1" width="14.375" bestFit="1" customWidth="1"/>
    <col min="2" max="2" width="14.125" bestFit="1" customWidth="1"/>
    <col min="3" max="20" width="4.5" bestFit="1" customWidth="1"/>
    <col min="21" max="21" width="4.25" bestFit="1" customWidth="1"/>
    <col min="22" max="22" width="12.75" bestFit="1" customWidth="1"/>
    <col min="23" max="23" width="8.625" bestFit="1" customWidth="1"/>
    <col min="24" max="24" width="12.375" bestFit="1" customWidth="1"/>
    <col min="25" max="25" width="11.625" bestFit="1" customWidth="1"/>
    <col min="26" max="26" width="6.75" bestFit="1" customWidth="1"/>
    <col min="27" max="27" width="15.125" bestFit="1" customWidth="1"/>
    <col min="28" max="28" width="12.375" bestFit="1" customWidth="1"/>
    <col min="29" max="29" width="14.625" bestFit="1" customWidth="1"/>
    <col min="30" max="30" width="13.75" bestFit="1" customWidth="1"/>
    <col min="31" max="31" width="18.5" bestFit="1" customWidth="1"/>
    <col min="32" max="32" width="4.125" bestFit="1" customWidth="1"/>
    <col min="33" max="33" width="8.625" bestFit="1" customWidth="1"/>
    <col min="34" max="34" width="15.375" bestFit="1" customWidth="1"/>
    <col min="35" max="35" width="8.875" bestFit="1" customWidth="1"/>
    <col min="36" max="36" width="12" bestFit="1" customWidth="1"/>
    <col min="37" max="37" width="12.875" bestFit="1" customWidth="1"/>
    <col min="38" max="39" width="10" bestFit="1" customWidth="1"/>
    <col min="40" max="43" width="8.875" bestFit="1" customWidth="1"/>
    <col min="44" max="49" width="10" bestFit="1" customWidth="1"/>
    <col min="50" max="52" width="8.875" bestFit="1" customWidth="1"/>
    <col min="53" max="61" width="10" bestFit="1" customWidth="1"/>
    <col min="62" max="64" width="8.875" bestFit="1" customWidth="1"/>
    <col min="65" max="71" width="10" bestFit="1" customWidth="1"/>
    <col min="72" max="75" width="8.875" bestFit="1" customWidth="1"/>
    <col min="76" max="83" width="10" bestFit="1" customWidth="1"/>
    <col min="84" max="87" width="8.875" bestFit="1" customWidth="1"/>
    <col min="88" max="93" width="10" bestFit="1" customWidth="1"/>
    <col min="94" max="97" width="8.875" bestFit="1" customWidth="1"/>
    <col min="98" max="111" width="10" bestFit="1" customWidth="1"/>
    <col min="112" max="123" width="11.125" bestFit="1" customWidth="1"/>
    <col min="124" max="127" width="10" bestFit="1" customWidth="1"/>
    <col min="128" max="137" width="11.125" bestFit="1" customWidth="1"/>
    <col min="138" max="142" width="10" bestFit="1" customWidth="1"/>
    <col min="143" max="155" width="11.125" bestFit="1" customWidth="1"/>
    <col min="156" max="158" width="8.875" bestFit="1" customWidth="1"/>
    <col min="159" max="168" width="10" bestFit="1" customWidth="1"/>
    <col min="169" max="172" width="8.875" bestFit="1" customWidth="1"/>
    <col min="173" max="184" width="10" bestFit="1" customWidth="1"/>
    <col min="185" max="185" width="12.875" bestFit="1" customWidth="1"/>
    <col min="186" max="186" width="15.875" bestFit="1" customWidth="1"/>
    <col min="187" max="187" width="12.375" bestFit="1" customWidth="1"/>
    <col min="188" max="188" width="8.875" bestFit="1" customWidth="1"/>
    <col min="189" max="189" width="9.5" bestFit="1" customWidth="1"/>
    <col min="190" max="190" width="8.875" bestFit="1" customWidth="1"/>
    <col min="191" max="191" width="11.625" bestFit="1" customWidth="1"/>
    <col min="192" max="192" width="8.875" bestFit="1" customWidth="1"/>
    <col min="193" max="193" width="12.125" bestFit="1" customWidth="1"/>
    <col min="194" max="194" width="22.5" bestFit="1" customWidth="1"/>
    <col min="195" max="195" width="18.5" bestFit="1" customWidth="1"/>
    <col min="196" max="196" width="26.25" bestFit="1" customWidth="1"/>
    <col min="197" max="197" width="13.625" bestFit="1" customWidth="1"/>
    <col min="198" max="198" width="17.375" bestFit="1" customWidth="1"/>
    <col min="199" max="199" width="21" bestFit="1" customWidth="1"/>
    <col min="200" max="200" width="24.625" bestFit="1" customWidth="1"/>
    <col min="201" max="201" width="13.125" bestFit="1" customWidth="1"/>
    <col min="202" max="202" width="12.375" bestFit="1" customWidth="1"/>
    <col min="203" max="203" width="16.75" bestFit="1" customWidth="1"/>
    <col min="204" max="204" width="11.75" bestFit="1" customWidth="1"/>
    <col min="205" max="205" width="15.375" bestFit="1" customWidth="1"/>
    <col min="206" max="206" width="14.125" bestFit="1" customWidth="1"/>
    <col min="207" max="207" width="17.875" bestFit="1" customWidth="1"/>
    <col min="208" max="208" width="13.875" bestFit="1" customWidth="1"/>
    <col min="209" max="209" width="17.625" bestFit="1" customWidth="1"/>
    <col min="210" max="210" width="14.5" bestFit="1" customWidth="1"/>
    <col min="211" max="211" width="8.875" bestFit="1" customWidth="1"/>
    <col min="212" max="212" width="18.25" bestFit="1" customWidth="1"/>
    <col min="213" max="213" width="22.875" bestFit="1" customWidth="1"/>
    <col min="214" max="214" width="26.625" bestFit="1" customWidth="1"/>
    <col min="215" max="215" width="13.625" bestFit="1" customWidth="1"/>
    <col min="216" max="216" width="8.875" bestFit="1" customWidth="1"/>
    <col min="217" max="217" width="17.375" bestFit="1" customWidth="1"/>
    <col min="218" max="218" width="22" bestFit="1" customWidth="1"/>
    <col min="219" max="219" width="25.75" bestFit="1" customWidth="1"/>
    <col min="220" max="220" width="25.125" bestFit="1" customWidth="1"/>
    <col min="221" max="221" width="28.625" bestFit="1" customWidth="1"/>
    <col min="222" max="222" width="12.375" bestFit="1" customWidth="1"/>
    <col min="223" max="223" width="14.875" bestFit="1" customWidth="1"/>
    <col min="224" max="224" width="12.375" bestFit="1" customWidth="1"/>
    <col min="225" max="225" width="8.875" bestFit="1" customWidth="1"/>
    <col min="226" max="226" width="15.375" bestFit="1" customWidth="1"/>
    <col min="227" max="227" width="12" bestFit="1" customWidth="1"/>
    <col min="228" max="228" width="15.625" bestFit="1" customWidth="1"/>
    <col min="229" max="229" width="16.25" bestFit="1" customWidth="1"/>
    <col min="230" max="230" width="8.875" bestFit="1" customWidth="1"/>
    <col min="231" max="231" width="19.875" bestFit="1" customWidth="1"/>
    <col min="232" max="232" width="12.875" bestFit="1" customWidth="1"/>
    <col min="233" max="233" width="8.875" bestFit="1" customWidth="1"/>
    <col min="234" max="234" width="16.5" bestFit="1" customWidth="1"/>
    <col min="235" max="235" width="24.375" bestFit="1" customWidth="1"/>
    <col min="236" max="236" width="28" bestFit="1" customWidth="1"/>
    <col min="237" max="237" width="28.625" bestFit="1" customWidth="1"/>
    <col min="238" max="238" width="32.25" bestFit="1" customWidth="1"/>
    <col min="239" max="239" width="21.5" bestFit="1" customWidth="1"/>
    <col min="240" max="240" width="25.125" bestFit="1" customWidth="1"/>
    <col min="241" max="241" width="37.125" bestFit="1" customWidth="1"/>
    <col min="242" max="242" width="40.75" bestFit="1" customWidth="1"/>
    <col min="243" max="243" width="18.875" bestFit="1" customWidth="1"/>
    <col min="244" max="244" width="22.625" bestFit="1" customWidth="1"/>
    <col min="245" max="245" width="25.625" bestFit="1" customWidth="1"/>
    <col min="246" max="246" width="29.25" bestFit="1" customWidth="1"/>
    <col min="247" max="247" width="19.875" bestFit="1" customWidth="1"/>
    <col min="248" max="248" width="8.875" bestFit="1" customWidth="1"/>
    <col min="249" max="249" width="23.5" bestFit="1" customWidth="1"/>
    <col min="250" max="250" width="12.625" bestFit="1" customWidth="1"/>
    <col min="251" max="251" width="8.875" bestFit="1" customWidth="1"/>
    <col min="252" max="252" width="16.25" bestFit="1" customWidth="1"/>
    <col min="253" max="253" width="21.125" bestFit="1" customWidth="1"/>
    <col min="254" max="254" width="24.75" bestFit="1" customWidth="1"/>
    <col min="255" max="255" width="20.375" bestFit="1" customWidth="1"/>
    <col min="256" max="256" width="24" bestFit="1" customWidth="1"/>
    <col min="257" max="257" width="23.125" bestFit="1" customWidth="1"/>
    <col min="258" max="258" width="26.875" bestFit="1" customWidth="1"/>
    <col min="259" max="259" width="17.375" bestFit="1" customWidth="1"/>
    <col min="260" max="260" width="21" bestFit="1" customWidth="1"/>
    <col min="261" max="261" width="12.375" bestFit="1" customWidth="1"/>
    <col min="262" max="262" width="14.875" bestFit="1" customWidth="1"/>
    <col min="263" max="263" width="18.75" bestFit="1" customWidth="1"/>
    <col min="264" max="264" width="22.5" bestFit="1" customWidth="1"/>
    <col min="265" max="265" width="23.875" bestFit="1" customWidth="1"/>
    <col min="266" max="266" width="27.5" bestFit="1" customWidth="1"/>
    <col min="267" max="267" width="21.625" bestFit="1" customWidth="1"/>
    <col min="268" max="268" width="8.875" bestFit="1" customWidth="1"/>
    <col min="269" max="269" width="13.75" bestFit="1" customWidth="1"/>
    <col min="270" max="270" width="4.625" bestFit="1" customWidth="1"/>
    <col min="271" max="271" width="25.25" bestFit="1" customWidth="1"/>
    <col min="272" max="272" width="13.875" bestFit="1" customWidth="1"/>
    <col min="273" max="273" width="17.625" bestFit="1" customWidth="1"/>
    <col min="274" max="274" width="12.625" bestFit="1" customWidth="1"/>
    <col min="275" max="275" width="16.25" bestFit="1" customWidth="1"/>
    <col min="276" max="276" width="28.375" bestFit="1" customWidth="1"/>
    <col min="277" max="278" width="32" bestFit="1" customWidth="1"/>
    <col min="279" max="279" width="35.625" bestFit="1" customWidth="1"/>
    <col min="280" max="280" width="12.5" bestFit="1" customWidth="1"/>
    <col min="281" max="281" width="6.75" bestFit="1" customWidth="1"/>
    <col min="282" max="282" width="8.875" bestFit="1" customWidth="1"/>
    <col min="283" max="283" width="16.125" bestFit="1" customWidth="1"/>
    <col min="284" max="284" width="20" bestFit="1" customWidth="1"/>
    <col min="285" max="285" width="23.625" bestFit="1" customWidth="1"/>
    <col min="286" max="286" width="13.25" bestFit="1" customWidth="1"/>
    <col min="287" max="287" width="8.875" bestFit="1" customWidth="1"/>
    <col min="288" max="288" width="16.875" bestFit="1" customWidth="1"/>
    <col min="289" max="289" width="19.5" bestFit="1" customWidth="1"/>
    <col min="290" max="290" width="23.125" bestFit="1" customWidth="1"/>
    <col min="291" max="291" width="19.375" bestFit="1" customWidth="1"/>
    <col min="292" max="292" width="8.875" bestFit="1" customWidth="1"/>
    <col min="293" max="293" width="23" bestFit="1" customWidth="1"/>
    <col min="294" max="294" width="12" bestFit="1" customWidth="1"/>
    <col min="295" max="295" width="15.625" bestFit="1" customWidth="1"/>
    <col min="296" max="296" width="15.875" bestFit="1" customWidth="1"/>
    <col min="297" max="297" width="8.875" bestFit="1" customWidth="1"/>
    <col min="298" max="298" width="19.625" bestFit="1" customWidth="1"/>
    <col min="299" max="299" width="17.125" bestFit="1" customWidth="1"/>
    <col min="300" max="300" width="8.875" bestFit="1" customWidth="1"/>
    <col min="301" max="301" width="20.75" bestFit="1" customWidth="1"/>
    <col min="302" max="302" width="28.125" bestFit="1" customWidth="1"/>
    <col min="303" max="303" width="31.75" bestFit="1" customWidth="1"/>
    <col min="304" max="304" width="24.5" bestFit="1" customWidth="1"/>
    <col min="305" max="305" width="28.125" bestFit="1" customWidth="1"/>
    <col min="306" max="306" width="42.75" bestFit="1" customWidth="1"/>
    <col min="307" max="307" width="46.5" bestFit="1" customWidth="1"/>
    <col min="308" max="308" width="14.5" bestFit="1" customWidth="1"/>
    <col min="309" max="309" width="8.875" bestFit="1" customWidth="1"/>
    <col min="310" max="310" width="13.75" bestFit="1" customWidth="1"/>
    <col min="311" max="311" width="10.5" bestFit="1" customWidth="1"/>
    <col min="312" max="312" width="18.25" bestFit="1" customWidth="1"/>
    <col min="313" max="313" width="15" bestFit="1" customWidth="1"/>
    <col min="314" max="314" width="8.875" bestFit="1" customWidth="1"/>
    <col min="315" max="315" width="18.75" bestFit="1" customWidth="1"/>
    <col min="316" max="316" width="25" bestFit="1" customWidth="1"/>
    <col min="317" max="317" width="28.625" bestFit="1" customWidth="1"/>
    <col min="318" max="318" width="19" bestFit="1" customWidth="1"/>
    <col min="319" max="319" width="22.75" bestFit="1" customWidth="1"/>
    <col min="320" max="320" width="16.375" bestFit="1" customWidth="1"/>
    <col min="321" max="321" width="20" bestFit="1" customWidth="1"/>
    <col min="322" max="322" width="12.75" bestFit="1" customWidth="1"/>
    <col min="323" max="323" width="8.875" bestFit="1" customWidth="1"/>
    <col min="324" max="324" width="16.375" bestFit="1" customWidth="1"/>
    <col min="325" max="325" width="19.125" bestFit="1" customWidth="1"/>
    <col min="326" max="326" width="22.875" bestFit="1" customWidth="1"/>
    <col min="327" max="327" width="19.75" bestFit="1" customWidth="1"/>
    <col min="328" max="328" width="23.375" bestFit="1" customWidth="1"/>
    <col min="329" max="329" width="59.375" bestFit="1" customWidth="1"/>
    <col min="330" max="330" width="63.125" bestFit="1" customWidth="1"/>
    <col min="331" max="331" width="19.5" bestFit="1" customWidth="1"/>
    <col min="332" max="332" width="23.125" bestFit="1" customWidth="1"/>
    <col min="333" max="333" width="12.875" bestFit="1" customWidth="1"/>
    <col min="334" max="334" width="8.875" bestFit="1" customWidth="1"/>
    <col min="335" max="335" width="13.625" bestFit="1" customWidth="1"/>
    <col min="336" max="336" width="16.5" bestFit="1" customWidth="1"/>
    <col min="337" max="337" width="13.25" bestFit="1" customWidth="1"/>
    <col min="338" max="338" width="16.875" bestFit="1" customWidth="1"/>
    <col min="339" max="339" width="27.625" bestFit="1" customWidth="1"/>
    <col min="340" max="340" width="31.25" bestFit="1" customWidth="1"/>
    <col min="341" max="341" width="24.375" bestFit="1" customWidth="1"/>
    <col min="342" max="342" width="8.875" bestFit="1" customWidth="1"/>
    <col min="343" max="343" width="28" bestFit="1" customWidth="1"/>
    <col min="344" max="344" width="22" bestFit="1" customWidth="1"/>
    <col min="345" max="345" width="25.75" bestFit="1" customWidth="1"/>
    <col min="346" max="346" width="19.875" bestFit="1" customWidth="1"/>
    <col min="347" max="347" width="23.5" bestFit="1" customWidth="1"/>
    <col min="348" max="348" width="35" bestFit="1" customWidth="1"/>
    <col min="349" max="349" width="38.875" bestFit="1" customWidth="1"/>
    <col min="350" max="350" width="18.375" bestFit="1" customWidth="1"/>
    <col min="351" max="351" width="22.125" bestFit="1" customWidth="1"/>
    <col min="352" max="352" width="11.75" bestFit="1" customWidth="1"/>
    <col min="353" max="353" width="15.375" bestFit="1" customWidth="1"/>
    <col min="354" max="354" width="15.5" bestFit="1" customWidth="1"/>
    <col min="355" max="355" width="19.125" bestFit="1" customWidth="1"/>
    <col min="356" max="356" width="28.25" bestFit="1" customWidth="1"/>
    <col min="357" max="357" width="31.875" bestFit="1" customWidth="1"/>
    <col min="358" max="358" width="15.625" bestFit="1" customWidth="1"/>
    <col min="359" max="359" width="19.25" bestFit="1" customWidth="1"/>
    <col min="360" max="360" width="9.125" bestFit="1" customWidth="1"/>
    <col min="361" max="361" width="12.625" bestFit="1" customWidth="1"/>
    <col min="362" max="362" width="12.375" bestFit="1" customWidth="1"/>
    <col min="363" max="363" width="14.5" bestFit="1" customWidth="1"/>
    <col min="364" max="364" width="15.875" bestFit="1" customWidth="1"/>
    <col min="365" max="365" width="19.625" bestFit="1" customWidth="1"/>
    <col min="366" max="366" width="12.375" bestFit="1" customWidth="1"/>
    <col min="367" max="367" width="8.875" bestFit="1" customWidth="1"/>
    <col min="368" max="368" width="13.75" bestFit="1" customWidth="1"/>
    <col min="369" max="369" width="12.875" bestFit="1" customWidth="1"/>
  </cols>
  <sheetData>
    <row r="1" spans="1:2" x14ac:dyDescent="0.2">
      <c r="A1" s="2" t="s">
        <v>749</v>
      </c>
      <c r="B1" t="s">
        <v>735</v>
      </c>
    </row>
    <row r="2" spans="1:2" x14ac:dyDescent="0.2">
      <c r="A2" s="2" t="s">
        <v>748</v>
      </c>
      <c r="B2" s="3">
        <v>2026</v>
      </c>
    </row>
    <row r="4" spans="1:2" x14ac:dyDescent="0.2">
      <c r="A4" s="2" t="s">
        <v>744</v>
      </c>
      <c r="B4" t="s">
        <v>743</v>
      </c>
    </row>
    <row r="5" spans="1:2" x14ac:dyDescent="0.2">
      <c r="A5" s="3" t="s">
        <v>36</v>
      </c>
      <c r="B5" s="204">
        <v>1</v>
      </c>
    </row>
    <row r="6" spans="1:2" x14ac:dyDescent="0.2">
      <c r="A6" s="3" t="s">
        <v>630</v>
      </c>
      <c r="B6" s="204">
        <v>1</v>
      </c>
    </row>
    <row r="7" spans="1:2" x14ac:dyDescent="0.2">
      <c r="A7" s="3" t="s">
        <v>745</v>
      </c>
      <c r="B7" s="204">
        <v>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193B1-5513-4962-AC8F-637B7B45352E}">
  <dimension ref="A5:C16"/>
  <sheetViews>
    <sheetView workbookViewId="0">
      <selection activeCell="A4" sqref="A4"/>
    </sheetView>
  </sheetViews>
  <sheetFormatPr defaultRowHeight="14.25" x14ac:dyDescent="0.2"/>
  <cols>
    <col min="1" max="1" width="14.375" bestFit="1" customWidth="1"/>
    <col min="2" max="2" width="24.125" bestFit="1" customWidth="1"/>
    <col min="3" max="3" width="28.875" bestFit="1" customWidth="1"/>
    <col min="4" max="4" width="10.375" bestFit="1" customWidth="1"/>
    <col min="5" max="5" width="9.25" bestFit="1" customWidth="1"/>
    <col min="6" max="6" width="11.75" bestFit="1" customWidth="1"/>
    <col min="7" max="7" width="6.125" bestFit="1" customWidth="1"/>
    <col min="8" max="8" width="6.625" bestFit="1" customWidth="1"/>
    <col min="9" max="9" width="15.375" bestFit="1" customWidth="1"/>
    <col min="10" max="10" width="11.5" bestFit="1" customWidth="1"/>
    <col min="11" max="11" width="12" bestFit="1" customWidth="1"/>
    <col min="12" max="12" width="7.125" bestFit="1" customWidth="1"/>
    <col min="13" max="13" width="13.875" bestFit="1" customWidth="1"/>
    <col min="14" max="14" width="14.375" bestFit="1" customWidth="1"/>
    <col min="15" max="15" width="15.125" bestFit="1" customWidth="1"/>
    <col min="16" max="16" width="14.875" bestFit="1" customWidth="1"/>
    <col min="17" max="17" width="20.5" bestFit="1" customWidth="1"/>
    <col min="18" max="18" width="22.5" bestFit="1" customWidth="1"/>
    <col min="19" max="19" width="12.25" bestFit="1" customWidth="1"/>
    <col min="20" max="20" width="17.625" bestFit="1" customWidth="1"/>
    <col min="21" max="21" width="9.375" bestFit="1" customWidth="1"/>
    <col min="22" max="22" width="11.125" bestFit="1" customWidth="1"/>
    <col min="23" max="23" width="11.625" bestFit="1" customWidth="1"/>
    <col min="24" max="24" width="21.5" bestFit="1" customWidth="1"/>
    <col min="25" max="25" width="12.625" bestFit="1" customWidth="1"/>
    <col min="26" max="26" width="11.625" bestFit="1" customWidth="1"/>
    <col min="27" max="27" width="4.125" bestFit="1" customWidth="1"/>
    <col min="28" max="28" width="6.625" bestFit="1" customWidth="1"/>
    <col min="29" max="29" width="12.375" bestFit="1" customWidth="1"/>
    <col min="30" max="30" width="10.125" bestFit="1" customWidth="1"/>
    <col min="31" max="31" width="6" bestFit="1" customWidth="1"/>
    <col min="32" max="32" width="6.5" bestFit="1" customWidth="1"/>
    <col min="33" max="33" width="11.25" bestFit="1" customWidth="1"/>
    <col min="34" max="34" width="17.125" bestFit="1" customWidth="1"/>
    <col min="35" max="35" width="7.625" bestFit="1" customWidth="1"/>
    <col min="36" max="36" width="20.25" bestFit="1" customWidth="1"/>
    <col min="37" max="37" width="7.125" bestFit="1" customWidth="1"/>
    <col min="38" max="38" width="16.5" bestFit="1" customWidth="1"/>
    <col min="39" max="39" width="25.125" bestFit="1" customWidth="1"/>
    <col min="40" max="40" width="7.625" bestFit="1" customWidth="1"/>
    <col min="41" max="41" width="26.5" bestFit="1" customWidth="1"/>
    <col min="42" max="42" width="17.375" bestFit="1" customWidth="1"/>
    <col min="43" max="43" width="23.875" bestFit="1" customWidth="1"/>
    <col min="44" max="44" width="15.875" bestFit="1" customWidth="1"/>
    <col min="45" max="45" width="17.875" bestFit="1" customWidth="1"/>
    <col min="46" max="46" width="26" bestFit="1" customWidth="1"/>
    <col min="47" max="47" width="25.75" bestFit="1" customWidth="1"/>
    <col min="48" max="48" width="26.125" bestFit="1" customWidth="1"/>
    <col min="49" max="49" width="21.875" bestFit="1" customWidth="1"/>
    <col min="50" max="50" width="10.75" bestFit="1" customWidth="1"/>
    <col min="51" max="51" width="18.25" bestFit="1" customWidth="1"/>
    <col min="52" max="52" width="8.125" bestFit="1" customWidth="1"/>
    <col min="53" max="53" width="12.875" bestFit="1" customWidth="1"/>
    <col min="54" max="54" width="17.875" bestFit="1" customWidth="1"/>
    <col min="55" max="55" width="21.125" bestFit="1" customWidth="1"/>
    <col min="56" max="56" width="12.5" bestFit="1" customWidth="1"/>
    <col min="57" max="57" width="17.75" bestFit="1" customWidth="1"/>
    <col min="58" max="58" width="11.75" bestFit="1" customWidth="1"/>
    <col min="59" max="59" width="12.625" bestFit="1" customWidth="1"/>
    <col min="60" max="60" width="15.875" bestFit="1" customWidth="1"/>
    <col min="61" max="61" width="15.375" bestFit="1" customWidth="1"/>
    <col min="62" max="62" width="12.5" bestFit="1" customWidth="1"/>
    <col min="63" max="63" width="19.5" bestFit="1" customWidth="1"/>
    <col min="64" max="64" width="17.125" bestFit="1" customWidth="1"/>
    <col min="65" max="65" width="20" bestFit="1" customWidth="1"/>
    <col min="66" max="66" width="17.125" bestFit="1" customWidth="1"/>
    <col min="67" max="67" width="20.75" bestFit="1" customWidth="1"/>
    <col min="68" max="68" width="16.875" bestFit="1" customWidth="1"/>
    <col min="69" max="69" width="16.75" bestFit="1" customWidth="1"/>
    <col min="70" max="70" width="15.625" bestFit="1" customWidth="1"/>
    <col min="71" max="71" width="11.125" bestFit="1" customWidth="1"/>
    <col min="72" max="72" width="14.25" bestFit="1" customWidth="1"/>
    <col min="73" max="73" width="20.5" bestFit="1" customWidth="1"/>
    <col min="74" max="74" width="22.5" bestFit="1" customWidth="1"/>
    <col min="75" max="75" width="9.125" bestFit="1" customWidth="1"/>
    <col min="76" max="76" width="10.125" bestFit="1" customWidth="1"/>
    <col min="77" max="77" width="9.75" bestFit="1" customWidth="1"/>
    <col min="78" max="78" width="16.375" bestFit="1" customWidth="1"/>
    <col min="79" max="79" width="26.25" bestFit="1" customWidth="1"/>
    <col min="80" max="80" width="24.5" bestFit="1" customWidth="1"/>
    <col min="81" max="81" width="9.25" bestFit="1" customWidth="1"/>
    <col min="82" max="82" width="28.125" bestFit="1" customWidth="1"/>
    <col min="83" max="83" width="23" bestFit="1" customWidth="1"/>
    <col min="84" max="84" width="18" bestFit="1" customWidth="1"/>
    <col min="85" max="85" width="19.625" bestFit="1" customWidth="1"/>
    <col min="86" max="86" width="23.25" bestFit="1" customWidth="1"/>
    <col min="87" max="87" width="11.625" bestFit="1" customWidth="1"/>
    <col min="88" max="88" width="15" bestFit="1" customWidth="1"/>
    <col min="89" max="89" width="20.5" bestFit="1" customWidth="1"/>
    <col min="90" max="90" width="16.75" bestFit="1" customWidth="1"/>
    <col min="91" max="91" width="20.5" bestFit="1" customWidth="1"/>
    <col min="92" max="92" width="17.375" bestFit="1" customWidth="1"/>
    <col min="93" max="93" width="23.5" bestFit="1" customWidth="1"/>
    <col min="94" max="94" width="26.75" bestFit="1" customWidth="1"/>
    <col min="95" max="95" width="27.125" bestFit="1" customWidth="1"/>
    <col min="96" max="96" width="14.625" bestFit="1" customWidth="1"/>
    <col min="97" max="97" width="18.375" bestFit="1" customWidth="1"/>
    <col min="98" max="98" width="14.125" bestFit="1" customWidth="1"/>
    <col min="99" max="99" width="19.5" bestFit="1" customWidth="1"/>
    <col min="100" max="100" width="14.5" bestFit="1" customWidth="1"/>
    <col min="101" max="101" width="11.75" bestFit="1" customWidth="1"/>
    <col min="102" max="102" width="16.5" bestFit="1" customWidth="1"/>
    <col min="103" max="103" width="19.625" bestFit="1" customWidth="1"/>
    <col min="104" max="104" width="20.875" bestFit="1" customWidth="1"/>
    <col min="105" max="105" width="10" bestFit="1" customWidth="1"/>
    <col min="106" max="106" width="10.875" bestFit="1" customWidth="1"/>
    <col min="107" max="107" width="17.875" bestFit="1" customWidth="1"/>
    <col min="108" max="108" width="19.625" bestFit="1" customWidth="1"/>
    <col min="109" max="109" width="10.5" bestFit="1" customWidth="1"/>
    <col min="110" max="110" width="17.375" bestFit="1" customWidth="1"/>
    <col min="111" max="111" width="12.5" bestFit="1" customWidth="1"/>
    <col min="112" max="112" width="13" bestFit="1" customWidth="1"/>
    <col min="113" max="113" width="17.375" bestFit="1" customWidth="1"/>
    <col min="114" max="114" width="17" bestFit="1" customWidth="1"/>
    <col min="115" max="115" width="9.5" bestFit="1" customWidth="1"/>
    <col min="116" max="116" width="11.25" bestFit="1" customWidth="1"/>
    <col min="117" max="117" width="10.75" bestFit="1" customWidth="1"/>
    <col min="118" max="118" width="12.5" bestFit="1" customWidth="1"/>
    <col min="119" max="119" width="12.125" bestFit="1" customWidth="1"/>
    <col min="120" max="120" width="19.5" bestFit="1" customWidth="1"/>
    <col min="121" max="121" width="18.125" bestFit="1" customWidth="1"/>
    <col min="122" max="122" width="12.125" bestFit="1" customWidth="1"/>
    <col min="123" max="123" width="25.75" bestFit="1" customWidth="1"/>
    <col min="124" max="124" width="20.25" bestFit="1" customWidth="1"/>
    <col min="125" max="125" width="14.125" bestFit="1" customWidth="1"/>
    <col min="126" max="126" width="18.375" bestFit="1" customWidth="1"/>
    <col min="127" max="127" width="19.5" bestFit="1" customWidth="1"/>
    <col min="128" max="128" width="20.875" bestFit="1" customWidth="1"/>
    <col min="129" max="129" width="11.75" bestFit="1" customWidth="1"/>
    <col min="130" max="130" width="10.75" bestFit="1" customWidth="1"/>
    <col min="131" max="131" width="11.625" bestFit="1" customWidth="1"/>
    <col min="132" max="132" width="10.875" bestFit="1" customWidth="1"/>
    <col min="133" max="133" width="10.625" bestFit="1" customWidth="1"/>
    <col min="134" max="134" width="19.625" bestFit="1" customWidth="1"/>
    <col min="135" max="135" width="10.5" bestFit="1" customWidth="1"/>
    <col min="136" max="136" width="12.5" bestFit="1" customWidth="1"/>
    <col min="137" max="137" width="10.75" bestFit="1" customWidth="1"/>
    <col min="138" max="138" width="10.875" bestFit="1" customWidth="1"/>
    <col min="139" max="139" width="15.75" bestFit="1" customWidth="1"/>
    <col min="140" max="140" width="16.375" bestFit="1" customWidth="1"/>
    <col min="141" max="141" width="10.25" bestFit="1" customWidth="1"/>
    <col min="142" max="142" width="21.625" bestFit="1" customWidth="1"/>
    <col min="143" max="143" width="31.25" bestFit="1" customWidth="1"/>
    <col min="144" max="144" width="14.125" bestFit="1" customWidth="1"/>
    <col min="145" max="145" width="22.25" bestFit="1" customWidth="1"/>
    <col min="146" max="146" width="41.375" bestFit="1" customWidth="1"/>
    <col min="147" max="147" width="14.125" bestFit="1" customWidth="1"/>
    <col min="148" max="148" width="32.625" bestFit="1" customWidth="1"/>
    <col min="149" max="149" width="35.875" bestFit="1" customWidth="1"/>
    <col min="150" max="150" width="11.75" bestFit="1" customWidth="1"/>
    <col min="151" max="151" width="16.5" bestFit="1" customWidth="1"/>
    <col min="152" max="152" width="6.125" bestFit="1" customWidth="1"/>
    <col min="153" max="153" width="6.625" bestFit="1" customWidth="1"/>
    <col min="154" max="154" width="9.75" bestFit="1" customWidth="1"/>
    <col min="155" max="155" width="11.875" bestFit="1" customWidth="1"/>
    <col min="156" max="156" width="14.25" bestFit="1" customWidth="1"/>
    <col min="157" max="157" width="12.5" bestFit="1" customWidth="1"/>
    <col min="158" max="158" width="10.875" bestFit="1" customWidth="1"/>
    <col min="159" max="159" width="13.625" bestFit="1" customWidth="1"/>
    <col min="160" max="160" width="11.5" bestFit="1" customWidth="1"/>
    <col min="161" max="161" width="10.875" bestFit="1" customWidth="1"/>
    <col min="162" max="162" width="12" bestFit="1" customWidth="1"/>
    <col min="163" max="163" width="14" bestFit="1" customWidth="1"/>
    <col min="164" max="164" width="16.875" bestFit="1" customWidth="1"/>
    <col min="165" max="165" width="19.125" bestFit="1" customWidth="1"/>
    <col min="166" max="166" width="10.5" bestFit="1" customWidth="1"/>
    <col min="167" max="167" width="38.5" bestFit="1" customWidth="1"/>
    <col min="168" max="168" width="4.125" bestFit="1" customWidth="1"/>
    <col min="169" max="169" width="12.125" bestFit="1" customWidth="1"/>
    <col min="170" max="170" width="10.625" bestFit="1" customWidth="1"/>
    <col min="171" max="171" width="19.125" bestFit="1" customWidth="1"/>
    <col min="172" max="172" width="18.375" bestFit="1" customWidth="1"/>
    <col min="173" max="173" width="14" bestFit="1" customWidth="1"/>
    <col min="174" max="174" width="22.875" bestFit="1" customWidth="1"/>
    <col min="175" max="175" width="19.5" bestFit="1" customWidth="1"/>
    <col min="176" max="176" width="12.5" bestFit="1" customWidth="1"/>
    <col min="177" max="177" width="11.125" bestFit="1" customWidth="1"/>
    <col min="178" max="178" width="39.5" bestFit="1" customWidth="1"/>
    <col min="179" max="179" width="13.5" bestFit="1" customWidth="1"/>
    <col min="180" max="180" width="14.125" bestFit="1" customWidth="1"/>
    <col min="181" max="181" width="22.25" bestFit="1" customWidth="1"/>
    <col min="182" max="182" width="19.5" bestFit="1" customWidth="1"/>
    <col min="183" max="183" width="10.75" bestFit="1" customWidth="1"/>
    <col min="184" max="184" width="16.5" bestFit="1" customWidth="1"/>
    <col min="185" max="185" width="11.125" bestFit="1" customWidth="1"/>
    <col min="186" max="186" width="12.5" bestFit="1" customWidth="1"/>
    <col min="187" max="187" width="16.75" bestFit="1" customWidth="1"/>
    <col min="188" max="188" width="17.5" bestFit="1" customWidth="1"/>
    <col min="189" max="189" width="14" bestFit="1" customWidth="1"/>
    <col min="190" max="190" width="10.875" bestFit="1" customWidth="1"/>
    <col min="191" max="191" width="20" bestFit="1" customWidth="1"/>
    <col min="192" max="192" width="13.25" bestFit="1" customWidth="1"/>
    <col min="193" max="193" width="22.25" bestFit="1" customWidth="1"/>
    <col min="194" max="194" width="26" bestFit="1" customWidth="1"/>
    <col min="195" max="195" width="10.75" bestFit="1" customWidth="1"/>
    <col min="196" max="196" width="16.5" bestFit="1" customWidth="1"/>
    <col min="197" max="197" width="19.875" bestFit="1" customWidth="1"/>
    <col min="198" max="198" width="49.375" bestFit="1" customWidth="1"/>
    <col min="199" max="199" width="20.75" bestFit="1" customWidth="1"/>
    <col min="200" max="200" width="10.75" bestFit="1" customWidth="1"/>
    <col min="201" max="201" width="12.5" bestFit="1" customWidth="1"/>
    <col min="202" max="202" width="26.5" bestFit="1" customWidth="1"/>
    <col min="203" max="203" width="10.5" bestFit="1" customWidth="1"/>
    <col min="204" max="204" width="20.625" bestFit="1" customWidth="1"/>
    <col min="205" max="205" width="12.375" bestFit="1" customWidth="1"/>
    <col min="206" max="206" width="22.25" bestFit="1" customWidth="1"/>
    <col min="207" max="207" width="11.5" bestFit="1" customWidth="1"/>
    <col min="208" max="208" width="21.125" bestFit="1" customWidth="1"/>
    <col min="209" max="209" width="14.125" bestFit="1" customWidth="1"/>
    <col min="210" max="210" width="10.75" bestFit="1" customWidth="1"/>
    <col min="211" max="211" width="17.125" bestFit="1" customWidth="1"/>
    <col min="212" max="212" width="45.375" bestFit="1" customWidth="1"/>
    <col min="213" max="213" width="30.75" bestFit="1" customWidth="1"/>
    <col min="214" max="214" width="28" bestFit="1" customWidth="1"/>
    <col min="215" max="215" width="18.375" bestFit="1" customWidth="1"/>
    <col min="216" max="216" width="17.375" bestFit="1" customWidth="1"/>
    <col min="217" max="217" width="19.5" bestFit="1" customWidth="1"/>
    <col min="218" max="218" width="10.375" bestFit="1" customWidth="1"/>
    <col min="219" max="219" width="14.5" bestFit="1" customWidth="1"/>
    <col min="220" max="220" width="22.625" bestFit="1" customWidth="1"/>
    <col min="221" max="221" width="36.875" bestFit="1" customWidth="1"/>
    <col min="222" max="222" width="11.75" bestFit="1" customWidth="1"/>
    <col min="223" max="223" width="10.75" bestFit="1" customWidth="1"/>
    <col min="224" max="224" width="13.25" bestFit="1" customWidth="1"/>
    <col min="225" max="225" width="18.375" bestFit="1" customWidth="1"/>
    <col min="226" max="226" width="10.25" bestFit="1" customWidth="1"/>
    <col min="227" max="227" width="11.125" bestFit="1" customWidth="1"/>
    <col min="228" max="228" width="12.5" bestFit="1" customWidth="1"/>
    <col min="229" max="229" width="11.625" bestFit="1" customWidth="1"/>
    <col min="230" max="230" width="20" bestFit="1" customWidth="1"/>
    <col min="231" max="231" width="23.125" bestFit="1" customWidth="1"/>
    <col min="232" max="232" width="14.25" bestFit="1" customWidth="1"/>
    <col min="233" max="233" width="10.875" bestFit="1" customWidth="1"/>
    <col min="234" max="234" width="22.25" bestFit="1" customWidth="1"/>
    <col min="235" max="235" width="26.625" bestFit="1" customWidth="1"/>
    <col min="236" max="236" width="35" bestFit="1" customWidth="1"/>
    <col min="237" max="237" width="16.875" bestFit="1" customWidth="1"/>
    <col min="238" max="238" width="23.625" bestFit="1" customWidth="1"/>
    <col min="239" max="239" width="10.625" bestFit="1" customWidth="1"/>
    <col min="240" max="240" width="9.25" bestFit="1" customWidth="1"/>
    <col min="241" max="241" width="16.75" bestFit="1" customWidth="1"/>
    <col min="242" max="242" width="21.875" bestFit="1" customWidth="1"/>
    <col min="243" max="243" width="19.625" bestFit="1" customWidth="1"/>
    <col min="244" max="244" width="10.625" bestFit="1" customWidth="1"/>
    <col min="245" max="245" width="26.375" bestFit="1" customWidth="1"/>
    <col min="246" max="246" width="30" bestFit="1" customWidth="1"/>
    <col min="247" max="247" width="10.5" bestFit="1" customWidth="1"/>
    <col min="248" max="248" width="18" bestFit="1" customWidth="1"/>
    <col min="249" max="249" width="11.25" bestFit="1" customWidth="1"/>
    <col min="250" max="250" width="17.375" bestFit="1" customWidth="1"/>
    <col min="251" max="251" width="14" bestFit="1" customWidth="1"/>
    <col min="252" max="252" width="15.125" bestFit="1" customWidth="1"/>
    <col min="253" max="253" width="26.125" bestFit="1" customWidth="1"/>
    <col min="254" max="254" width="22.5" bestFit="1" customWidth="1"/>
    <col min="255" max="255" width="40.75" bestFit="1" customWidth="1"/>
    <col min="256" max="256" width="12.5" bestFit="1" customWidth="1"/>
    <col min="257" max="257" width="13" bestFit="1" customWidth="1"/>
    <col min="258" max="258" width="14.375" bestFit="1" customWidth="1"/>
    <col min="259" max="259" width="17.125" bestFit="1" customWidth="1"/>
    <col min="260" max="260" width="17.75" bestFit="1" customWidth="1"/>
    <col min="261" max="261" width="57.375" bestFit="1" customWidth="1"/>
    <col min="262" max="262" width="17.5" bestFit="1" customWidth="1"/>
    <col min="263" max="263" width="10.875" bestFit="1" customWidth="1"/>
    <col min="264" max="264" width="11.25" bestFit="1" customWidth="1"/>
    <col min="265" max="265" width="22.25" bestFit="1" customWidth="1"/>
    <col min="266" max="266" width="20" bestFit="1" customWidth="1"/>
    <col min="267" max="267" width="26.25" bestFit="1" customWidth="1"/>
    <col min="268" max="268" width="8.875" bestFit="1" customWidth="1"/>
    <col min="269" max="269" width="14" bestFit="1" customWidth="1"/>
    <col min="270" max="270" width="8.125" bestFit="1" customWidth="1"/>
    <col min="271" max="271" width="12.625" bestFit="1" customWidth="1"/>
    <col min="272" max="272" width="19.5" bestFit="1" customWidth="1"/>
    <col min="273" max="273" width="22.25" bestFit="1" customWidth="1"/>
    <col min="274" max="274" width="27.125" bestFit="1" customWidth="1"/>
    <col min="275" max="275" width="30.875" bestFit="1" customWidth="1"/>
    <col min="276" max="276" width="13.375" bestFit="1" customWidth="1"/>
    <col min="277" max="277" width="13.25" bestFit="1" customWidth="1"/>
    <col min="278" max="278" width="28.5" bestFit="1" customWidth="1"/>
    <col min="279" max="279" width="10.625" bestFit="1" customWidth="1"/>
    <col min="280" max="280" width="32.125" bestFit="1" customWidth="1"/>
    <col min="281" max="281" width="19.375" bestFit="1" customWidth="1"/>
    <col min="282" max="282" width="24.375" bestFit="1" customWidth="1"/>
    <col min="283" max="283" width="11.75" bestFit="1" customWidth="1"/>
    <col min="284" max="284" width="11.125" bestFit="1" customWidth="1"/>
    <col min="285" max="285" width="10.875" bestFit="1" customWidth="1"/>
    <col min="286" max="286" width="10" bestFit="1" customWidth="1"/>
    <col min="287" max="287" width="25.625" bestFit="1" customWidth="1"/>
    <col min="288" max="288" width="22.25" bestFit="1" customWidth="1"/>
    <col min="289" max="289" width="23" bestFit="1" customWidth="1"/>
    <col min="290" max="290" width="25.875" bestFit="1" customWidth="1"/>
    <col min="291" max="291" width="29.5" bestFit="1" customWidth="1"/>
    <col min="292" max="292" width="18" bestFit="1" customWidth="1"/>
    <col min="293" max="293" width="21.75" bestFit="1" customWidth="1"/>
    <col min="294" max="294" width="19.875" bestFit="1" customWidth="1"/>
    <col min="295" max="295" width="16.75" bestFit="1" customWidth="1"/>
    <col min="296" max="296" width="10.75" bestFit="1" customWidth="1"/>
    <col min="297" max="297" width="11.875" bestFit="1" customWidth="1"/>
    <col min="298" max="298" width="23.5" bestFit="1" customWidth="1"/>
    <col min="299" max="299" width="28" bestFit="1" customWidth="1"/>
    <col min="300" max="300" width="31.625" bestFit="1" customWidth="1"/>
    <col min="301" max="301" width="27.75" bestFit="1" customWidth="1"/>
    <col min="302" max="302" width="10.125" bestFit="1" customWidth="1"/>
    <col min="303" max="303" width="12.5" bestFit="1" customWidth="1"/>
    <col min="304" max="304" width="10.875" bestFit="1" customWidth="1"/>
    <col min="305" max="305" width="14" bestFit="1" customWidth="1"/>
    <col min="306" max="306" width="12.5" bestFit="1" customWidth="1"/>
    <col min="307" max="307" width="31.375" bestFit="1" customWidth="1"/>
    <col min="308" max="308" width="28.125" bestFit="1" customWidth="1"/>
    <col min="309" max="309" width="31.75" bestFit="1" customWidth="1"/>
    <col min="310" max="310" width="29" bestFit="1" customWidth="1"/>
    <col min="311" max="311" width="27.5" bestFit="1" customWidth="1"/>
    <col min="312" max="312" width="14" bestFit="1" customWidth="1"/>
    <col min="313" max="313" width="16.375" bestFit="1" customWidth="1"/>
    <col min="314" max="314" width="20.25" bestFit="1" customWidth="1"/>
    <col min="315" max="315" width="23.875" bestFit="1" customWidth="1"/>
    <col min="316" max="316" width="10.125" bestFit="1" customWidth="1"/>
    <col min="317" max="317" width="13.75" bestFit="1" customWidth="1"/>
    <col min="318" max="318" width="12.875" bestFit="1" customWidth="1"/>
  </cols>
  <sheetData>
    <row r="5" spans="1:3" x14ac:dyDescent="0.2">
      <c r="A5" s="2" t="s">
        <v>744</v>
      </c>
      <c r="B5" t="s">
        <v>767</v>
      </c>
      <c r="C5" t="s">
        <v>774</v>
      </c>
    </row>
    <row r="6" spans="1:3" x14ac:dyDescent="0.2">
      <c r="A6" s="3" t="s">
        <v>10</v>
      </c>
      <c r="B6" s="204">
        <v>6</v>
      </c>
      <c r="C6" s="204">
        <v>6</v>
      </c>
    </row>
    <row r="7" spans="1:3" x14ac:dyDescent="0.2">
      <c r="A7" s="6">
        <v>46076</v>
      </c>
      <c r="B7" s="204">
        <v>2</v>
      </c>
      <c r="C7" s="204">
        <v>2</v>
      </c>
    </row>
    <row r="8" spans="1:3" x14ac:dyDescent="0.2">
      <c r="A8" s="6">
        <v>46078</v>
      </c>
      <c r="B8" s="204">
        <v>1</v>
      </c>
      <c r="C8" s="204">
        <v>1</v>
      </c>
    </row>
    <row r="9" spans="1:3" x14ac:dyDescent="0.2">
      <c r="A9" s="6">
        <v>46080</v>
      </c>
      <c r="B9" s="204">
        <v>3</v>
      </c>
      <c r="C9" s="204">
        <v>3</v>
      </c>
    </row>
    <row r="10" spans="1:3" x14ac:dyDescent="0.2">
      <c r="A10" s="3" t="s">
        <v>17</v>
      </c>
      <c r="B10" s="204">
        <v>5</v>
      </c>
      <c r="C10" s="204">
        <v>5</v>
      </c>
    </row>
    <row r="11" spans="1:3" x14ac:dyDescent="0.2">
      <c r="A11" s="6">
        <v>46077</v>
      </c>
      <c r="B11" s="204">
        <v>1</v>
      </c>
      <c r="C11" s="204">
        <v>1</v>
      </c>
    </row>
    <row r="12" spans="1:3" x14ac:dyDescent="0.2">
      <c r="A12" s="6">
        <v>46078</v>
      </c>
      <c r="B12" s="204">
        <v>2</v>
      </c>
      <c r="C12" s="204">
        <v>2</v>
      </c>
    </row>
    <row r="13" spans="1:3" x14ac:dyDescent="0.2">
      <c r="A13" s="6">
        <v>46079</v>
      </c>
      <c r="B13" s="204">
        <v>2</v>
      </c>
      <c r="C13" s="204">
        <v>2</v>
      </c>
    </row>
    <row r="14" spans="1:3" x14ac:dyDescent="0.2">
      <c r="A14" s="3" t="s">
        <v>323</v>
      </c>
      <c r="B14" s="204">
        <v>5</v>
      </c>
      <c r="C14" s="204">
        <v>5</v>
      </c>
    </row>
    <row r="15" spans="1:3" x14ac:dyDescent="0.2">
      <c r="A15" s="6">
        <v>46076</v>
      </c>
      <c r="B15" s="204">
        <v>5</v>
      </c>
      <c r="C15" s="204">
        <v>5</v>
      </c>
    </row>
    <row r="16" spans="1:3" x14ac:dyDescent="0.2">
      <c r="A16" s="3" t="s">
        <v>745</v>
      </c>
      <c r="B16" s="204">
        <v>16</v>
      </c>
      <c r="C16" s="204">
        <v>16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BDE09-E487-4288-93D8-4F9AAF191C5C}">
  <dimension ref="A3:D9"/>
  <sheetViews>
    <sheetView workbookViewId="0">
      <selection activeCell="A4" sqref="A4"/>
    </sheetView>
  </sheetViews>
  <sheetFormatPr defaultRowHeight="14.25" x14ac:dyDescent="0.2"/>
  <cols>
    <col min="1" max="1" width="14.125" bestFit="1" customWidth="1"/>
    <col min="2" max="2" width="3.875" bestFit="1" customWidth="1"/>
    <col min="3" max="3" width="5.625" bestFit="1" customWidth="1"/>
    <col min="4" max="5" width="12.875" bestFit="1" customWidth="1"/>
    <col min="6" max="6" width="14.125" bestFit="1" customWidth="1"/>
    <col min="7" max="7" width="12.875" bestFit="1" customWidth="1"/>
    <col min="8" max="8" width="19.75" bestFit="1" customWidth="1"/>
    <col min="9" max="9" width="18.625" bestFit="1" customWidth="1"/>
    <col min="10" max="10" width="11.125" bestFit="1" customWidth="1"/>
    <col min="11" max="11" width="12.875" bestFit="1" customWidth="1"/>
  </cols>
  <sheetData>
    <row r="3" spans="1:4" x14ac:dyDescent="0.2">
      <c r="A3" s="2" t="s">
        <v>743</v>
      </c>
    </row>
    <row r="4" spans="1:4" x14ac:dyDescent="0.2">
      <c r="B4" t="s">
        <v>15</v>
      </c>
      <c r="C4" t="s">
        <v>278</v>
      </c>
      <c r="D4" t="s">
        <v>745</v>
      </c>
    </row>
    <row r="5" spans="1:4" x14ac:dyDescent="0.2">
      <c r="A5" s="7">
        <v>46210</v>
      </c>
      <c r="B5" s="204">
        <v>2</v>
      </c>
      <c r="C5" s="204">
        <v>1</v>
      </c>
      <c r="D5" s="204">
        <v>3</v>
      </c>
    </row>
    <row r="6" spans="1:4" x14ac:dyDescent="0.2">
      <c r="A6" s="7">
        <v>46211</v>
      </c>
      <c r="B6" s="204">
        <v>2</v>
      </c>
      <c r="C6" s="204">
        <v>3</v>
      </c>
      <c r="D6" s="204">
        <v>5</v>
      </c>
    </row>
    <row r="7" spans="1:4" x14ac:dyDescent="0.2">
      <c r="A7" s="7">
        <v>46212</v>
      </c>
      <c r="B7" s="204">
        <v>4</v>
      </c>
      <c r="C7" s="204">
        <v>1</v>
      </c>
      <c r="D7" s="204">
        <v>5</v>
      </c>
    </row>
    <row r="8" spans="1:4" x14ac:dyDescent="0.2">
      <c r="A8" s="7">
        <v>46213</v>
      </c>
      <c r="B8" s="204">
        <v>2</v>
      </c>
      <c r="C8" s="204">
        <v>1</v>
      </c>
      <c r="D8" s="204">
        <v>3</v>
      </c>
    </row>
    <row r="9" spans="1:4" x14ac:dyDescent="0.2">
      <c r="A9" s="7" t="s">
        <v>745</v>
      </c>
      <c r="B9" s="204">
        <v>10</v>
      </c>
      <c r="C9" s="204">
        <v>6</v>
      </c>
      <c r="D9" s="204">
        <v>16</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AB0FA-45B6-4521-AFD4-991068018839}">
  <dimension ref="A1:AF79"/>
  <sheetViews>
    <sheetView workbookViewId="0">
      <selection activeCell="A4" sqref="A4"/>
    </sheetView>
  </sheetViews>
  <sheetFormatPr defaultRowHeight="14.25" x14ac:dyDescent="0.2"/>
  <cols>
    <col min="1" max="1" width="26.25" bestFit="1" customWidth="1"/>
    <col min="2" max="2" width="6" bestFit="1" customWidth="1"/>
    <col min="5" max="5" width="9.125" style="9" bestFit="1" customWidth="1"/>
    <col min="6" max="6" width="10.75" style="9" bestFit="1" customWidth="1"/>
    <col min="8" max="8" width="19.75" bestFit="1" customWidth="1"/>
    <col min="9" max="9" width="9.125" style="9" bestFit="1" customWidth="1"/>
    <col min="11" max="11" width="14.875" bestFit="1" customWidth="1"/>
    <col min="12" max="12" width="9.125" style="9" bestFit="1" customWidth="1"/>
    <col min="14" max="14" width="20.25" bestFit="1" customWidth="1"/>
    <col min="15" max="15" width="9.125" style="9" bestFit="1" customWidth="1"/>
    <col min="17" max="17" width="5.125" bestFit="1" customWidth="1"/>
    <col min="18" max="18" width="9.125" style="9" bestFit="1" customWidth="1"/>
    <col min="32" max="32" width="9" style="1"/>
  </cols>
  <sheetData>
    <row r="1" spans="1:32" x14ac:dyDescent="0.2">
      <c r="A1" t="s">
        <v>1044</v>
      </c>
      <c r="B1" t="s">
        <v>1045</v>
      </c>
      <c r="D1" t="s">
        <v>727</v>
      </c>
      <c r="E1" s="9" t="s">
        <v>1053</v>
      </c>
      <c r="F1" s="9" t="s">
        <v>1054</v>
      </c>
      <c r="H1" t="s">
        <v>1036</v>
      </c>
      <c r="I1" s="9" t="s">
        <v>1053</v>
      </c>
      <c r="K1" t="s">
        <v>7</v>
      </c>
      <c r="L1" s="9" t="s">
        <v>1053</v>
      </c>
      <c r="N1" t="s">
        <v>5</v>
      </c>
      <c r="O1" s="9" t="s">
        <v>1053</v>
      </c>
      <c r="Q1" t="s">
        <v>3</v>
      </c>
      <c r="R1" s="9" t="s">
        <v>1053</v>
      </c>
      <c r="AF1"/>
    </row>
    <row r="2" spans="1:32" x14ac:dyDescent="0.2">
      <c r="A2" t="s">
        <v>1046</v>
      </c>
      <c r="B2" s="9">
        <f>COUNTIF(Master_List_Of_Injuries[Year],2026)</f>
        <v>275</v>
      </c>
      <c r="D2" t="s">
        <v>729</v>
      </c>
      <c r="E2" s="9">
        <f>COUNTIFS(Master_List_Of_Injuries[Year],2026,Master_List_Of_Injuries[Month.1],D2)</f>
        <v>28</v>
      </c>
      <c r="F2" s="9" cm="1">
        <f t="array" ref="F2">SUMPRODUCT((Master_List_Of_Injuries[Year]=2026)*(Master_List_Of_Injuries[Month.1]=D2)*(((Master_List_Of_Injuries[ESI Status]="RECORDABLE")+(Master_List_Of_Injuries[Recordable_Flag]="Yes"))&gt;0))</f>
        <v>1</v>
      </c>
      <c r="H2" t="s">
        <v>10</v>
      </c>
      <c r="I2" s="9">
        <f>IF(H2="","",COUNTIFS(Master_List_Of_Injuries[Year],2026,Master_List_Of_Injuries[[Department ]],H2))</f>
        <v>132</v>
      </c>
      <c r="K2" t="s">
        <v>15</v>
      </c>
      <c r="L2" s="9">
        <f>IF(K2="","",COUNTIFS(Master_List_Of_Injuries[Year],2026,Master_List_Of_Injuries[ESI Status],K2))</f>
        <v>228</v>
      </c>
      <c r="N2" t="s">
        <v>24</v>
      </c>
      <c r="O2" s="9" cm="1">
        <f t="array" ref="O2">IF(N2="","",SUMPRODUCT((Master_List_Of_Injuries[Year]=2026)*(TRIM(Master_List_Of_Injuries[Injury/Illness Type])=N2)))</f>
        <v>99</v>
      </c>
      <c r="Q2">
        <v>102</v>
      </c>
      <c r="R2" s="9">
        <f>IF(Q2="","",COUNTIFS(Master_List_Of_Injuries[Year],2026,Master_List_Of_Injuries[Area],Q2))</f>
        <v>32</v>
      </c>
      <c r="AF2"/>
    </row>
    <row r="3" spans="1:32" x14ac:dyDescent="0.2">
      <c r="A3" t="s">
        <v>1047</v>
      </c>
      <c r="B3" s="9" cm="1">
        <f t="array" ref="B3">SUMPRODUCT((Master_List_Of_Injuries[Year]=2026)*(((Master_List_Of_Injuries[ESI Status]="RECORDABLE")+(Master_List_Of_Injuries[Recordable_Flag]="Yes"))&gt;0))</f>
        <v>7</v>
      </c>
      <c r="D3" t="s">
        <v>732</v>
      </c>
      <c r="E3" s="9">
        <f>COUNTIFS(Master_List_Of_Injuries[Year],2026,Master_List_Of_Injuries[Month.1],D3)</f>
        <v>44</v>
      </c>
      <c r="F3" s="9" cm="1">
        <f t="array" ref="F3">SUMPRODUCT((Master_List_Of_Injuries[Year]=2026)*(Master_List_Of_Injuries[Month.1]=D3)*(((Master_List_Of_Injuries[ESI Status]="RECORDABLE")+(Master_List_Of_Injuries[Recordable_Flag]="Yes"))&gt;0))</f>
        <v>0</v>
      </c>
      <c r="H3" t="s">
        <v>17</v>
      </c>
      <c r="I3" s="9">
        <f>IF(H3="","",COUNTIFS(Master_List_Of_Injuries[Year],2026,Master_List_Of_Injuries[[Department ]],H3))</f>
        <v>106</v>
      </c>
      <c r="K3" t="s">
        <v>278</v>
      </c>
      <c r="L3" s="9">
        <f>IF(K3="","",COUNTIFS(Master_List_Of_Injuries[Year],2026,Master_List_Of_Injuries[ESI Status],K3))</f>
        <v>40</v>
      </c>
      <c r="N3" t="s">
        <v>69</v>
      </c>
      <c r="O3" s="9" cm="1">
        <f t="array" ref="O3">IF(N3="","",SUMPRODUCT((Master_List_Of_Injuries[Year]=2026)*(TRIM(Master_List_Of_Injuries[Injury/Illness Type])=N3)))</f>
        <v>25</v>
      </c>
      <c r="Q3">
        <v>410</v>
      </c>
      <c r="R3" s="9">
        <f>IF(Q3="","",COUNTIFS(Master_List_Of_Injuries[Year],2026,Master_List_Of_Injuries[Area],Q3))</f>
        <v>23</v>
      </c>
      <c r="AF3"/>
    </row>
    <row r="4" spans="1:32" x14ac:dyDescent="0.2">
      <c r="A4" t="s">
        <v>1048</v>
      </c>
      <c r="B4" s="9">
        <f>COUNTIFS(Master_List_Of_Injuries[Year],2026,Master_List_Of_Injuries[ESI Status],"FA")</f>
        <v>228</v>
      </c>
      <c r="D4" t="s">
        <v>733</v>
      </c>
      <c r="E4" s="9">
        <f>COUNTIFS(Master_List_Of_Injuries[Year],2026,Master_List_Of_Injuries[Month.1],D4)</f>
        <v>31</v>
      </c>
      <c r="F4" s="9" cm="1">
        <f t="array" ref="F4">SUMPRODUCT((Master_List_Of_Injuries[Year]=2026)*(Master_List_Of_Injuries[Month.1]=D4)*(((Master_List_Of_Injuries[ESI Status]="RECORDABLE")+(Master_List_Of_Injuries[Recordable_Flag]="Yes"))&gt;0))</f>
        <v>1</v>
      </c>
      <c r="H4" t="s">
        <v>305</v>
      </c>
      <c r="I4" s="9">
        <f>IF(H4="","",COUNTIFS(Master_List_Of_Injuries[Year],2026,Master_List_Of_Injuries[[Department ]],H4))</f>
        <v>10</v>
      </c>
      <c r="K4" t="s">
        <v>76</v>
      </c>
      <c r="L4" s="9">
        <f>IF(K4="","",COUNTIFS(Master_List_Of_Injuries[Year],2026,Master_List_Of_Injuries[ESI Status],K4))</f>
        <v>7</v>
      </c>
      <c r="N4" t="s">
        <v>151</v>
      </c>
      <c r="O4" s="9" cm="1">
        <f t="array" ref="O4">IF(N4="","",SUMPRODUCT((Master_List_Of_Injuries[Year]=2026)*(TRIM(Master_List_Of_Injuries[Injury/Illness Type])=N4)))</f>
        <v>26</v>
      </c>
      <c r="Q4">
        <v>420</v>
      </c>
      <c r="R4" s="9">
        <f>IF(Q4="","",COUNTIFS(Master_List_Of_Injuries[Year],2026,Master_List_Of_Injuries[Area],Q4))</f>
        <v>22</v>
      </c>
      <c r="AF4"/>
    </row>
    <row r="5" spans="1:32" x14ac:dyDescent="0.2">
      <c r="A5" t="s">
        <v>1049</v>
      </c>
      <c r="B5" s="9">
        <f>COUNTIFS(Master_List_Of_Injuries[Year],2026,Master_List_Of_Injuries[ESI Status],"RPO")</f>
        <v>40</v>
      </c>
      <c r="D5" t="s">
        <v>734</v>
      </c>
      <c r="E5" s="9">
        <f>COUNTIFS(Master_List_Of_Injuries[Year],2026,Master_List_Of_Injuries[Month.1],D5)</f>
        <v>48</v>
      </c>
      <c r="F5" s="9" cm="1">
        <f t="array" ref="F5">SUMPRODUCT((Master_List_Of_Injuries[Year]=2026)*(Master_List_Of_Injuries[Month.1]=D5)*(((Master_List_Of_Injuries[ESI Status]="RECORDABLE")+(Master_List_Of_Injuries[Recordable_Flag]="Yes"))&gt;0))</f>
        <v>1</v>
      </c>
      <c r="H5" t="s">
        <v>726</v>
      </c>
      <c r="I5" s="9">
        <f>IF(H5="","",COUNTIFS(Master_List_Of_Injuries[Year],2026,Master_List_Of_Injuries[[Department ]],H5))</f>
        <v>8</v>
      </c>
      <c r="L5" s="9" t="str">
        <f>IF(K5="","",COUNTIFS(Master_List_Of_Injuries[Year],2026,Master_List_Of_Injuries[ESI Status],K5))</f>
        <v/>
      </c>
      <c r="N5" t="s">
        <v>184</v>
      </c>
      <c r="O5" s="9" cm="1">
        <f t="array" ref="O5">IF(N5="","",SUMPRODUCT((Master_List_Of_Injuries[Year]=2026)*(TRIM(Master_List_Of_Injuries[Injury/Illness Type])=N5)))</f>
        <v>14</v>
      </c>
      <c r="Q5">
        <v>400</v>
      </c>
      <c r="R5" s="9">
        <f>IF(Q5="","",COUNTIFS(Master_List_Of_Injuries[Year],2026,Master_List_Of_Injuries[Area],Q5))</f>
        <v>21</v>
      </c>
      <c r="AF5"/>
    </row>
    <row r="6" spans="1:32" x14ac:dyDescent="0.2">
      <c r="A6" t="s">
        <v>1050</v>
      </c>
      <c r="B6" s="9" cm="1">
        <f t="array" ref="B6">INDEX(E2:E13,MATCH(2,1/(E2:E13&lt;&gt;"")))</f>
        <v>43</v>
      </c>
      <c r="D6" t="s">
        <v>735</v>
      </c>
      <c r="E6" s="9">
        <f>COUNTIFS(Master_List_Of_Injuries[Year],2026,Master_List_Of_Injuries[Month.1],D6)</f>
        <v>25</v>
      </c>
      <c r="F6" s="9" cm="1">
        <f t="array" ref="F6">SUMPRODUCT((Master_List_Of_Injuries[Year]=2026)*(Master_List_Of_Injuries[Month.1]=D6)*(((Master_List_Of_Injuries[ESI Status]="RECORDABLE")+(Master_List_Of_Injuries[Recordable_Flag]="Yes"))&gt;0))</f>
        <v>1</v>
      </c>
      <c r="H6" t="s">
        <v>323</v>
      </c>
      <c r="I6" s="9">
        <f>IF(H6="","",COUNTIFS(Master_List_Of_Injuries[Year],2026,Master_List_Of_Injuries[[Department ]],H6))</f>
        <v>6</v>
      </c>
      <c r="L6" s="9" t="str">
        <f>IF(K6="","",COUNTIFS(Master_List_Of_Injuries[Year],2026,Master_List_Of_Injuries[ESI Status],K6))</f>
        <v/>
      </c>
      <c r="N6" t="s">
        <v>658</v>
      </c>
      <c r="O6" s="9" cm="1">
        <f t="array" ref="O6">IF(N6="","",SUMPRODUCT((Master_List_Of_Injuries[Year]=2026)*(TRIM(Master_List_Of_Injuries[Injury/Illness Type])=N6)))</f>
        <v>0</v>
      </c>
      <c r="Q6">
        <v>405</v>
      </c>
      <c r="R6" s="9">
        <f>IF(Q6="","",COUNTIFS(Master_List_Of_Injuries[Year],2026,Master_List_Of_Injuries[Area],Q6))</f>
        <v>20</v>
      </c>
      <c r="AF6"/>
    </row>
    <row r="7" spans="1:32" x14ac:dyDescent="0.2">
      <c r="A7" t="s">
        <v>1051</v>
      </c>
      <c r="B7" s="9">
        <f>AVERAGEIF(E2:E13,"&gt;0")</f>
        <v>39.285714285714285</v>
      </c>
      <c r="D7" t="s">
        <v>736</v>
      </c>
      <c r="E7" s="9">
        <f>COUNTIFS(Master_List_Of_Injuries[Year],2026,Master_List_Of_Injuries[Month.1],D7)</f>
        <v>56</v>
      </c>
      <c r="F7" s="9" cm="1">
        <f t="array" ref="F7">SUMPRODUCT((Master_List_Of_Injuries[Year]=2026)*(Master_List_Of_Injuries[Month.1]=D7)*(((Master_List_Of_Injuries[ESI Status]="RECORDABLE")+(Master_List_Of_Injuries[Recordable_Flag]="Yes"))&gt;0))</f>
        <v>2</v>
      </c>
      <c r="H7" t="s">
        <v>246</v>
      </c>
      <c r="I7" s="9">
        <f>IF(H7="","",COUNTIFS(Master_List_Of_Injuries[Year],2026,Master_List_Of_Injuries[[Department ]],H7))</f>
        <v>3</v>
      </c>
      <c r="L7" s="9" t="str">
        <f>IF(K7="","",COUNTIFS(Master_List_Of_Injuries[Year],2026,Master_List_Of_Injuries[ESI Status],K7))</f>
        <v/>
      </c>
      <c r="N7" t="s">
        <v>393</v>
      </c>
      <c r="O7" s="9" cm="1">
        <f t="array" ref="O7">IF(N7="","",SUMPRODUCT((Master_List_Of_Injuries[Year]=2026)*(TRIM(Master_List_Of_Injuries[Injury/Illness Type])=N7)))</f>
        <v>12</v>
      </c>
      <c r="Q7">
        <v>109</v>
      </c>
      <c r="R7" s="9">
        <f>IF(Q7="","",COUNTIFS(Master_List_Of_Injuries[Year],2026,Master_List_Of_Injuries[Area],Q7))</f>
        <v>16</v>
      </c>
      <c r="AF7"/>
    </row>
    <row r="8" spans="1:32" x14ac:dyDescent="0.2">
      <c r="A8" t="s">
        <v>1052</v>
      </c>
      <c r="B8" s="9">
        <f>ROWS(Master_List_Of_Injuries[DOI])</f>
        <v>580</v>
      </c>
      <c r="D8" t="s">
        <v>737</v>
      </c>
      <c r="E8" s="9">
        <f>COUNTIFS(Master_List_Of_Injuries[Year],2026,Master_List_Of_Injuries[Month.1],D8)</f>
        <v>43</v>
      </c>
      <c r="F8" s="9" cm="1">
        <f t="array" ref="F8">SUMPRODUCT((Master_List_Of_Injuries[Year]=2026)*(Master_List_Of_Injuries[Month.1]=D8)*(((Master_List_Of_Injuries[ESI Status]="RECORDABLE")+(Master_List_Of_Injuries[Recordable_Flag]="Yes"))&gt;0))</f>
        <v>1</v>
      </c>
      <c r="H8" t="s">
        <v>982</v>
      </c>
      <c r="I8" s="9">
        <f>IF(H8="","",COUNTIFS(Master_List_Of_Injuries[Year],2026,Master_List_Of_Injuries[[Department ]],H8))</f>
        <v>4</v>
      </c>
      <c r="L8" s="9" t="str">
        <f>IF(K8="","",COUNTIFS(Master_List_Of_Injuries[Year],2026,Master_List_Of_Injuries[ESI Status],K8))</f>
        <v/>
      </c>
      <c r="N8" t="s">
        <v>13</v>
      </c>
      <c r="O8" s="9" cm="1">
        <f t="array" ref="O8">IF(N8="","",SUMPRODUCT((Master_List_Of_Injuries[Year]=2026)*(TRIM(Master_List_Of_Injuries[Injury/Illness Type])=N8)))</f>
        <v>0</v>
      </c>
      <c r="Q8">
        <v>429</v>
      </c>
      <c r="R8" s="9">
        <f>IF(Q8="","",COUNTIFS(Master_List_Of_Injuries[Year],2026,Master_List_Of_Injuries[Area],Q8))</f>
        <v>15</v>
      </c>
      <c r="AF8"/>
    </row>
    <row r="9" spans="1:32" x14ac:dyDescent="0.2">
      <c r="H9" t="s">
        <v>36</v>
      </c>
      <c r="I9" s="9">
        <f>IF(H9="","",COUNTIFS(Master_List_Of_Injuries[Year],2026,Master_List_Of_Injuries[[Department ]],H9))</f>
        <v>2</v>
      </c>
      <c r="L9" s="9" t="str">
        <f>IF(K9="","",COUNTIFS(Master_List_Of_Injuries[Year],2026,Master_List_Of_Injuries[ESI Status],K9))</f>
        <v/>
      </c>
      <c r="N9" t="s">
        <v>665</v>
      </c>
      <c r="O9" s="9" cm="1">
        <f t="array" ref="O9">IF(N9="","",SUMPRODUCT((Master_List_Of_Injuries[Year]=2026)*(TRIM(Master_List_Of_Injuries[Injury/Illness Type])=N9)))</f>
        <v>9</v>
      </c>
      <c r="Q9">
        <v>106</v>
      </c>
      <c r="R9" s="9">
        <f>IF(Q9="","",COUNTIFS(Master_List_Of_Injuries[Year],2026,Master_List_Of_Injuries[Area],Q9))</f>
        <v>14</v>
      </c>
      <c r="AF9"/>
    </row>
    <row r="10" spans="1:32" x14ac:dyDescent="0.2">
      <c r="H10" t="s">
        <v>41</v>
      </c>
      <c r="I10" s="9">
        <f>IF(H10="","",COUNTIFS(Master_List_Of_Injuries[Year],2026,Master_List_Of_Injuries[[Department ]],H10))</f>
        <v>3</v>
      </c>
      <c r="L10" s="9" t="str">
        <f>IF(K10="","",COUNTIFS(Master_List_Of_Injuries[Year],2026,Master_List_Of_Injuries[ESI Status],K10))</f>
        <v/>
      </c>
      <c r="N10" t="s">
        <v>58</v>
      </c>
      <c r="O10" s="9" cm="1">
        <f t="array" ref="O10">IF(N10="","",SUMPRODUCT((Master_List_Of_Injuries[Year]=2026)*(TRIM(Master_List_Of_Injuries[Injury/Illness Type])=N10)))</f>
        <v>8</v>
      </c>
      <c r="Q10">
        <v>101</v>
      </c>
      <c r="R10" s="9">
        <f>IF(Q10="","",COUNTIFS(Master_List_Of_Injuries[Year],2026,Master_List_Of_Injuries[Area],Q10))</f>
        <v>16</v>
      </c>
      <c r="AF10"/>
    </row>
    <row r="11" spans="1:32" x14ac:dyDescent="0.2">
      <c r="I11" s="9" t="str">
        <f>IF(H11="","",COUNTIFS(Master_List_Of_Injuries[Year],2026,Master_List_Of_Injuries[[Department ]],H11))</f>
        <v/>
      </c>
      <c r="L11" s="9" t="str">
        <f>IF(K11="","",COUNTIFS(Master_List_Of_Injuries[Year],2026,Master_List_Of_Injuries[ESI Status],K11))</f>
        <v/>
      </c>
      <c r="N11" t="s">
        <v>173</v>
      </c>
      <c r="O11" s="9" cm="1">
        <f t="array" ref="O11">IF(N11="","",SUMPRODUCT((Master_List_Of_Injuries[Year]=2026)*(TRIM(Master_List_Of_Injuries[Injury/Illness Type])=N11)))</f>
        <v>7</v>
      </c>
      <c r="Q11">
        <v>415</v>
      </c>
      <c r="R11" s="9">
        <f>IF(Q11="","",COUNTIFS(Master_List_Of_Injuries[Year],2026,Master_List_Of_Injuries[Area],Q11))</f>
        <v>11</v>
      </c>
      <c r="AF11"/>
    </row>
    <row r="12" spans="1:32" x14ac:dyDescent="0.2">
      <c r="AF12"/>
    </row>
    <row r="13" spans="1:32" x14ac:dyDescent="0.2">
      <c r="AF13"/>
    </row>
    <row r="14" spans="1:32" ht="15" x14ac:dyDescent="0.25">
      <c r="A14" s="197" t="s">
        <v>1301</v>
      </c>
      <c r="B14" s="197" t="s">
        <v>1053</v>
      </c>
      <c r="C14" s="197" t="s">
        <v>1054</v>
      </c>
      <c r="D14" s="197" t="s">
        <v>1303</v>
      </c>
      <c r="E14" s="199" t="s">
        <v>1311</v>
      </c>
      <c r="F14" s="199" t="s">
        <v>1304</v>
      </c>
    </row>
    <row r="15" spans="1:32" x14ac:dyDescent="0.2">
      <c r="A15" s="198">
        <f>DATE(Data!$B$3,1,1)</f>
        <v>46023</v>
      </c>
      <c r="B15" cm="1">
        <f t="array" aca="1" ref="B15" ca="1">IF($A15&gt;Data!$B$2,NA(),SUMPRODUCT(fMask*(colDOI&gt;=$A15)*(colDOI&lt;$D15)))</f>
        <v>0</v>
      </c>
      <c r="C15" cm="1">
        <f t="array" aca="1" ref="C15" ca="1">IF($A15&gt;Data!$B$2,NA(),SUMPRODUCT(fMask*(colDOI&gt;=$A15)*(colDOI&lt;$D15)*(colRec="Yes")))</f>
        <v>0</v>
      </c>
      <c r="D15" s="198">
        <f>A16</f>
        <v>46027</v>
      </c>
      <c r="E15" s="9" t="str">
        <f>TEXT($A15,"m/d")&amp;"–"&amp;TEXT($D15-1,"m/d")</f>
        <v>1/1–1/4</v>
      </c>
      <c r="F15" s="9" t="s">
        <v>1305</v>
      </c>
      <c r="G15">
        <f ca="1">SUM(B15:B45)</f>
        <v>275</v>
      </c>
    </row>
    <row r="16" spans="1:32" x14ac:dyDescent="0.2">
      <c r="A16" s="198">
        <f>A15+MOD(8-WEEKDAY(A15,2),7)</f>
        <v>46027</v>
      </c>
      <c r="B16" cm="1">
        <f t="array" aca="1" ref="B16" ca="1">IF($A16&gt;Data!$B$2,NA(),SUMPRODUCT(fMask*(colDOI&gt;=$A16)*(colDOI&lt;$D16)))</f>
        <v>5</v>
      </c>
      <c r="C16" cm="1">
        <f t="array" aca="1" ref="C16" ca="1">IF($A16&gt;Data!$B$2,NA(),SUMPRODUCT(fMask*(colDOI&gt;=$A16)*(colDOI&lt;$D16)*(colRec="Yes")))</f>
        <v>1</v>
      </c>
      <c r="D16" s="198">
        <f>A17</f>
        <v>46034</v>
      </c>
      <c r="E16" s="9" t="str">
        <f t="shared" ref="E16:E45" si="0">TEXT($A16,"m/d")&amp;"–"&amp;TEXT($D16-1,"m/d")</f>
        <v>1/5–1/11</v>
      </c>
      <c r="F16" s="9" t="s">
        <v>1306</v>
      </c>
      <c r="G16">
        <f>Data!B7</f>
        <v>275</v>
      </c>
    </row>
    <row r="17" spans="1:7" x14ac:dyDescent="0.2">
      <c r="A17" s="198">
        <f>A16+7</f>
        <v>46034</v>
      </c>
      <c r="B17" cm="1">
        <f t="array" aca="1" ref="B17" ca="1">IF($A17&gt;Data!$B$2,NA(),SUMPRODUCT(fMask*(colDOI&gt;=$A17)*(colDOI&lt;$D17)))</f>
        <v>7</v>
      </c>
      <c r="C17" cm="1">
        <f t="array" aca="1" ref="C17" ca="1">IF($A17&gt;Data!$B$2,NA(),SUMPRODUCT(fMask*(colDOI&gt;=$A17)*(colDOI&lt;$D17)*(colRec="Yes")))</f>
        <v>0</v>
      </c>
      <c r="D17" s="198">
        <f t="shared" ref="D17:D44" si="1">A18</f>
        <v>46041</v>
      </c>
      <c r="E17" s="9" t="str">
        <f t="shared" si="0"/>
        <v>1/12–1/18</v>
      </c>
      <c r="F17" s="9" t="s">
        <v>1307</v>
      </c>
      <c r="G17">
        <f ca="1">SUM(C15:C45)</f>
        <v>7</v>
      </c>
    </row>
    <row r="18" spans="1:7" x14ac:dyDescent="0.2">
      <c r="A18" s="198">
        <f t="shared" ref="A18:A45" si="2">A17+7</f>
        <v>46041</v>
      </c>
      <c r="B18" cm="1">
        <f t="array" aca="1" ref="B18" ca="1">IF($A18&gt;Data!$B$2,NA(),SUMPRODUCT(fMask*(colDOI&gt;=$A18)*(colDOI&lt;$D18)))</f>
        <v>10</v>
      </c>
      <c r="C18" cm="1">
        <f t="array" aca="1" ref="C18" ca="1">IF($A18&gt;Data!$B$2,NA(),SUMPRODUCT(fMask*(colDOI&gt;=$A18)*(colDOI&lt;$D18)*(colRec="Yes")))</f>
        <v>0</v>
      </c>
      <c r="D18" s="198">
        <f t="shared" si="1"/>
        <v>46048</v>
      </c>
      <c r="E18" s="9" t="str">
        <f t="shared" si="0"/>
        <v>1/19–1/25</v>
      </c>
      <c r="F18" s="9" t="s">
        <v>1308</v>
      </c>
      <c r="G18">
        <f>Data!B8</f>
        <v>7</v>
      </c>
    </row>
    <row r="19" spans="1:7" x14ac:dyDescent="0.2">
      <c r="A19" s="198">
        <f t="shared" si="2"/>
        <v>46048</v>
      </c>
      <c r="B19" cm="1">
        <f t="array" aca="1" ref="B19" ca="1">IF($A19&gt;Data!$B$2,NA(),SUMPRODUCT(fMask*(colDOI&gt;=$A19)*(colDOI&lt;$D19)))</f>
        <v>6</v>
      </c>
      <c r="C19" cm="1">
        <f t="array" aca="1" ref="C19" ca="1">IF($A19&gt;Data!$B$2,NA(),SUMPRODUCT(fMask*(colDOI&gt;=$A19)*(colDOI&lt;$D19)*(colRec="Yes")))</f>
        <v>0</v>
      </c>
      <c r="D19" s="198">
        <f t="shared" si="1"/>
        <v>46055</v>
      </c>
      <c r="E19" s="9" t="str">
        <f t="shared" si="0"/>
        <v>1/26–2/1</v>
      </c>
      <c r="F19" s="9" t="s">
        <v>1313</v>
      </c>
      <c r="G19">
        <f ca="1">IF(G22&gt;0,"n/a - filtered",(G15-G16)+(G17-G18))</f>
        <v>0</v>
      </c>
    </row>
    <row r="20" spans="1:7" x14ac:dyDescent="0.2">
      <c r="A20" s="198">
        <f t="shared" si="2"/>
        <v>46055</v>
      </c>
      <c r="B20" cm="1">
        <f t="array" aca="1" ref="B20" ca="1">IF($A20&gt;Data!$B$2,NA(),SUMPRODUCT(fMask*(colDOI&gt;=$A20)*(colDOI&lt;$D20)))</f>
        <v>10</v>
      </c>
      <c r="C20" cm="1">
        <f t="array" aca="1" ref="C20" ca="1">IF($A20&gt;Data!$B$2,NA(),SUMPRODUCT(fMask*(colDOI&gt;=$A20)*(colDOI&lt;$D20)*(colRec="Yes")))</f>
        <v>0</v>
      </c>
      <c r="D20" s="198">
        <f t="shared" si="1"/>
        <v>46062</v>
      </c>
      <c r="E20" s="9" t="str">
        <f t="shared" si="0"/>
        <v>2/2–2/8</v>
      </c>
      <c r="F20" s="9" t="s">
        <v>1309</v>
      </c>
      <c r="G20" cm="1">
        <f t="array" ref="G20">SUMPRODUCT(--(D15:D44&lt;&gt;A16:A45))</f>
        <v>0</v>
      </c>
    </row>
    <row r="21" spans="1:7" x14ac:dyDescent="0.2">
      <c r="A21" s="198">
        <f t="shared" si="2"/>
        <v>46062</v>
      </c>
      <c r="B21" cm="1">
        <f t="array" aca="1" ref="B21" ca="1">IF($A21&gt;Data!$B$2,NA(),SUMPRODUCT(fMask*(colDOI&gt;=$A21)*(colDOI&lt;$D21)))</f>
        <v>8</v>
      </c>
      <c r="C21" cm="1">
        <f t="array" aca="1" ref="C21" ca="1">IF($A21&gt;Data!$B$2,NA(),SUMPRODUCT(fMask*(colDOI&gt;=$A21)*(colDOI&lt;$D21)*(colRec="Yes")))</f>
        <v>0</v>
      </c>
      <c r="D21" s="198">
        <f t="shared" si="1"/>
        <v>46069</v>
      </c>
      <c r="E21" s="9" t="str">
        <f t="shared" si="0"/>
        <v>2/9–2/15</v>
      </c>
      <c r="F21" s="9" t="s">
        <v>1310</v>
      </c>
      <c r="G21">
        <f>Data!B3</f>
        <v>2026</v>
      </c>
    </row>
    <row r="22" spans="1:7" x14ac:dyDescent="0.2">
      <c r="A22" s="198">
        <f t="shared" si="2"/>
        <v>46069</v>
      </c>
      <c r="B22" cm="1">
        <f t="array" aca="1" ref="B22" ca="1">IF($A22&gt;Data!$B$2,NA(),SUMPRODUCT(fMask*(colDOI&gt;=$A22)*(colDOI&lt;$D22)))</f>
        <v>10</v>
      </c>
      <c r="C22" cm="1">
        <f t="array" aca="1" ref="C22" ca="1">IF($A22&gt;Data!$B$2,NA(),SUMPRODUCT(fMask*(colDOI&gt;=$A22)*(colDOI&lt;$D22)*(colRec="Yes")))</f>
        <v>0</v>
      </c>
      <c r="D22" s="198">
        <f t="shared" si="1"/>
        <v>46076</v>
      </c>
      <c r="E22" s="9" t="str">
        <f t="shared" si="0"/>
        <v>2/16–2/22</v>
      </c>
      <c r="F22" s="9" t="s">
        <v>1312</v>
      </c>
      <c r="G22">
        <f>--(selDept&lt;&gt;"(All)")+--(selArea&lt;&gt;"(All)")+--(selSup&lt;&gt;"(All)")+--(selType&lt;&gt;"(All)")+--(selESI&lt;&gt;"(All)")+--(selRec&lt;&gt;"(All)")+--(selYear&lt;&gt;"(All)")</f>
        <v>0</v>
      </c>
    </row>
    <row r="23" spans="1:7" x14ac:dyDescent="0.2">
      <c r="A23" s="198">
        <f t="shared" si="2"/>
        <v>46076</v>
      </c>
      <c r="B23" cm="1">
        <f t="array" aca="1" ref="B23" ca="1">IF($A23&gt;Data!$B$2,NA(),SUMPRODUCT(fMask*(colDOI&gt;=$A23)*(colDOI&lt;$D23)))</f>
        <v>16</v>
      </c>
      <c r="C23" cm="1">
        <f t="array" aca="1" ref="C23" ca="1">IF($A23&gt;Data!$B$2,NA(),SUMPRODUCT(fMask*(colDOI&gt;=$A23)*(colDOI&lt;$D23)*(colRec="Yes")))</f>
        <v>0</v>
      </c>
      <c r="D23" s="198">
        <f t="shared" si="1"/>
        <v>46083</v>
      </c>
      <c r="E23" s="9" t="str">
        <f t="shared" si="0"/>
        <v>2/23–3/1</v>
      </c>
    </row>
    <row r="24" spans="1:7" x14ac:dyDescent="0.2">
      <c r="A24" s="198">
        <f t="shared" si="2"/>
        <v>46083</v>
      </c>
      <c r="B24" cm="1">
        <f t="array" aca="1" ref="B24" ca="1">IF($A24&gt;Data!$B$2,NA(),SUMPRODUCT(fMask*(colDOI&gt;=$A24)*(colDOI&lt;$D24)))</f>
        <v>12</v>
      </c>
      <c r="C24" cm="1">
        <f t="array" aca="1" ref="C24" ca="1">IF($A24&gt;Data!$B$2,NA(),SUMPRODUCT(fMask*(colDOI&gt;=$A24)*(colDOI&lt;$D24)*(colRec="Yes")))</f>
        <v>1</v>
      </c>
      <c r="D24" s="198">
        <f t="shared" si="1"/>
        <v>46090</v>
      </c>
      <c r="E24" s="9" t="str">
        <f t="shared" si="0"/>
        <v>3/2–3/8</v>
      </c>
    </row>
    <row r="25" spans="1:7" x14ac:dyDescent="0.2">
      <c r="A25" s="198">
        <f t="shared" si="2"/>
        <v>46090</v>
      </c>
      <c r="B25" cm="1">
        <f t="array" aca="1" ref="B25" ca="1">IF($A25&gt;Data!$B$2,NA(),SUMPRODUCT(fMask*(colDOI&gt;=$A25)*(colDOI&lt;$D25)))</f>
        <v>3</v>
      </c>
      <c r="C25" cm="1">
        <f t="array" aca="1" ref="C25" ca="1">IF($A25&gt;Data!$B$2,NA(),SUMPRODUCT(fMask*(colDOI&gt;=$A25)*(colDOI&lt;$D25)*(colRec="Yes")))</f>
        <v>0</v>
      </c>
      <c r="D25" s="198">
        <f t="shared" si="1"/>
        <v>46097</v>
      </c>
      <c r="E25" s="9" t="str">
        <f t="shared" si="0"/>
        <v>3/9–3/15</v>
      </c>
    </row>
    <row r="26" spans="1:7" x14ac:dyDescent="0.2">
      <c r="A26" s="198">
        <f t="shared" si="2"/>
        <v>46097</v>
      </c>
      <c r="B26" cm="1">
        <f t="array" aca="1" ref="B26" ca="1">IF($A26&gt;Data!$B$2,NA(),SUMPRODUCT(fMask*(colDOI&gt;=$A26)*(colDOI&lt;$D26)))</f>
        <v>9</v>
      </c>
      <c r="C26" cm="1">
        <f t="array" aca="1" ref="C26" ca="1">IF($A26&gt;Data!$B$2,NA(),SUMPRODUCT(fMask*(colDOI&gt;=$A26)*(colDOI&lt;$D26)*(colRec="Yes")))</f>
        <v>0</v>
      </c>
      <c r="D26" s="198">
        <f t="shared" si="1"/>
        <v>46104</v>
      </c>
      <c r="E26" s="9" t="str">
        <f t="shared" si="0"/>
        <v>3/16–3/22</v>
      </c>
    </row>
    <row r="27" spans="1:7" x14ac:dyDescent="0.2">
      <c r="A27" s="198">
        <f t="shared" si="2"/>
        <v>46104</v>
      </c>
      <c r="B27" cm="1">
        <f t="array" aca="1" ref="B27" ca="1">IF($A27&gt;Data!$B$2,NA(),SUMPRODUCT(fMask*(colDOI&gt;=$A27)*(colDOI&lt;$D27)))</f>
        <v>4</v>
      </c>
      <c r="C27" cm="1">
        <f t="array" aca="1" ref="C27" ca="1">IF($A27&gt;Data!$B$2,NA(),SUMPRODUCT(fMask*(colDOI&gt;=$A27)*(colDOI&lt;$D27)*(colRec="Yes")))</f>
        <v>0</v>
      </c>
      <c r="D27" s="198">
        <f t="shared" si="1"/>
        <v>46111</v>
      </c>
      <c r="E27" s="9" t="str">
        <f t="shared" si="0"/>
        <v>3/23–3/29</v>
      </c>
    </row>
    <row r="28" spans="1:7" x14ac:dyDescent="0.2">
      <c r="A28" s="198">
        <f t="shared" si="2"/>
        <v>46111</v>
      </c>
      <c r="B28" cm="1">
        <f t="array" aca="1" ref="B28" ca="1">IF($A28&gt;Data!$B$2,NA(),SUMPRODUCT(fMask*(colDOI&gt;=$A28)*(colDOI&lt;$D28)))</f>
        <v>9</v>
      </c>
      <c r="C28" cm="1">
        <f t="array" aca="1" ref="C28" ca="1">IF($A28&gt;Data!$B$2,NA(),SUMPRODUCT(fMask*(colDOI&gt;=$A28)*(colDOI&lt;$D28)*(colRec="Yes")))</f>
        <v>1</v>
      </c>
      <c r="D28" s="198">
        <f t="shared" si="1"/>
        <v>46118</v>
      </c>
      <c r="E28" s="9" t="str">
        <f t="shared" si="0"/>
        <v>3/30–4/5</v>
      </c>
    </row>
    <row r="29" spans="1:7" x14ac:dyDescent="0.2">
      <c r="A29" s="198">
        <f t="shared" si="2"/>
        <v>46118</v>
      </c>
      <c r="B29" cm="1">
        <f t="array" aca="1" ref="B29" ca="1">IF($A29&gt;Data!$B$2,NA(),SUMPRODUCT(fMask*(colDOI&gt;=$A29)*(colDOI&lt;$D29)))</f>
        <v>15</v>
      </c>
      <c r="C29" cm="1">
        <f t="array" aca="1" ref="C29" ca="1">IF($A29&gt;Data!$B$2,NA(),SUMPRODUCT(fMask*(colDOI&gt;=$A29)*(colDOI&lt;$D29)*(colRec="Yes")))</f>
        <v>0</v>
      </c>
      <c r="D29" s="198">
        <f t="shared" si="1"/>
        <v>46125</v>
      </c>
      <c r="E29" s="9" t="str">
        <f t="shared" si="0"/>
        <v>4/6–4/12</v>
      </c>
    </row>
    <row r="30" spans="1:7" x14ac:dyDescent="0.2">
      <c r="A30" s="198">
        <f t="shared" si="2"/>
        <v>46125</v>
      </c>
      <c r="B30" cm="1">
        <f t="array" aca="1" ref="B30" ca="1">IF($A30&gt;Data!$B$2,NA(),SUMPRODUCT(fMask*(colDOI&gt;=$A30)*(colDOI&lt;$D30)))</f>
        <v>10</v>
      </c>
      <c r="C30" cm="1">
        <f t="array" aca="1" ref="C30" ca="1">IF($A30&gt;Data!$B$2,NA(),SUMPRODUCT(fMask*(colDOI&gt;=$A30)*(colDOI&lt;$D30)*(colRec="Yes")))</f>
        <v>0</v>
      </c>
      <c r="D30" s="198">
        <f t="shared" si="1"/>
        <v>46132</v>
      </c>
      <c r="E30" s="9" t="str">
        <f t="shared" si="0"/>
        <v>4/13–4/19</v>
      </c>
    </row>
    <row r="31" spans="1:7" x14ac:dyDescent="0.2">
      <c r="A31" s="198">
        <f t="shared" si="2"/>
        <v>46132</v>
      </c>
      <c r="B31" cm="1">
        <f t="array" aca="1" ref="B31" ca="1">IF($A31&gt;Data!$B$2,NA(),SUMPRODUCT(fMask*(colDOI&gt;=$A31)*(colDOI&lt;$D31)))</f>
        <v>14</v>
      </c>
      <c r="C31" cm="1">
        <f t="array" aca="1" ref="C31" ca="1">IF($A31&gt;Data!$B$2,NA(),SUMPRODUCT(fMask*(colDOI&gt;=$A31)*(colDOI&lt;$D31)*(colRec="Yes")))</f>
        <v>0</v>
      </c>
      <c r="D31" s="198">
        <f t="shared" si="1"/>
        <v>46139</v>
      </c>
      <c r="E31" s="9" t="str">
        <f t="shared" si="0"/>
        <v>4/20–4/26</v>
      </c>
    </row>
    <row r="32" spans="1:7" x14ac:dyDescent="0.2">
      <c r="A32" s="198">
        <f t="shared" si="2"/>
        <v>46139</v>
      </c>
      <c r="B32" cm="1">
        <f t="array" aca="1" ref="B32" ca="1">IF($A32&gt;Data!$B$2,NA(),SUMPRODUCT(fMask*(colDOI&gt;=$A32)*(colDOI&lt;$D32)))</f>
        <v>4</v>
      </c>
      <c r="C32" cm="1">
        <f t="array" aca="1" ref="C32" ca="1">IF($A32&gt;Data!$B$2,NA(),SUMPRODUCT(fMask*(colDOI&gt;=$A32)*(colDOI&lt;$D32)*(colRec="Yes")))</f>
        <v>0</v>
      </c>
      <c r="D32" s="198">
        <f t="shared" si="1"/>
        <v>46146</v>
      </c>
      <c r="E32" s="9" t="str">
        <f t="shared" si="0"/>
        <v>4/27–5/3</v>
      </c>
    </row>
    <row r="33" spans="1:5" x14ac:dyDescent="0.2">
      <c r="A33" s="198">
        <f t="shared" si="2"/>
        <v>46146</v>
      </c>
      <c r="B33" cm="1">
        <f t="array" aca="1" ref="B33" ca="1">IF($A33&gt;Data!$B$2,NA(),SUMPRODUCT(fMask*(colDOI&gt;=$A33)*(colDOI&lt;$D33)))</f>
        <v>5</v>
      </c>
      <c r="C33" cm="1">
        <f t="array" aca="1" ref="C33" ca="1">IF($A33&gt;Data!$B$2,NA(),SUMPRODUCT(fMask*(colDOI&gt;=$A33)*(colDOI&lt;$D33)*(colRec="Yes")))</f>
        <v>0</v>
      </c>
      <c r="D33" s="198">
        <f t="shared" si="1"/>
        <v>46153</v>
      </c>
      <c r="E33" s="9" t="str">
        <f t="shared" si="0"/>
        <v>5/4–5/10</v>
      </c>
    </row>
    <row r="34" spans="1:5" x14ac:dyDescent="0.2">
      <c r="A34" s="198">
        <f t="shared" si="2"/>
        <v>46153</v>
      </c>
      <c r="B34" cm="1">
        <f t="array" aca="1" ref="B34" ca="1">IF($A34&gt;Data!$B$2,NA(),SUMPRODUCT(fMask*(colDOI&gt;=$A34)*(colDOI&lt;$D34)))</f>
        <v>7</v>
      </c>
      <c r="C34" cm="1">
        <f t="array" aca="1" ref="C34" ca="1">IF($A34&gt;Data!$B$2,NA(),SUMPRODUCT(fMask*(colDOI&gt;=$A34)*(colDOI&lt;$D34)*(colRec="Yes")))</f>
        <v>1</v>
      </c>
      <c r="D34" s="198">
        <f t="shared" si="1"/>
        <v>46160</v>
      </c>
      <c r="E34" s="9" t="str">
        <f t="shared" si="0"/>
        <v>5/11–5/17</v>
      </c>
    </row>
    <row r="35" spans="1:5" x14ac:dyDescent="0.2">
      <c r="A35" s="198">
        <f t="shared" si="2"/>
        <v>46160</v>
      </c>
      <c r="B35" cm="1">
        <f t="array" aca="1" ref="B35" ca="1">IF($A35&gt;Data!$B$2,NA(),SUMPRODUCT(fMask*(colDOI&gt;=$A35)*(colDOI&lt;$D35)))</f>
        <v>3</v>
      </c>
      <c r="C35" cm="1">
        <f t="array" aca="1" ref="C35" ca="1">IF($A35&gt;Data!$B$2,NA(),SUMPRODUCT(fMask*(colDOI&gt;=$A35)*(colDOI&lt;$D35)*(colRec="Yes")))</f>
        <v>0</v>
      </c>
      <c r="D35" s="198">
        <f t="shared" si="1"/>
        <v>46167</v>
      </c>
      <c r="E35" s="9" t="str">
        <f t="shared" si="0"/>
        <v>5/18–5/24</v>
      </c>
    </row>
    <row r="36" spans="1:5" x14ac:dyDescent="0.2">
      <c r="A36" s="198">
        <f t="shared" si="2"/>
        <v>46167</v>
      </c>
      <c r="B36" cm="1">
        <f t="array" aca="1" ref="B36" ca="1">IF($A36&gt;Data!$B$2,NA(),SUMPRODUCT(fMask*(colDOI&gt;=$A36)*(colDOI&lt;$D36)))</f>
        <v>9</v>
      </c>
      <c r="C36" cm="1">
        <f t="array" aca="1" ref="C36" ca="1">IF($A36&gt;Data!$B$2,NA(),SUMPRODUCT(fMask*(colDOI&gt;=$A36)*(colDOI&lt;$D36)*(colRec="Yes")))</f>
        <v>0</v>
      </c>
      <c r="D36" s="198">
        <f t="shared" si="1"/>
        <v>46174</v>
      </c>
      <c r="E36" s="9" t="str">
        <f t="shared" si="0"/>
        <v>5/25–5/31</v>
      </c>
    </row>
    <row r="37" spans="1:5" x14ac:dyDescent="0.2">
      <c r="A37" s="198">
        <f t="shared" si="2"/>
        <v>46174</v>
      </c>
      <c r="B37" cm="1">
        <f t="array" aca="1" ref="B37" ca="1">IF($A37&gt;Data!$B$2,NA(),SUMPRODUCT(fMask*(colDOI&gt;=$A37)*(colDOI&lt;$D37)))</f>
        <v>9</v>
      </c>
      <c r="C37" cm="1">
        <f t="array" aca="1" ref="C37" ca="1">IF($A37&gt;Data!$B$2,NA(),SUMPRODUCT(fMask*(colDOI&gt;=$A37)*(colDOI&lt;$D37)*(colRec="Yes")))</f>
        <v>0</v>
      </c>
      <c r="D37" s="198">
        <f t="shared" si="1"/>
        <v>46181</v>
      </c>
      <c r="E37" s="9" t="str">
        <f t="shared" si="0"/>
        <v>6/1–6/7</v>
      </c>
    </row>
    <row r="38" spans="1:5" x14ac:dyDescent="0.2">
      <c r="A38" s="198">
        <f t="shared" si="2"/>
        <v>46181</v>
      </c>
      <c r="B38" cm="1">
        <f t="array" aca="1" ref="B38" ca="1">IF($A38&gt;Data!$B$2,NA(),SUMPRODUCT(fMask*(colDOI&gt;=$A38)*(colDOI&lt;$D38)))</f>
        <v>11</v>
      </c>
      <c r="C38" cm="1">
        <f t="array" aca="1" ref="C38" ca="1">IF($A38&gt;Data!$B$2,NA(),SUMPRODUCT(fMask*(colDOI&gt;=$A38)*(colDOI&lt;$D38)*(colRec="Yes")))</f>
        <v>1</v>
      </c>
      <c r="D38" s="198">
        <f t="shared" si="1"/>
        <v>46188</v>
      </c>
      <c r="E38" s="9" t="str">
        <f t="shared" si="0"/>
        <v>6/8–6/14</v>
      </c>
    </row>
    <row r="39" spans="1:5" x14ac:dyDescent="0.2">
      <c r="A39" s="198">
        <f t="shared" si="2"/>
        <v>46188</v>
      </c>
      <c r="B39" cm="1">
        <f t="array" aca="1" ref="B39" ca="1">IF($A39&gt;Data!$B$2,NA(),SUMPRODUCT(fMask*(colDOI&gt;=$A39)*(colDOI&lt;$D39)))</f>
        <v>10</v>
      </c>
      <c r="C39" cm="1">
        <f t="array" aca="1" ref="C39" ca="1">IF($A39&gt;Data!$B$2,NA(),SUMPRODUCT(fMask*(colDOI&gt;=$A39)*(colDOI&lt;$D39)*(colRec="Yes")))</f>
        <v>1</v>
      </c>
      <c r="D39" s="198">
        <f t="shared" si="1"/>
        <v>46195</v>
      </c>
      <c r="E39" s="9" t="str">
        <f t="shared" si="0"/>
        <v>6/15–6/21</v>
      </c>
    </row>
    <row r="40" spans="1:5" x14ac:dyDescent="0.2">
      <c r="A40" s="198">
        <f t="shared" si="2"/>
        <v>46195</v>
      </c>
      <c r="B40" cm="1">
        <f t="array" aca="1" ref="B40" ca="1">IF($A40&gt;Data!$B$2,NA(),SUMPRODUCT(fMask*(colDOI&gt;=$A40)*(colDOI&lt;$D40)))</f>
        <v>19</v>
      </c>
      <c r="C40" cm="1">
        <f t="array" aca="1" ref="C40" ca="1">IF($A40&gt;Data!$B$2,NA(),SUMPRODUCT(fMask*(colDOI&gt;=$A40)*(colDOI&lt;$D40)*(colRec="Yes")))</f>
        <v>0</v>
      </c>
      <c r="D40" s="198">
        <f t="shared" si="1"/>
        <v>46202</v>
      </c>
      <c r="E40" s="9" t="str">
        <f t="shared" si="0"/>
        <v>6/22–6/28</v>
      </c>
    </row>
    <row r="41" spans="1:5" x14ac:dyDescent="0.2">
      <c r="A41" s="198">
        <f t="shared" si="2"/>
        <v>46202</v>
      </c>
      <c r="B41" cm="1">
        <f t="array" aca="1" ref="B41" ca="1">IF($A41&gt;Data!$B$2,NA(),SUMPRODUCT(fMask*(colDOI&gt;=$A41)*(colDOI&lt;$D41)))</f>
        <v>19</v>
      </c>
      <c r="C41" cm="1">
        <f t="array" aca="1" ref="C41" ca="1">IF($A41&gt;Data!$B$2,NA(),SUMPRODUCT(fMask*(colDOI&gt;=$A41)*(colDOI&lt;$D41)*(colRec="Yes")))</f>
        <v>1</v>
      </c>
      <c r="D41" s="198">
        <f t="shared" si="1"/>
        <v>46209</v>
      </c>
      <c r="E41" s="9" t="str">
        <f t="shared" si="0"/>
        <v>6/29–7/5</v>
      </c>
    </row>
    <row r="42" spans="1:5" x14ac:dyDescent="0.2">
      <c r="A42" s="198">
        <f t="shared" si="2"/>
        <v>46209</v>
      </c>
      <c r="B42" cm="1">
        <f t="array" aca="1" ref="B42" ca="1">IF($A42&gt;Data!$B$2,NA(),SUMPRODUCT(fMask*(colDOI&gt;=$A42)*(colDOI&lt;$D42)))</f>
        <v>16</v>
      </c>
      <c r="C42" cm="1">
        <f t="array" aca="1" ref="C42" ca="1">IF($A42&gt;Data!$B$2,NA(),SUMPRODUCT(fMask*(colDOI&gt;=$A42)*(colDOI&lt;$D42)*(colRec="Yes")))</f>
        <v>0</v>
      </c>
      <c r="D42" s="198">
        <f t="shared" si="1"/>
        <v>46216</v>
      </c>
      <c r="E42" s="9" t="str">
        <f t="shared" si="0"/>
        <v>7/6–7/12</v>
      </c>
    </row>
    <row r="43" spans="1:5" x14ac:dyDescent="0.2">
      <c r="A43" s="198">
        <f t="shared" si="2"/>
        <v>46216</v>
      </c>
      <c r="B43" cm="1">
        <f t="array" aca="1" ref="B43" ca="1">IF($A43&gt;Data!$B$2,NA(),SUMPRODUCT(fMask*(colDOI&gt;=$A43)*(colDOI&lt;$D43)))</f>
        <v>7</v>
      </c>
      <c r="C43" cm="1">
        <f t="array" aca="1" ref="C43" ca="1">IF($A43&gt;Data!$B$2,NA(),SUMPRODUCT(fMask*(colDOI&gt;=$A43)*(colDOI&lt;$D43)*(colRec="Yes")))</f>
        <v>0</v>
      </c>
      <c r="D43" s="198">
        <f t="shared" si="1"/>
        <v>46223</v>
      </c>
      <c r="E43" s="9" t="str">
        <f t="shared" si="0"/>
        <v>7/13–7/19</v>
      </c>
    </row>
    <row r="44" spans="1:5" x14ac:dyDescent="0.2">
      <c r="A44" s="198">
        <f t="shared" si="2"/>
        <v>46223</v>
      </c>
      <c r="B44" cm="1">
        <f t="array" aca="1" ref="B44" ca="1">IF($A44&gt;Data!$B$2,NA(),SUMPRODUCT(fMask*(colDOI&gt;=$A44)*(colDOI&lt;$D44)))</f>
        <v>8</v>
      </c>
      <c r="C44" cm="1">
        <f t="array" aca="1" ref="C44" ca="1">IF($A44&gt;Data!$B$2,NA(),SUMPRODUCT(fMask*(colDOI&gt;=$A44)*(colDOI&lt;$D44)*(colRec="Yes")))</f>
        <v>0</v>
      </c>
      <c r="D44" s="198">
        <f t="shared" si="1"/>
        <v>46230</v>
      </c>
      <c r="E44" s="9" t="str">
        <f t="shared" si="0"/>
        <v>7/20–7/26</v>
      </c>
    </row>
    <row r="45" spans="1:5" x14ac:dyDescent="0.2">
      <c r="A45" s="198">
        <f t="shared" si="2"/>
        <v>46230</v>
      </c>
      <c r="B45" cm="1">
        <f t="array" aca="1" ref="B45" ca="1">IF($A45&gt;Data!$B$2,NA(),SUMPRODUCT(fMask*(colDOI&gt;=$A45)*(colDOI&lt;$D45)))</f>
        <v>0</v>
      </c>
      <c r="C45" cm="1">
        <f t="array" aca="1" ref="C45" ca="1">IF($A45&gt;Data!$B$2,NA(),SUMPRODUCT(fMask*(colDOI&gt;=$A45)*(colDOI&lt;$D45)*(colRec="Yes")))</f>
        <v>0</v>
      </c>
      <c r="D45" s="198">
        <f>A45+7</f>
        <v>46237</v>
      </c>
      <c r="E45" s="9" t="str">
        <f t="shared" si="0"/>
        <v>7/27–8/2</v>
      </c>
    </row>
    <row r="47" spans="1:5" ht="15" x14ac:dyDescent="0.25">
      <c r="A47" s="197" t="s">
        <v>1329</v>
      </c>
    </row>
    <row r="48" spans="1:5" ht="15" x14ac:dyDescent="0.25">
      <c r="A48" s="197" t="s">
        <v>1330</v>
      </c>
      <c r="B48" s="197" t="s">
        <v>1053</v>
      </c>
      <c r="C48" s="197" t="s">
        <v>1054</v>
      </c>
    </row>
    <row r="49" spans="1:3" x14ac:dyDescent="0.2">
      <c r="A49" s="1">
        <f>DATE(Data!$B$3,7,1)</f>
        <v>46204</v>
      </c>
      <c r="B49">
        <f>COUNTIFS(Master_List_Of_Injuries[DOI],$A49)</f>
        <v>2</v>
      </c>
      <c r="C49">
        <f>COUNTIFS(Master_List_Of_Injuries[DOI],$A49,Master_List_Of_Injuries[Recordable_Flag],"Yes")</f>
        <v>1</v>
      </c>
    </row>
    <row r="50" spans="1:3" x14ac:dyDescent="0.2">
      <c r="A50" s="1">
        <f>DATE(Data!$B$3,7,2)</f>
        <v>46205</v>
      </c>
      <c r="B50">
        <f>COUNTIFS(Master_List_Of_Injuries[DOI],$A50)</f>
        <v>5</v>
      </c>
      <c r="C50">
        <f>COUNTIFS(Master_List_Of_Injuries[DOI],$A50,Master_List_Of_Injuries[Recordable_Flag],"Yes")</f>
        <v>0</v>
      </c>
    </row>
    <row r="51" spans="1:3" x14ac:dyDescent="0.2">
      <c r="A51" s="1">
        <f>DATE(Data!$B$3,7,3)</f>
        <v>46206</v>
      </c>
      <c r="B51">
        <f>COUNTIFS(Master_List_Of_Injuries[DOI],$A51)</f>
        <v>5</v>
      </c>
      <c r="C51">
        <f>COUNTIFS(Master_List_Of_Injuries[DOI],$A51,Master_List_Of_Injuries[Recordable_Flag],"Yes")</f>
        <v>0</v>
      </c>
    </row>
    <row r="52" spans="1:3" x14ac:dyDescent="0.2">
      <c r="A52" s="1">
        <f>DATE(Data!$B$3,7,4)</f>
        <v>46207</v>
      </c>
      <c r="B52">
        <f>COUNTIFS(Master_List_Of_Injuries[DOI],$A52)</f>
        <v>0</v>
      </c>
      <c r="C52">
        <f>COUNTIFS(Master_List_Of_Injuries[DOI],$A52,Master_List_Of_Injuries[Recordable_Flag],"Yes")</f>
        <v>0</v>
      </c>
    </row>
    <row r="53" spans="1:3" x14ac:dyDescent="0.2">
      <c r="A53" s="1">
        <f>DATE(Data!$B$3,7,5)</f>
        <v>46208</v>
      </c>
      <c r="B53">
        <f>COUNTIFS(Master_List_Of_Injuries[DOI],$A53)</f>
        <v>0</v>
      </c>
      <c r="C53">
        <f>COUNTIFS(Master_List_Of_Injuries[DOI],$A53,Master_List_Of_Injuries[Recordable_Flag],"Yes")</f>
        <v>0</v>
      </c>
    </row>
    <row r="54" spans="1:3" x14ac:dyDescent="0.2">
      <c r="A54" s="1">
        <f>DATE(Data!$B$3,7,6)</f>
        <v>46209</v>
      </c>
      <c r="B54">
        <f>COUNTIFS(Master_List_Of_Injuries[DOI],$A54)</f>
        <v>0</v>
      </c>
      <c r="C54">
        <f>COUNTIFS(Master_List_Of_Injuries[DOI],$A54,Master_List_Of_Injuries[Recordable_Flag],"Yes")</f>
        <v>0</v>
      </c>
    </row>
    <row r="55" spans="1:3" x14ac:dyDescent="0.2">
      <c r="A55" s="1">
        <f>DATE(Data!$B$3,7,7)</f>
        <v>46210</v>
      </c>
      <c r="B55">
        <f>COUNTIFS(Master_List_Of_Injuries[DOI],$A55)</f>
        <v>3</v>
      </c>
      <c r="C55">
        <f>COUNTIFS(Master_List_Of_Injuries[DOI],$A55,Master_List_Of_Injuries[Recordable_Flag],"Yes")</f>
        <v>0</v>
      </c>
    </row>
    <row r="56" spans="1:3" x14ac:dyDescent="0.2">
      <c r="A56" s="1">
        <f>DATE(Data!$B$3,7,8)</f>
        <v>46211</v>
      </c>
      <c r="B56">
        <f>COUNTIFS(Master_List_Of_Injuries[DOI],$A56)</f>
        <v>5</v>
      </c>
      <c r="C56">
        <f>COUNTIFS(Master_List_Of_Injuries[DOI],$A56,Master_List_Of_Injuries[Recordable_Flag],"Yes")</f>
        <v>0</v>
      </c>
    </row>
    <row r="57" spans="1:3" x14ac:dyDescent="0.2">
      <c r="A57" s="1">
        <f>DATE(Data!$B$3,7,9)</f>
        <v>46212</v>
      </c>
      <c r="B57">
        <f>COUNTIFS(Master_List_Of_Injuries[DOI],$A57)</f>
        <v>5</v>
      </c>
      <c r="C57">
        <f>COUNTIFS(Master_List_Of_Injuries[DOI],$A57,Master_List_Of_Injuries[Recordable_Flag],"Yes")</f>
        <v>0</v>
      </c>
    </row>
    <row r="58" spans="1:3" x14ac:dyDescent="0.2">
      <c r="A58" s="1">
        <f>DATE(Data!$B$3,7,10)</f>
        <v>46213</v>
      </c>
      <c r="B58">
        <f>COUNTIFS(Master_List_Of_Injuries[DOI],$A58)</f>
        <v>3</v>
      </c>
      <c r="C58">
        <f>COUNTIFS(Master_List_Of_Injuries[DOI],$A58,Master_List_Of_Injuries[Recordable_Flag],"Yes")</f>
        <v>0</v>
      </c>
    </row>
    <row r="59" spans="1:3" x14ac:dyDescent="0.2">
      <c r="A59" s="1">
        <f>DATE(Data!$B$3,7,11)</f>
        <v>46214</v>
      </c>
      <c r="B59">
        <f>COUNTIFS(Master_List_Of_Injuries[DOI],$A59)</f>
        <v>0</v>
      </c>
      <c r="C59">
        <f>COUNTIFS(Master_List_Of_Injuries[DOI],$A59,Master_List_Of_Injuries[Recordable_Flag],"Yes")</f>
        <v>0</v>
      </c>
    </row>
    <row r="60" spans="1:3" x14ac:dyDescent="0.2">
      <c r="A60" s="1">
        <f>DATE(Data!$B$3,7,12)</f>
        <v>46215</v>
      </c>
      <c r="B60">
        <f>COUNTIFS(Master_List_Of_Injuries[DOI],$A60)</f>
        <v>0</v>
      </c>
      <c r="C60">
        <f>COUNTIFS(Master_List_Of_Injuries[DOI],$A60,Master_List_Of_Injuries[Recordable_Flag],"Yes")</f>
        <v>0</v>
      </c>
    </row>
    <row r="61" spans="1:3" x14ac:dyDescent="0.2">
      <c r="A61" s="1">
        <f>DATE(Data!$B$3,7,13)</f>
        <v>46216</v>
      </c>
      <c r="B61">
        <f>COUNTIFS(Master_List_Of_Injuries[DOI],$A61)</f>
        <v>1</v>
      </c>
      <c r="C61">
        <f>COUNTIFS(Master_List_Of_Injuries[DOI],$A61,Master_List_Of_Injuries[Recordable_Flag],"Yes")</f>
        <v>0</v>
      </c>
    </row>
    <row r="62" spans="1:3" x14ac:dyDescent="0.2">
      <c r="A62" s="1">
        <f>DATE(Data!$B$3,7,14)</f>
        <v>46217</v>
      </c>
      <c r="B62">
        <f>COUNTIFS(Master_List_Of_Injuries[DOI],$A62)</f>
        <v>4</v>
      </c>
      <c r="C62">
        <f>COUNTIFS(Master_List_Of_Injuries[DOI],$A62,Master_List_Of_Injuries[Recordable_Flag],"Yes")</f>
        <v>0</v>
      </c>
    </row>
    <row r="63" spans="1:3" x14ac:dyDescent="0.2">
      <c r="A63" s="1">
        <f>DATE(Data!$B$3,7,15)</f>
        <v>46218</v>
      </c>
      <c r="B63">
        <f>COUNTIFS(Master_List_Of_Injuries[DOI],$A63)</f>
        <v>1</v>
      </c>
      <c r="C63">
        <f>COUNTIFS(Master_List_Of_Injuries[DOI],$A63,Master_List_Of_Injuries[Recordable_Flag],"Yes")</f>
        <v>0</v>
      </c>
    </row>
    <row r="64" spans="1:3" x14ac:dyDescent="0.2">
      <c r="A64" s="1">
        <f>DATE(Data!$B$3,7,16)</f>
        <v>46219</v>
      </c>
      <c r="B64">
        <f>COUNTIFS(Master_List_Of_Injuries[DOI],$A64)</f>
        <v>0</v>
      </c>
      <c r="C64">
        <f>COUNTIFS(Master_List_Of_Injuries[DOI],$A64,Master_List_Of_Injuries[Recordable_Flag],"Yes")</f>
        <v>0</v>
      </c>
    </row>
    <row r="65" spans="1:3" x14ac:dyDescent="0.2">
      <c r="A65" s="1">
        <f>DATE(Data!$B$3,7,17)</f>
        <v>46220</v>
      </c>
      <c r="B65">
        <f>COUNTIFS(Master_List_Of_Injuries[DOI],$A65)</f>
        <v>1</v>
      </c>
      <c r="C65">
        <f>COUNTIFS(Master_List_Of_Injuries[DOI],$A65,Master_List_Of_Injuries[Recordable_Flag],"Yes")</f>
        <v>0</v>
      </c>
    </row>
    <row r="66" spans="1:3" x14ac:dyDescent="0.2">
      <c r="A66" s="1">
        <f>DATE(Data!$B$3,7,18)</f>
        <v>46221</v>
      </c>
      <c r="B66">
        <f>COUNTIFS(Master_List_Of_Injuries[DOI],$A66)</f>
        <v>0</v>
      </c>
      <c r="C66">
        <f>COUNTIFS(Master_List_Of_Injuries[DOI],$A66,Master_List_Of_Injuries[Recordable_Flag],"Yes")</f>
        <v>0</v>
      </c>
    </row>
    <row r="67" spans="1:3" x14ac:dyDescent="0.2">
      <c r="A67" s="1">
        <f>DATE(Data!$B$3,7,19)</f>
        <v>46222</v>
      </c>
      <c r="B67">
        <f>COUNTIFS(Master_List_Of_Injuries[DOI],$A67)</f>
        <v>0</v>
      </c>
      <c r="C67">
        <f>COUNTIFS(Master_List_Of_Injuries[DOI],$A67,Master_List_Of_Injuries[Recordable_Flag],"Yes")</f>
        <v>0</v>
      </c>
    </row>
    <row r="68" spans="1:3" x14ac:dyDescent="0.2">
      <c r="A68" s="1">
        <f>DATE(Data!$B$3,7,20)</f>
        <v>46223</v>
      </c>
      <c r="B68">
        <f>COUNTIFS(Master_List_Of_Injuries[DOI],$A68)</f>
        <v>1</v>
      </c>
      <c r="C68">
        <f>COUNTIFS(Master_List_Of_Injuries[DOI],$A68,Master_List_Of_Injuries[Recordable_Flag],"Yes")</f>
        <v>0</v>
      </c>
    </row>
    <row r="69" spans="1:3" x14ac:dyDescent="0.2">
      <c r="A69" s="1">
        <f>DATE(Data!$B$3,7,21)</f>
        <v>46224</v>
      </c>
      <c r="B69">
        <f>COUNTIFS(Master_List_Of_Injuries[DOI],$A69)</f>
        <v>2</v>
      </c>
      <c r="C69">
        <f>COUNTIFS(Master_List_Of_Injuries[DOI],$A69,Master_List_Of_Injuries[Recordable_Flag],"Yes")</f>
        <v>0</v>
      </c>
    </row>
    <row r="70" spans="1:3" x14ac:dyDescent="0.2">
      <c r="A70" s="1">
        <f>DATE(Data!$B$3,7,22)</f>
        <v>46225</v>
      </c>
      <c r="B70">
        <f>COUNTIFS(Master_List_Of_Injuries[DOI],$A70)</f>
        <v>3</v>
      </c>
      <c r="C70">
        <f>COUNTIFS(Master_List_Of_Injuries[DOI],$A70,Master_List_Of_Injuries[Recordable_Flag],"Yes")</f>
        <v>0</v>
      </c>
    </row>
    <row r="71" spans="1:3" x14ac:dyDescent="0.2">
      <c r="A71" s="1">
        <f>DATE(Data!$B$3,7,23)</f>
        <v>46226</v>
      </c>
      <c r="B71">
        <f>COUNTIFS(Master_List_Of_Injuries[DOI],$A71)</f>
        <v>1</v>
      </c>
      <c r="C71">
        <f>COUNTIFS(Master_List_Of_Injuries[DOI],$A71,Master_List_Of_Injuries[Recordable_Flag],"Yes")</f>
        <v>0</v>
      </c>
    </row>
    <row r="72" spans="1:3" x14ac:dyDescent="0.2">
      <c r="A72" s="1">
        <f>DATE(Data!$B$3,7,24)</f>
        <v>46227</v>
      </c>
      <c r="B72">
        <f>COUNTIFS(Master_List_Of_Injuries[DOI],$A72)</f>
        <v>1</v>
      </c>
      <c r="C72">
        <f>COUNTIFS(Master_List_Of_Injuries[DOI],$A72,Master_List_Of_Injuries[Recordable_Flag],"Yes")</f>
        <v>0</v>
      </c>
    </row>
    <row r="73" spans="1:3" x14ac:dyDescent="0.2">
      <c r="A73" s="1">
        <f>DATE(Data!$B$3,7,25)</f>
        <v>46228</v>
      </c>
      <c r="B73">
        <f>COUNTIFS(Master_List_Of_Injuries[DOI],$A73)</f>
        <v>0</v>
      </c>
      <c r="C73">
        <f>COUNTIFS(Master_List_Of_Injuries[DOI],$A73,Master_List_Of_Injuries[Recordable_Flag],"Yes")</f>
        <v>0</v>
      </c>
    </row>
    <row r="74" spans="1:3" x14ac:dyDescent="0.2">
      <c r="A74" s="1">
        <f>DATE(Data!$B$3,7,26)</f>
        <v>46229</v>
      </c>
      <c r="B74">
        <f>COUNTIFS(Master_List_Of_Injuries[DOI],$A74)</f>
        <v>0</v>
      </c>
      <c r="C74">
        <f>COUNTIFS(Master_List_Of_Injuries[DOI],$A74,Master_List_Of_Injuries[Recordable_Flag],"Yes")</f>
        <v>0</v>
      </c>
    </row>
    <row r="75" spans="1:3" x14ac:dyDescent="0.2">
      <c r="A75" s="1">
        <f>DATE(Data!$B$3,7,27)</f>
        <v>46230</v>
      </c>
      <c r="B75">
        <f>COUNTIFS(Master_List_Of_Injuries[DOI],$A75)</f>
        <v>0</v>
      </c>
      <c r="C75">
        <f>COUNTIFS(Master_List_Of_Injuries[DOI],$A75,Master_List_Of_Injuries[Recordable_Flag],"Yes")</f>
        <v>0</v>
      </c>
    </row>
    <row r="76" spans="1:3" x14ac:dyDescent="0.2">
      <c r="A76" s="1">
        <f>DATE(Data!$B$3,7,28)</f>
        <v>46231</v>
      </c>
      <c r="B76">
        <f>COUNTIFS(Master_List_Of_Injuries[DOI],$A76)</f>
        <v>0</v>
      </c>
      <c r="C76">
        <f>COUNTIFS(Master_List_Of_Injuries[DOI],$A76,Master_List_Of_Injuries[Recordable_Flag],"Yes")</f>
        <v>0</v>
      </c>
    </row>
    <row r="77" spans="1:3" x14ac:dyDescent="0.2">
      <c r="A77" s="1">
        <f>DATE(Data!$B$3,7,29)</f>
        <v>46232</v>
      </c>
      <c r="B77">
        <f>COUNTIFS(Master_List_Of_Injuries[DOI],$A77)</f>
        <v>0</v>
      </c>
      <c r="C77">
        <f>COUNTIFS(Master_List_Of_Injuries[DOI],$A77,Master_List_Of_Injuries[Recordable_Flag],"Yes")</f>
        <v>0</v>
      </c>
    </row>
    <row r="78" spans="1:3" x14ac:dyDescent="0.2">
      <c r="A78" s="1">
        <f>DATE(Data!$B$3,7,30)</f>
        <v>46233</v>
      </c>
      <c r="B78">
        <f>COUNTIFS(Master_List_Of_Injuries[DOI],$A78)</f>
        <v>0</v>
      </c>
      <c r="C78">
        <f>COUNTIFS(Master_List_Of_Injuries[DOI],$A78,Master_List_Of_Injuries[Recordable_Flag],"Yes")</f>
        <v>0</v>
      </c>
    </row>
    <row r="79" spans="1:3" x14ac:dyDescent="0.2">
      <c r="A79" s="1">
        <f>DATE(Data!$B$3,7,31)</f>
        <v>46234</v>
      </c>
      <c r="B79">
        <f>COUNTIFS(Master_List_Of_Injuries[DOI],$A79)</f>
        <v>0</v>
      </c>
      <c r="C79">
        <f>COUNTIFS(Master_List_Of_Injuries[DOI],$A79,Master_List_Of_Injuries[Recordable_Flag],"Yes")</f>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AA4A5-697D-4C82-B51E-69937891EA9F}">
  <dimension ref="A1:S64"/>
  <sheetViews>
    <sheetView topLeftCell="A31" zoomScale="85" zoomScaleNormal="85" workbookViewId="0">
      <selection activeCell="K99" sqref="K99"/>
    </sheetView>
  </sheetViews>
  <sheetFormatPr defaultRowHeight="14.25" x14ac:dyDescent="0.2"/>
  <cols>
    <col min="1" max="1" width="18.375" customWidth="1"/>
    <col min="2" max="3" width="10.125" bestFit="1" customWidth="1"/>
    <col min="4" max="4" width="11.625" customWidth="1"/>
    <col min="5" max="6" width="10.5" bestFit="1" customWidth="1"/>
    <col min="7" max="7" width="21.625" customWidth="1"/>
    <col min="8" max="8" width="11.625" customWidth="1"/>
    <col min="9" max="9" width="13.875" bestFit="1" customWidth="1"/>
    <col min="10" max="11" width="12.125" bestFit="1" customWidth="1"/>
    <col min="12" max="12" width="16.875" bestFit="1" customWidth="1"/>
    <col min="13" max="13" width="13.375" customWidth="1"/>
    <col min="14" max="14" width="10.625" bestFit="1" customWidth="1"/>
    <col min="15" max="15" width="7.5" bestFit="1" customWidth="1"/>
    <col min="16" max="16" width="5.5" bestFit="1" customWidth="1"/>
    <col min="17" max="17" width="5.125" bestFit="1" customWidth="1"/>
    <col min="18" max="18" width="4.375" bestFit="1" customWidth="1"/>
    <col min="19" max="19" width="7.375" customWidth="1"/>
    <col min="20" max="30" width="9.625" customWidth="1"/>
  </cols>
  <sheetData>
    <row r="1" spans="1:18" ht="30" customHeight="1" x14ac:dyDescent="0.2">
      <c r="A1" s="194" t="s">
        <v>1300</v>
      </c>
      <c r="B1" s="194"/>
      <c r="C1" s="194"/>
      <c r="D1" s="194"/>
      <c r="E1" s="194"/>
      <c r="F1" s="194"/>
      <c r="G1" s="194"/>
      <c r="H1" s="194"/>
      <c r="I1" s="194"/>
      <c r="J1" s="194"/>
      <c r="K1" s="194"/>
      <c r="L1" s="194"/>
      <c r="M1" s="194"/>
      <c r="N1" s="194"/>
      <c r="O1" s="194"/>
      <c r="P1" s="194"/>
      <c r="Q1" s="194"/>
      <c r="R1" s="194"/>
    </row>
    <row r="2" spans="1:18" ht="33.950000000000003" customHeight="1" x14ac:dyDescent="0.2">
      <c r="A2" s="195" t="str">
        <f>"Advanced view of live "&amp;$B$63&amp;" incidents through "&amp;Data!B63&amp;": concentration, momentum, risk score, and supervisor-area intersections."</f>
        <v>Advanced view of live 2026 incidents through July: concentration, momentum, risk score, and supervisor-area intersections.</v>
      </c>
      <c r="B2" s="195"/>
      <c r="C2" s="195"/>
      <c r="D2" s="195"/>
      <c r="E2" s="195"/>
      <c r="F2" s="195"/>
      <c r="G2" s="195"/>
      <c r="H2" s="195"/>
      <c r="I2" s="195"/>
      <c r="J2" s="195"/>
      <c r="K2" s="195"/>
      <c r="L2" s="195"/>
      <c r="M2" s="195"/>
      <c r="N2" s="195"/>
      <c r="O2" s="195"/>
      <c r="P2" s="195"/>
      <c r="Q2" s="195"/>
      <c r="R2" s="195"/>
    </row>
    <row r="4" spans="1:18" ht="15" x14ac:dyDescent="0.2">
      <c r="A4" s="196" t="s">
        <v>1079</v>
      </c>
      <c r="B4" s="196"/>
      <c r="C4" s="196"/>
      <c r="D4" s="196"/>
      <c r="E4" s="196"/>
      <c r="F4" s="196"/>
      <c r="G4" s="196"/>
      <c r="H4" s="196"/>
      <c r="I4" s="196"/>
      <c r="J4" s="196"/>
      <c r="K4" s="196"/>
      <c r="L4" s="196"/>
      <c r="M4" s="196"/>
      <c r="N4" s="196"/>
      <c r="O4" s="196"/>
      <c r="P4" s="196"/>
      <c r="Q4" s="196"/>
      <c r="R4" s="196"/>
    </row>
    <row r="5" spans="1:18" ht="42" customHeight="1" x14ac:dyDescent="0.2">
      <c r="A5" s="188" t="str">
        <f>"1. Area risk is concentrated but not isolated: the top 2 areas ("&amp;A16&amp;" and "&amp;A17&amp;") represent "&amp;TEXT(B16+B17,"0")&amp;" incidents, or "&amp;TEXT((B16+B17)/$A$11,"0%")&amp;" of "&amp;$B$63&amp;" YTD volume."</f>
        <v>1. Area risk is concentrated but not isolated: the top 2 areas (102 and 410) represent 55 incidents, or 20% of 2026 YTD volume.</v>
      </c>
      <c r="B5" s="188"/>
      <c r="C5" s="188"/>
      <c r="D5" s="188"/>
      <c r="E5" s="188"/>
      <c r="F5" s="188"/>
      <c r="G5" s="188"/>
      <c r="H5" s="188"/>
      <c r="I5" s="188"/>
      <c r="J5" s="188"/>
      <c r="K5" s="188"/>
      <c r="L5" s="188"/>
      <c r="M5" s="188"/>
      <c r="N5" s="188"/>
      <c r="O5" s="188"/>
      <c r="P5" s="188"/>
      <c r="Q5" s="188"/>
      <c r="R5" s="188"/>
    </row>
    <row r="6" spans="1:18" ht="42" customHeight="1" x14ac:dyDescent="0.2">
      <c r="A6" s="188" t="str">
        <f>"2. Supervisor concentration is meaningful: the top 5 supervisors represent "&amp;TEXT(SUM(B30:B34),"0")&amp;" incidents ("&amp;TEXT(SUM(B30:B34)/$A$11,"0%")&amp;"), led by "&amp;A30&amp;" with "&amp;B30&amp;"."</f>
        <v>2. Supervisor concentration is meaningful: the top 5 supervisors represent 108 incidents (39%), led by Samuel Sierra with 24.</v>
      </c>
      <c r="B6" s="188"/>
      <c r="C6" s="188"/>
      <c r="D6" s="188"/>
      <c r="E6" s="188"/>
      <c r="F6" s="188"/>
      <c r="G6" s="188"/>
      <c r="H6" s="188"/>
      <c r="I6" s="188"/>
      <c r="J6" s="188"/>
      <c r="K6" s="188"/>
      <c r="L6" s="188"/>
      <c r="M6" s="188"/>
      <c r="N6" s="188"/>
      <c r="O6" s="188"/>
      <c r="P6" s="188"/>
      <c r="Q6" s="188"/>
      <c r="R6" s="188"/>
    </row>
    <row r="7" spans="1:18" ht="42" customHeight="1" x14ac:dyDescent="0.2">
      <c r="A7" s="188" t="str">
        <f>"3. The strongest supervisor-area intersection is "&amp;L44&amp;" × Area "&amp;M44&amp;" with "&amp;N44&amp;" incidents, making it the clearest candidate for a targeted observation or task audit."</f>
        <v>3. The strongest supervisor-area intersection is Elizabeth Neufeld × Area 420 with 22 incidents, making it the clearest candidate for a targeted observation or task audit.</v>
      </c>
      <c r="B7" s="188"/>
      <c r="C7" s="188"/>
      <c r="D7" s="188"/>
      <c r="E7" s="188"/>
      <c r="F7" s="188"/>
      <c r="G7" s="188"/>
      <c r="H7" s="188"/>
      <c r="I7" s="188"/>
      <c r="J7" s="188"/>
      <c r="K7" s="188"/>
      <c r="L7" s="188"/>
      <c r="M7" s="188"/>
      <c r="N7" s="188"/>
      <c r="O7" s="188"/>
      <c r="P7" s="188"/>
      <c r="Q7" s="188"/>
      <c r="R7" s="188"/>
    </row>
    <row r="8" spans="1:18" ht="42" customHeight="1" x14ac:dyDescent="0.2">
      <c r="A8" s="188" t="str">
        <f>_xlfn.LET(
_xlpm.i,MATCH(MAX(H30:H39),H30:H39,0),
_xlpm.nm,INDEX(A30:A39,_xlpm.i),
_xlpm.jn,INDEX(F30:F39,_xlpm.i),
_xlpm.jl,INDEX(G30:G39,_xlpm.i),
_xlpm.d,INDEX(H30:H39,_xlpm.i),
"4. Recent momentum matters: "&amp;_xlpm.nm&amp;" has the largest July change among top supervisors ("&amp;_xlpm.jn&amp;" in June to "&amp;_xlpm.jl&amp;" in July, Δ "&amp;TEXT(_xlpm.d,"+0;-0;0")&amp;"), so July follow-up should not rely on YTD rank alone."
)</f>
        <v>4. Recent momentum matters: Samuel Sierra has the largest July change among top supervisors (3 in June to 5 in July, Δ +2), so July follow-up should not rely on YTD rank alone.</v>
      </c>
      <c r="B8" s="188"/>
      <c r="C8" s="188"/>
      <c r="D8" s="188"/>
      <c r="E8" s="188"/>
      <c r="F8" s="188"/>
      <c r="G8" s="188"/>
      <c r="H8" s="188"/>
      <c r="I8" s="188"/>
      <c r="J8" s="188"/>
      <c r="K8" s="188"/>
      <c r="L8" s="188"/>
      <c r="M8" s="188"/>
      <c r="N8" s="188"/>
      <c r="O8" s="188"/>
      <c r="P8" s="188"/>
      <c r="Q8" s="188"/>
      <c r="R8" s="188"/>
    </row>
    <row r="10" spans="1:18" ht="15" x14ac:dyDescent="0.2">
      <c r="A10" s="189" t="s">
        <v>1080</v>
      </c>
      <c r="B10" s="189"/>
      <c r="C10" s="189"/>
      <c r="D10" s="189" t="s">
        <v>1070</v>
      </c>
      <c r="E10" s="189"/>
      <c r="F10" s="189"/>
      <c r="G10" s="189" t="s">
        <v>1066</v>
      </c>
      <c r="H10" s="189"/>
      <c r="I10" s="189"/>
      <c r="J10" s="189" t="s">
        <v>1081</v>
      </c>
      <c r="K10" s="189"/>
      <c r="L10" s="189"/>
      <c r="M10" s="189" t="s">
        <v>1082</v>
      </c>
      <c r="N10" s="189"/>
      <c r="O10" s="189"/>
    </row>
    <row r="11" spans="1:18" ht="18.75" x14ac:dyDescent="0.2">
      <c r="A11" s="190">
        <f>$B$64</f>
        <v>275</v>
      </c>
      <c r="B11" s="191"/>
      <c r="C11" s="191"/>
      <c r="D11" s="192" t="str">
        <f>IF(A16="","",A16&amp;" ("&amp;B16&amp;")")</f>
        <v>102 (32)</v>
      </c>
      <c r="E11" s="193"/>
      <c r="F11" s="193"/>
      <c r="G11" s="193" t="str">
        <f>IF(A30="","",A30&amp;" ("&amp;B30&amp;")")</f>
        <v>Samuel Sierra (24)</v>
      </c>
      <c r="H11" s="193"/>
      <c r="I11" s="193"/>
      <c r="J11" s="193" t="str">
        <f>IF(L44="","",L44&amp;" × "&amp;M44&amp;" ("&amp;N44&amp;")")</f>
        <v>Elizabeth Neufeld × 420 (22)</v>
      </c>
      <c r="K11" s="193"/>
      <c r="L11" s="193"/>
      <c r="M11" s="184">
        <f>Data!B66</f>
        <v>-13</v>
      </c>
      <c r="N11" s="185"/>
      <c r="O11" s="185"/>
    </row>
    <row r="14" spans="1:18" ht="15" x14ac:dyDescent="0.2">
      <c r="A14" s="186" t="s">
        <v>1083</v>
      </c>
      <c r="B14" s="186"/>
      <c r="C14" s="186"/>
      <c r="D14" s="186"/>
      <c r="E14" s="186"/>
      <c r="F14" s="186"/>
      <c r="G14" s="186"/>
      <c r="H14" s="186"/>
      <c r="I14" s="186"/>
      <c r="J14" s="186"/>
      <c r="K14" s="186"/>
      <c r="L14" s="186"/>
      <c r="M14" s="186"/>
      <c r="N14" s="186"/>
      <c r="O14" s="186"/>
      <c r="P14" s="186"/>
      <c r="Q14" s="186"/>
      <c r="R14" s="186"/>
    </row>
    <row r="15" spans="1:18" ht="15" x14ac:dyDescent="0.25">
      <c r="A15" s="16" t="s">
        <v>1071</v>
      </c>
      <c r="B15" s="16" t="s">
        <v>1072</v>
      </c>
      <c r="C15" s="16" t="s">
        <v>1069</v>
      </c>
      <c r="D15" s="16" t="s">
        <v>1084</v>
      </c>
      <c r="E15" s="16" t="s">
        <v>1085</v>
      </c>
      <c r="F15" s="16" t="s">
        <v>736</v>
      </c>
      <c r="G15" s="16" t="s">
        <v>737</v>
      </c>
      <c r="H15" s="16" t="s">
        <v>1086</v>
      </c>
      <c r="I15" s="16" t="s">
        <v>1087</v>
      </c>
      <c r="J15" s="16" t="s">
        <v>1088</v>
      </c>
      <c r="K15" s="16" t="s">
        <v>1089</v>
      </c>
      <c r="L15" s="16" t="s">
        <v>1073</v>
      </c>
      <c r="M15" s="16" t="s">
        <v>1074</v>
      </c>
      <c r="N15" s="16" t="s">
        <v>1075</v>
      </c>
      <c r="O15" s="16" t="s">
        <v>1076</v>
      </c>
      <c r="P15" s="16" t="s">
        <v>735</v>
      </c>
      <c r="Q15" s="16" t="s">
        <v>1077</v>
      </c>
      <c r="R15" s="16" t="s">
        <v>1078</v>
      </c>
    </row>
    <row r="16" spans="1:18" x14ac:dyDescent="0.2">
      <c r="A16" s="215">
        <f>IFERROR(INDEX(_xlfn.ANCHORARRAY(Data!$J$65),1,1),"")</f>
        <v>102</v>
      </c>
      <c r="B16" s="119">
        <f>IF($A16="","",IFERROR(INDEX(_xlfn.ANCHORARRAY(Data!$J$65),1,2),0))</f>
        <v>32</v>
      </c>
      <c r="C16" s="15">
        <f t="shared" ref="C16:C25" si="0">IF($B16="","",$B16/$A$11)</f>
        <v>0.11636363636363636</v>
      </c>
      <c r="D16" s="13" t="str">
        <f t="shared" ref="D16:D25" si="1">IF($A16="","",INDEX($C$63:$I$63,MATCH(MAX(L16:R16),L16:R16,0)))</f>
        <v>Jun</v>
      </c>
      <c r="E16" s="14">
        <f t="shared" ref="E16:E25" si="2">IF($A16="","",MAX(L16:R16))</f>
        <v>10</v>
      </c>
      <c r="F16" s="14">
        <f t="shared" ref="F16:F25" si="3">IF($A16="","",Q16)</f>
        <v>10</v>
      </c>
      <c r="G16" s="14">
        <f t="shared" ref="G16:G25" si="4">IF($A16="","",R16)</f>
        <v>7</v>
      </c>
      <c r="H16" s="114">
        <f t="shared" ref="H16:H25" si="5">IF($A16="","",G16-F16)</f>
        <v>-3</v>
      </c>
      <c r="I16" s="14">
        <f t="shared" ref="I16:I25" si="6">IF($A16="","",F16+G16)</f>
        <v>17</v>
      </c>
      <c r="J16" s="14">
        <f t="shared" ref="J16:J25" si="7">IF($A16="","",MAX(L16:R16)-MIN(L16:R16))</f>
        <v>8</v>
      </c>
      <c r="K16" s="205">
        <f t="shared" ref="K16:K25" si="8">IF($A16="","",ROUND(B16*0.65+E16*0.9+I16*0.35+J16*0.45+MAX(0,H16)*1.2,1))</f>
        <v>39.4</v>
      </c>
      <c r="L16" s="14">
        <f>IF($A16="","",COUNTIFS(Master_List_Of_Injuries[Year],$B$63,Master_List_Of_Injuries[Area],$A16,Master_List_Of_Injuries[Month.1],"January"))</f>
        <v>3</v>
      </c>
      <c r="M16" s="14">
        <f>IF($A16="","",COUNTIFS(Master_List_Of_Injuries[Year],$B$63,Master_List_Of_Injuries[Area],$A16,Master_List_Of_Injuries[Month.1],"February"))</f>
        <v>4</v>
      </c>
      <c r="N16" s="14">
        <f>IF($A16="","",COUNTIFS(Master_List_Of_Injuries[Year],$B$63,Master_List_Of_Injuries[Area],$A16,Master_List_Of_Injuries[Month.1],"March"))</f>
        <v>3</v>
      </c>
      <c r="O16" s="14">
        <f>IF($A16="","",COUNTIFS(Master_List_Of_Injuries[Year],$B$63,Master_List_Of_Injuries[Area],$A16,Master_List_Of_Injuries[Month.1],"April"))</f>
        <v>2</v>
      </c>
      <c r="P16" s="14">
        <f>IF($A16="","",COUNTIFS(Master_List_Of_Injuries[Year],$B$63,Master_List_Of_Injuries[Area],$A16,Master_List_Of_Injuries[Month.1],"May"))</f>
        <v>3</v>
      </c>
      <c r="Q16" s="14">
        <f>IF($A16="","",COUNTIFS(Master_List_Of_Injuries[Year],$B$63,Master_List_Of_Injuries[Area],$A16,Master_List_Of_Injuries[Month.1],"June"))</f>
        <v>10</v>
      </c>
      <c r="R16" s="14">
        <f>IF($A16="","",COUNTIFS(Master_List_Of_Injuries[Year],$B$63,Master_List_Of_Injuries[Area],$A16,Master_List_Of_Injuries[Month.1],"July"))</f>
        <v>7</v>
      </c>
    </row>
    <row r="17" spans="1:18" x14ac:dyDescent="0.2">
      <c r="A17" s="215">
        <f>IFERROR(INDEX(_xlfn.ANCHORARRAY(Data!$J$65),2,1),"")</f>
        <v>410</v>
      </c>
      <c r="B17" s="119">
        <f>IF($A17="","",IFERROR(INDEX(_xlfn.ANCHORARRAY(Data!$J$65),2,2),0))</f>
        <v>23</v>
      </c>
      <c r="C17" s="15">
        <f t="shared" si="0"/>
        <v>8.3636363636363634E-2</v>
      </c>
      <c r="D17" s="13" t="str">
        <f t="shared" si="1"/>
        <v>Apr</v>
      </c>
      <c r="E17" s="14">
        <f t="shared" si="2"/>
        <v>8</v>
      </c>
      <c r="F17" s="14">
        <f t="shared" si="3"/>
        <v>4</v>
      </c>
      <c r="G17" s="14">
        <f t="shared" si="4"/>
        <v>3</v>
      </c>
      <c r="H17" s="114">
        <f t="shared" si="5"/>
        <v>-1</v>
      </c>
      <c r="I17" s="14">
        <f t="shared" si="6"/>
        <v>7</v>
      </c>
      <c r="J17" s="14">
        <f t="shared" si="7"/>
        <v>7</v>
      </c>
      <c r="K17" s="205">
        <f t="shared" si="8"/>
        <v>27.8</v>
      </c>
      <c r="L17" s="14">
        <f>IF($A17="","",COUNTIFS(Master_List_Of_Injuries[Year],$B$63,Master_List_Of_Injuries[Area],$A17,Master_List_Of_Injuries[Month.1],"January"))</f>
        <v>1</v>
      </c>
      <c r="M17" s="14">
        <f>IF($A17="","",COUNTIFS(Master_List_Of_Injuries[Year],$B$63,Master_List_Of_Injuries[Area],$A17,Master_List_Of_Injuries[Month.1],"February"))</f>
        <v>3</v>
      </c>
      <c r="N17" s="14">
        <f>IF($A17="","",COUNTIFS(Master_List_Of_Injuries[Year],$B$63,Master_List_Of_Injuries[Area],$A17,Master_List_Of_Injuries[Month.1],"March"))</f>
        <v>2</v>
      </c>
      <c r="O17" s="14">
        <f>IF($A17="","",COUNTIFS(Master_List_Of_Injuries[Year],$B$63,Master_List_Of_Injuries[Area],$A17,Master_List_Of_Injuries[Month.1],"April"))</f>
        <v>8</v>
      </c>
      <c r="P17" s="14">
        <f>IF($A17="","",COUNTIFS(Master_List_Of_Injuries[Year],$B$63,Master_List_Of_Injuries[Area],$A17,Master_List_Of_Injuries[Month.1],"May"))</f>
        <v>2</v>
      </c>
      <c r="Q17" s="14">
        <f>IF($A17="","",COUNTIFS(Master_List_Of_Injuries[Year],$B$63,Master_List_Of_Injuries[Area],$A17,Master_List_Of_Injuries[Month.1],"June"))</f>
        <v>4</v>
      </c>
      <c r="R17" s="14">
        <f>IF($A17="","",COUNTIFS(Master_List_Of_Injuries[Year],$B$63,Master_List_Of_Injuries[Area],$A17,Master_List_Of_Injuries[Month.1],"July"))</f>
        <v>3</v>
      </c>
    </row>
    <row r="18" spans="1:18" x14ac:dyDescent="0.2">
      <c r="A18" s="215">
        <f>IFERROR(INDEX(_xlfn.ANCHORARRAY(Data!$J$65),3,1),"")</f>
        <v>420</v>
      </c>
      <c r="B18" s="119">
        <f>IF($A18="","",IFERROR(INDEX(_xlfn.ANCHORARRAY(Data!$J$65),3,2),0))</f>
        <v>22</v>
      </c>
      <c r="C18" s="15">
        <f t="shared" si="0"/>
        <v>0.08</v>
      </c>
      <c r="D18" s="13" t="str">
        <f t="shared" si="1"/>
        <v>Feb</v>
      </c>
      <c r="E18" s="14">
        <f t="shared" si="2"/>
        <v>4</v>
      </c>
      <c r="F18" s="14">
        <f t="shared" si="3"/>
        <v>3</v>
      </c>
      <c r="G18" s="14">
        <f t="shared" si="4"/>
        <v>3</v>
      </c>
      <c r="H18" s="114">
        <f t="shared" si="5"/>
        <v>0</v>
      </c>
      <c r="I18" s="14">
        <f t="shared" si="6"/>
        <v>6</v>
      </c>
      <c r="J18" s="14">
        <f t="shared" si="7"/>
        <v>2</v>
      </c>
      <c r="K18" s="205">
        <f t="shared" si="8"/>
        <v>20.9</v>
      </c>
      <c r="L18" s="14">
        <f>IF($A18="","",COUNTIFS(Master_List_Of_Injuries[Year],$B$63,Master_List_Of_Injuries[Area],$A18,Master_List_Of_Injuries[Month.1],"January"))</f>
        <v>2</v>
      </c>
      <c r="M18" s="14">
        <f>IF($A18="","",COUNTIFS(Master_List_Of_Injuries[Year],$B$63,Master_List_Of_Injuries[Area],$A18,Master_List_Of_Injuries[Month.1],"February"))</f>
        <v>4</v>
      </c>
      <c r="N18" s="14">
        <f>IF($A18="","",COUNTIFS(Master_List_Of_Injuries[Year],$B$63,Master_List_Of_Injuries[Area],$A18,Master_List_Of_Injuries[Month.1],"March"))</f>
        <v>4</v>
      </c>
      <c r="O18" s="14">
        <f>IF($A18="","",COUNTIFS(Master_List_Of_Injuries[Year],$B$63,Master_List_Of_Injuries[Area],$A18,Master_List_Of_Injuries[Month.1],"April"))</f>
        <v>4</v>
      </c>
      <c r="P18" s="14">
        <f>IF($A18="","",COUNTIFS(Master_List_Of_Injuries[Year],$B$63,Master_List_Of_Injuries[Area],$A18,Master_List_Of_Injuries[Month.1],"May"))</f>
        <v>2</v>
      </c>
      <c r="Q18" s="14">
        <f>IF($A18="","",COUNTIFS(Master_List_Of_Injuries[Year],$B$63,Master_List_Of_Injuries[Area],$A18,Master_List_Of_Injuries[Month.1],"June"))</f>
        <v>3</v>
      </c>
      <c r="R18" s="14">
        <f>IF($A18="","",COUNTIFS(Master_List_Of_Injuries[Year],$B$63,Master_List_Of_Injuries[Area],$A18,Master_List_Of_Injuries[Month.1],"July"))</f>
        <v>3</v>
      </c>
    </row>
    <row r="19" spans="1:18" x14ac:dyDescent="0.2">
      <c r="A19" s="215">
        <f>IFERROR(INDEX(_xlfn.ANCHORARRAY(Data!$J$65),4,1),"")</f>
        <v>400</v>
      </c>
      <c r="B19" s="119">
        <f>IF($A19="","",IFERROR(INDEX(_xlfn.ANCHORARRAY(Data!$J$65),4,2),0))</f>
        <v>21</v>
      </c>
      <c r="C19" s="15">
        <f t="shared" si="0"/>
        <v>7.636363636363637E-2</v>
      </c>
      <c r="D19" s="13" t="str">
        <f t="shared" si="1"/>
        <v>Jun</v>
      </c>
      <c r="E19" s="14">
        <f t="shared" si="2"/>
        <v>7</v>
      </c>
      <c r="F19" s="14">
        <f t="shared" si="3"/>
        <v>7</v>
      </c>
      <c r="G19" s="14">
        <f t="shared" si="4"/>
        <v>0</v>
      </c>
      <c r="H19" s="114">
        <f t="shared" si="5"/>
        <v>-7</v>
      </c>
      <c r="I19" s="14">
        <f t="shared" si="6"/>
        <v>7</v>
      </c>
      <c r="J19" s="14">
        <f t="shared" si="7"/>
        <v>7</v>
      </c>
      <c r="K19" s="205">
        <f t="shared" si="8"/>
        <v>25.6</v>
      </c>
      <c r="L19" s="14">
        <f>IF($A19="","",COUNTIFS(Master_List_Of_Injuries[Year],$B$63,Master_List_Of_Injuries[Area],$A19,Master_List_Of_Injuries[Month.1],"January"))</f>
        <v>1</v>
      </c>
      <c r="M19" s="14">
        <f>IF($A19="","",COUNTIFS(Master_List_Of_Injuries[Year],$B$63,Master_List_Of_Injuries[Area],$A19,Master_List_Of_Injuries[Month.1],"February"))</f>
        <v>0</v>
      </c>
      <c r="N19" s="14">
        <f>IF($A19="","",COUNTIFS(Master_List_Of_Injuries[Year],$B$63,Master_List_Of_Injuries[Area],$A19,Master_List_Of_Injuries[Month.1],"March"))</f>
        <v>2</v>
      </c>
      <c r="O19" s="14">
        <f>IF($A19="","",COUNTIFS(Master_List_Of_Injuries[Year],$B$63,Master_List_Of_Injuries[Area],$A19,Master_List_Of_Injuries[Month.1],"April"))</f>
        <v>6</v>
      </c>
      <c r="P19" s="14">
        <f>IF($A19="","",COUNTIFS(Master_List_Of_Injuries[Year],$B$63,Master_List_Of_Injuries[Area],$A19,Master_List_Of_Injuries[Month.1],"May"))</f>
        <v>5</v>
      </c>
      <c r="Q19" s="14">
        <f>IF($A19="","",COUNTIFS(Master_List_Of_Injuries[Year],$B$63,Master_List_Of_Injuries[Area],$A19,Master_List_Of_Injuries[Month.1],"June"))</f>
        <v>7</v>
      </c>
      <c r="R19" s="14">
        <f>IF($A19="","",COUNTIFS(Master_List_Of_Injuries[Year],$B$63,Master_List_Of_Injuries[Area],$A19,Master_List_Of_Injuries[Month.1],"July"))</f>
        <v>0</v>
      </c>
    </row>
    <row r="20" spans="1:18" x14ac:dyDescent="0.2">
      <c r="A20" s="215">
        <f>IFERROR(INDEX(_xlfn.ANCHORARRAY(Data!$J$65),5,1),"")</f>
        <v>405</v>
      </c>
      <c r="B20" s="119">
        <f>IF($A20="","",IFERROR(INDEX(_xlfn.ANCHORARRAY(Data!$J$65),5,2),0))</f>
        <v>20</v>
      </c>
      <c r="C20" s="15">
        <f t="shared" si="0"/>
        <v>7.2727272727272724E-2</v>
      </c>
      <c r="D20" s="13" t="str">
        <f t="shared" si="1"/>
        <v>Jan</v>
      </c>
      <c r="E20" s="14">
        <f t="shared" si="2"/>
        <v>6</v>
      </c>
      <c r="F20" s="14">
        <f t="shared" si="3"/>
        <v>3</v>
      </c>
      <c r="G20" s="14">
        <f t="shared" si="4"/>
        <v>1</v>
      </c>
      <c r="H20" s="114">
        <f t="shared" si="5"/>
        <v>-2</v>
      </c>
      <c r="I20" s="14">
        <f t="shared" si="6"/>
        <v>4</v>
      </c>
      <c r="J20" s="14">
        <f t="shared" si="7"/>
        <v>5</v>
      </c>
      <c r="K20" s="205">
        <f t="shared" si="8"/>
        <v>22.1</v>
      </c>
      <c r="L20" s="14">
        <f>IF($A20="","",COUNTIFS(Master_List_Of_Injuries[Year],$B$63,Master_List_Of_Injuries[Area],$A20,Master_List_Of_Injuries[Month.1],"January"))</f>
        <v>6</v>
      </c>
      <c r="M20" s="14">
        <f>IF($A20="","",COUNTIFS(Master_List_Of_Injuries[Year],$B$63,Master_List_Of_Injuries[Area],$A20,Master_List_Of_Injuries[Month.1],"February"))</f>
        <v>1</v>
      </c>
      <c r="N20" s="14">
        <f>IF($A20="","",COUNTIFS(Master_List_Of_Injuries[Year],$B$63,Master_List_Of_Injuries[Area],$A20,Master_List_Of_Injuries[Month.1],"March"))</f>
        <v>4</v>
      </c>
      <c r="O20" s="14">
        <f>IF($A20="","",COUNTIFS(Master_List_Of_Injuries[Year],$B$63,Master_List_Of_Injuries[Area],$A20,Master_List_Of_Injuries[Month.1],"April"))</f>
        <v>4</v>
      </c>
      <c r="P20" s="14">
        <f>IF($A20="","",COUNTIFS(Master_List_Of_Injuries[Year],$B$63,Master_List_Of_Injuries[Area],$A20,Master_List_Of_Injuries[Month.1],"May"))</f>
        <v>1</v>
      </c>
      <c r="Q20" s="14">
        <f>IF($A20="","",COUNTIFS(Master_List_Of_Injuries[Year],$B$63,Master_List_Of_Injuries[Area],$A20,Master_List_Of_Injuries[Month.1],"June"))</f>
        <v>3</v>
      </c>
      <c r="R20" s="14">
        <f>IF($A20="","",COUNTIFS(Master_List_Of_Injuries[Year],$B$63,Master_List_Of_Injuries[Area],$A20,Master_List_Of_Injuries[Month.1],"July"))</f>
        <v>1</v>
      </c>
    </row>
    <row r="21" spans="1:18" x14ac:dyDescent="0.2">
      <c r="A21" s="215">
        <f>IFERROR(INDEX(_xlfn.ANCHORARRAY(Data!$J$65),6,1),"")</f>
        <v>109</v>
      </c>
      <c r="B21" s="119">
        <f>IF($A21="","",IFERROR(INDEX(_xlfn.ANCHORARRAY(Data!$J$65),6,2),0))</f>
        <v>16</v>
      </c>
      <c r="C21" s="15">
        <f t="shared" si="0"/>
        <v>5.8181818181818182E-2</v>
      </c>
      <c r="D21" s="13" t="str">
        <f t="shared" si="1"/>
        <v>May</v>
      </c>
      <c r="E21" s="14">
        <f t="shared" si="2"/>
        <v>4</v>
      </c>
      <c r="F21" s="14">
        <f t="shared" si="3"/>
        <v>3</v>
      </c>
      <c r="G21" s="14">
        <f t="shared" si="4"/>
        <v>3</v>
      </c>
      <c r="H21" s="114">
        <f t="shared" si="5"/>
        <v>0</v>
      </c>
      <c r="I21" s="14">
        <f t="shared" si="6"/>
        <v>6</v>
      </c>
      <c r="J21" s="14">
        <f t="shared" si="7"/>
        <v>4</v>
      </c>
      <c r="K21" s="205">
        <f t="shared" si="8"/>
        <v>17.899999999999999</v>
      </c>
      <c r="L21" s="14">
        <f>IF($A21="","",COUNTIFS(Master_List_Of_Injuries[Year],$B$63,Master_List_Of_Injuries[Area],$A21,Master_List_Of_Injuries[Month.1],"January"))</f>
        <v>0</v>
      </c>
      <c r="M21" s="14">
        <f>IF($A21="","",COUNTIFS(Master_List_Of_Injuries[Year],$B$63,Master_List_Of_Injuries[Area],$A21,Master_List_Of_Injuries[Month.1],"February"))</f>
        <v>2</v>
      </c>
      <c r="N21" s="14">
        <f>IF($A21="","",COUNTIFS(Master_List_Of_Injuries[Year],$B$63,Master_List_Of_Injuries[Area],$A21,Master_List_Of_Injuries[Month.1],"March"))</f>
        <v>2</v>
      </c>
      <c r="O21" s="14">
        <f>IF($A21="","",COUNTIFS(Master_List_Of_Injuries[Year],$B$63,Master_List_Of_Injuries[Area],$A21,Master_List_Of_Injuries[Month.1],"April"))</f>
        <v>2</v>
      </c>
      <c r="P21" s="14">
        <f>IF($A21="","",COUNTIFS(Master_List_Of_Injuries[Year],$B$63,Master_List_Of_Injuries[Area],$A21,Master_List_Of_Injuries[Month.1],"May"))</f>
        <v>4</v>
      </c>
      <c r="Q21" s="14">
        <f>IF($A21="","",COUNTIFS(Master_List_Of_Injuries[Year],$B$63,Master_List_Of_Injuries[Area],$A21,Master_List_Of_Injuries[Month.1],"June"))</f>
        <v>3</v>
      </c>
      <c r="R21" s="14">
        <f>IF($A21="","",COUNTIFS(Master_List_Of_Injuries[Year],$B$63,Master_List_Of_Injuries[Area],$A21,Master_List_Of_Injuries[Month.1],"July"))</f>
        <v>3</v>
      </c>
    </row>
    <row r="22" spans="1:18" x14ac:dyDescent="0.2">
      <c r="A22" s="215">
        <f>IFERROR(INDEX(_xlfn.ANCHORARRAY(Data!$J$65),7,1),"")</f>
        <v>101</v>
      </c>
      <c r="B22" s="119">
        <f>IF($A22="","",IFERROR(INDEX(_xlfn.ANCHORARRAY(Data!$J$65),7,2),0))</f>
        <v>16</v>
      </c>
      <c r="C22" s="15">
        <f t="shared" si="0"/>
        <v>5.8181818181818182E-2</v>
      </c>
      <c r="D22" s="13" t="str">
        <f t="shared" si="1"/>
        <v>Jun</v>
      </c>
      <c r="E22" s="14">
        <f t="shared" si="2"/>
        <v>6</v>
      </c>
      <c r="F22" s="14">
        <f t="shared" si="3"/>
        <v>6</v>
      </c>
      <c r="G22" s="14">
        <f t="shared" si="4"/>
        <v>3</v>
      </c>
      <c r="H22" s="114">
        <f t="shared" si="5"/>
        <v>-3</v>
      </c>
      <c r="I22" s="14">
        <f t="shared" si="6"/>
        <v>9</v>
      </c>
      <c r="J22" s="14">
        <f t="shared" si="7"/>
        <v>6</v>
      </c>
      <c r="K22" s="205">
        <f t="shared" si="8"/>
        <v>21.7</v>
      </c>
      <c r="L22" s="14">
        <f>IF($A22="","",COUNTIFS(Master_List_Of_Injuries[Year],$B$63,Master_List_Of_Injuries[Area],$A22,Master_List_Of_Injuries[Month.1],"January"))</f>
        <v>1</v>
      </c>
      <c r="M22" s="14">
        <f>IF($A22="","",COUNTIFS(Master_List_Of_Injuries[Year],$B$63,Master_List_Of_Injuries[Area],$A22,Master_List_Of_Injuries[Month.1],"February"))</f>
        <v>3</v>
      </c>
      <c r="N22" s="14">
        <f>IF($A22="","",COUNTIFS(Master_List_Of_Injuries[Year],$B$63,Master_List_Of_Injuries[Area],$A22,Master_List_Of_Injuries[Month.1],"March"))</f>
        <v>0</v>
      </c>
      <c r="O22" s="14">
        <f>IF($A22="","",COUNTIFS(Master_List_Of_Injuries[Year],$B$63,Master_List_Of_Injuries[Area],$A22,Master_List_Of_Injuries[Month.1],"April"))</f>
        <v>2</v>
      </c>
      <c r="P22" s="14">
        <f>IF($A22="","",COUNTIFS(Master_List_Of_Injuries[Year],$B$63,Master_List_Of_Injuries[Area],$A22,Master_List_Of_Injuries[Month.1],"May"))</f>
        <v>1</v>
      </c>
      <c r="Q22" s="14">
        <f>IF($A22="","",COUNTIFS(Master_List_Of_Injuries[Year],$B$63,Master_List_Of_Injuries[Area],$A22,Master_List_Of_Injuries[Month.1],"June"))</f>
        <v>6</v>
      </c>
      <c r="R22" s="14">
        <f>IF($A22="","",COUNTIFS(Master_List_Of_Injuries[Year],$B$63,Master_List_Of_Injuries[Area],$A22,Master_List_Of_Injuries[Month.1],"July"))</f>
        <v>3</v>
      </c>
    </row>
    <row r="23" spans="1:18" x14ac:dyDescent="0.2">
      <c r="A23" s="215">
        <f>IFERROR(INDEX(_xlfn.ANCHORARRAY(Data!$J$65),8,1),"")</f>
        <v>429</v>
      </c>
      <c r="B23" s="119">
        <f>IF($A23="","",IFERROR(INDEX(_xlfn.ANCHORARRAY(Data!$J$65),8,2),0))</f>
        <v>15</v>
      </c>
      <c r="C23" s="15">
        <f t="shared" si="0"/>
        <v>5.4545454545454543E-2</v>
      </c>
      <c r="D23" s="13" t="str">
        <f t="shared" si="1"/>
        <v>Apr</v>
      </c>
      <c r="E23" s="14">
        <f t="shared" si="2"/>
        <v>6</v>
      </c>
      <c r="F23" s="14">
        <f t="shared" si="3"/>
        <v>2</v>
      </c>
      <c r="G23" s="14">
        <f t="shared" si="4"/>
        <v>2</v>
      </c>
      <c r="H23" s="114">
        <f t="shared" si="5"/>
        <v>0</v>
      </c>
      <c r="I23" s="14">
        <f t="shared" si="6"/>
        <v>4</v>
      </c>
      <c r="J23" s="14">
        <f t="shared" si="7"/>
        <v>6</v>
      </c>
      <c r="K23" s="205">
        <f t="shared" si="8"/>
        <v>19.3</v>
      </c>
      <c r="L23" s="14">
        <f>IF($A23="","",COUNTIFS(Master_List_Of_Injuries[Year],$B$63,Master_List_Of_Injuries[Area],$A23,Master_List_Of_Injuries[Month.1],"January"))</f>
        <v>0</v>
      </c>
      <c r="M23" s="14">
        <f>IF($A23="","",COUNTIFS(Master_List_Of_Injuries[Year],$B$63,Master_List_Of_Injuries[Area],$A23,Master_List_Of_Injuries[Month.1],"February"))</f>
        <v>3</v>
      </c>
      <c r="N23" s="14">
        <f>IF($A23="","",COUNTIFS(Master_List_Of_Injuries[Year],$B$63,Master_List_Of_Injuries[Area],$A23,Master_List_Of_Injuries[Month.1],"March"))</f>
        <v>2</v>
      </c>
      <c r="O23" s="14">
        <f>IF($A23="","",COUNTIFS(Master_List_Of_Injuries[Year],$B$63,Master_List_Of_Injuries[Area],$A23,Master_List_Of_Injuries[Month.1],"April"))</f>
        <v>6</v>
      </c>
      <c r="P23" s="14">
        <f>IF($A23="","",COUNTIFS(Master_List_Of_Injuries[Year],$B$63,Master_List_Of_Injuries[Area],$A23,Master_List_Of_Injuries[Month.1],"May"))</f>
        <v>0</v>
      </c>
      <c r="Q23" s="14">
        <f>IF($A23="","",COUNTIFS(Master_List_Of_Injuries[Year],$B$63,Master_List_Of_Injuries[Area],$A23,Master_List_Of_Injuries[Month.1],"June"))</f>
        <v>2</v>
      </c>
      <c r="R23" s="14">
        <f>IF($A23="","",COUNTIFS(Master_List_Of_Injuries[Year],$B$63,Master_List_Of_Injuries[Area],$A23,Master_List_Of_Injuries[Month.1],"July"))</f>
        <v>2</v>
      </c>
    </row>
    <row r="24" spans="1:18" x14ac:dyDescent="0.2">
      <c r="A24" s="215">
        <f>IFERROR(INDEX(_xlfn.ANCHORARRAY(Data!$J$65),9,1),"")</f>
        <v>106</v>
      </c>
      <c r="B24" s="119">
        <f>IF($A24="","",IFERROR(INDEX(_xlfn.ANCHORARRAY(Data!$J$65),9,2),0))</f>
        <v>14</v>
      </c>
      <c r="C24" s="15">
        <f t="shared" si="0"/>
        <v>5.0909090909090911E-2</v>
      </c>
      <c r="D24" s="13" t="str">
        <f t="shared" si="1"/>
        <v>Feb</v>
      </c>
      <c r="E24" s="14">
        <f t="shared" si="2"/>
        <v>5</v>
      </c>
      <c r="F24" s="14">
        <f t="shared" si="3"/>
        <v>3</v>
      </c>
      <c r="G24" s="14">
        <f t="shared" si="4"/>
        <v>0</v>
      </c>
      <c r="H24" s="114">
        <f t="shared" si="5"/>
        <v>-3</v>
      </c>
      <c r="I24" s="14">
        <f t="shared" si="6"/>
        <v>3</v>
      </c>
      <c r="J24" s="14">
        <f t="shared" si="7"/>
        <v>5</v>
      </c>
      <c r="K24" s="205">
        <f t="shared" si="8"/>
        <v>16.899999999999999</v>
      </c>
      <c r="L24" s="14">
        <f>IF($A24="","",COUNTIFS(Master_List_Of_Injuries[Year],$B$63,Master_List_Of_Injuries[Area],$A24,Master_List_Of_Injuries[Month.1],"January"))</f>
        <v>4</v>
      </c>
      <c r="M24" s="14">
        <f>IF($A24="","",COUNTIFS(Master_List_Of_Injuries[Year],$B$63,Master_List_Of_Injuries[Area],$A24,Master_List_Of_Injuries[Month.1],"February"))</f>
        <v>5</v>
      </c>
      <c r="N24" s="14">
        <f>IF($A24="","",COUNTIFS(Master_List_Of_Injuries[Year],$B$63,Master_List_Of_Injuries[Area],$A24,Master_List_Of_Injuries[Month.1],"March"))</f>
        <v>1</v>
      </c>
      <c r="O24" s="14">
        <f>IF($A24="","",COUNTIFS(Master_List_Of_Injuries[Year],$B$63,Master_List_Of_Injuries[Area],$A24,Master_List_Of_Injuries[Month.1],"April"))</f>
        <v>1</v>
      </c>
      <c r="P24" s="14">
        <f>IF($A24="","",COUNTIFS(Master_List_Of_Injuries[Year],$B$63,Master_List_Of_Injuries[Area],$A24,Master_List_Of_Injuries[Month.1],"May"))</f>
        <v>0</v>
      </c>
      <c r="Q24" s="14">
        <f>IF($A24="","",COUNTIFS(Master_List_Of_Injuries[Year],$B$63,Master_List_Of_Injuries[Area],$A24,Master_List_Of_Injuries[Month.1],"June"))</f>
        <v>3</v>
      </c>
      <c r="R24" s="14">
        <f>IF($A24="","",COUNTIFS(Master_List_Of_Injuries[Year],$B$63,Master_List_Of_Injuries[Area],$A24,Master_List_Of_Injuries[Month.1],"July"))</f>
        <v>0</v>
      </c>
    </row>
    <row r="25" spans="1:18" x14ac:dyDescent="0.2">
      <c r="A25" s="215">
        <f>IFERROR(INDEX(_xlfn.ANCHORARRAY(Data!$J$65),10,1),"")</f>
        <v>100</v>
      </c>
      <c r="B25" s="119">
        <f>IF($A25="","",IFERROR(INDEX(_xlfn.ANCHORARRAY(Data!$J$65),10,2),0))</f>
        <v>12</v>
      </c>
      <c r="C25" s="15">
        <f t="shared" si="0"/>
        <v>4.363636363636364E-2</v>
      </c>
      <c r="D25" s="13" t="str">
        <f t="shared" si="1"/>
        <v>Mar</v>
      </c>
      <c r="E25" s="14">
        <f t="shared" si="2"/>
        <v>4</v>
      </c>
      <c r="F25" s="14">
        <f t="shared" si="3"/>
        <v>0</v>
      </c>
      <c r="G25" s="14">
        <f t="shared" si="4"/>
        <v>4</v>
      </c>
      <c r="H25" s="114">
        <f t="shared" si="5"/>
        <v>4</v>
      </c>
      <c r="I25" s="14">
        <f t="shared" si="6"/>
        <v>4</v>
      </c>
      <c r="J25" s="14">
        <f t="shared" si="7"/>
        <v>4</v>
      </c>
      <c r="K25" s="205">
        <f t="shared" si="8"/>
        <v>19.399999999999999</v>
      </c>
      <c r="L25" s="14">
        <f>IF($A25="","",COUNTIFS(Master_List_Of_Injuries[Year],$B$63,Master_List_Of_Injuries[Area],$A25,Master_List_Of_Injuries[Month.1],"January"))</f>
        <v>1</v>
      </c>
      <c r="M25" s="14">
        <f>IF($A25="","",COUNTIFS(Master_List_Of_Injuries[Year],$B$63,Master_List_Of_Injuries[Area],$A25,Master_List_Of_Injuries[Month.1],"February"))</f>
        <v>2</v>
      </c>
      <c r="N25" s="14">
        <f>IF($A25="","",COUNTIFS(Master_List_Of_Injuries[Year],$B$63,Master_List_Of_Injuries[Area],$A25,Master_List_Of_Injuries[Month.1],"March"))</f>
        <v>4</v>
      </c>
      <c r="O25" s="14">
        <f>IF($A25="","",COUNTIFS(Master_List_Of_Injuries[Year],$B$63,Master_List_Of_Injuries[Area],$A25,Master_List_Of_Injuries[Month.1],"April"))</f>
        <v>0</v>
      </c>
      <c r="P25" s="14">
        <f>IF($A25="","",COUNTIFS(Master_List_Of_Injuries[Year],$B$63,Master_List_Of_Injuries[Area],$A25,Master_List_Of_Injuries[Month.1],"May"))</f>
        <v>1</v>
      </c>
      <c r="Q25" s="14">
        <f>IF($A25="","",COUNTIFS(Master_List_Of_Injuries[Year],$B$63,Master_List_Of_Injuries[Area],$A25,Master_List_Of_Injuries[Month.1],"June"))</f>
        <v>0</v>
      </c>
      <c r="R25" s="14">
        <f>IF($A25="","",COUNTIFS(Master_List_Of_Injuries[Year],$B$63,Master_List_Of_Injuries[Area],$A25,Master_List_Of_Injuries[Month.1],"July"))</f>
        <v>4</v>
      </c>
    </row>
    <row r="28" spans="1:18" ht="15" x14ac:dyDescent="0.2">
      <c r="A28" s="186" t="s">
        <v>1090</v>
      </c>
      <c r="B28" s="186"/>
      <c r="C28" s="186"/>
      <c r="D28" s="186"/>
      <c r="E28" s="186"/>
      <c r="F28" s="186"/>
      <c r="G28" s="186"/>
      <c r="H28" s="186"/>
      <c r="I28" s="186"/>
      <c r="J28" s="186"/>
      <c r="K28" s="186"/>
      <c r="L28" s="186"/>
      <c r="M28" s="186"/>
      <c r="N28" s="186"/>
      <c r="O28" s="186"/>
      <c r="P28" s="186"/>
      <c r="Q28" s="186"/>
      <c r="R28" s="186"/>
    </row>
    <row r="29" spans="1:18" ht="15" x14ac:dyDescent="0.25">
      <c r="A29" s="16" t="s">
        <v>1071</v>
      </c>
      <c r="B29" s="16" t="s">
        <v>1072</v>
      </c>
      <c r="C29" s="16" t="s">
        <v>1069</v>
      </c>
      <c r="D29" s="16" t="s">
        <v>1084</v>
      </c>
      <c r="E29" s="16" t="s">
        <v>1085</v>
      </c>
      <c r="F29" s="16" t="s">
        <v>736</v>
      </c>
      <c r="G29" s="16" t="s">
        <v>737</v>
      </c>
      <c r="H29" s="16" t="s">
        <v>1086</v>
      </c>
      <c r="I29" s="16" t="s">
        <v>1087</v>
      </c>
      <c r="J29" s="16" t="s">
        <v>1088</v>
      </c>
      <c r="K29" s="16" t="s">
        <v>1089</v>
      </c>
      <c r="L29" s="16" t="s">
        <v>1073</v>
      </c>
      <c r="M29" s="16" t="s">
        <v>1074</v>
      </c>
      <c r="N29" s="16" t="s">
        <v>1075</v>
      </c>
      <c r="O29" s="16" t="s">
        <v>1076</v>
      </c>
      <c r="P29" s="16" t="s">
        <v>735</v>
      </c>
      <c r="Q29" s="16" t="s">
        <v>1077</v>
      </c>
      <c r="R29" s="16" t="s">
        <v>1078</v>
      </c>
    </row>
    <row r="30" spans="1:18" x14ac:dyDescent="0.2">
      <c r="A30" s="118" t="str">
        <f>IFERROR(INDEX(_xlfn.ANCHORARRAY(Data!$M$65),1,1),"")</f>
        <v>Samuel Sierra</v>
      </c>
      <c r="B30" s="119">
        <f>IF($A30="","",IFERROR(INDEX(_xlfn.ANCHORARRAY(Data!$M$65),1,2),0))</f>
        <v>24</v>
      </c>
      <c r="C30" s="15">
        <f t="shared" ref="C30:C39" si="9">IF(OR($A30="",$B30=""),"",$B30/$A$11)</f>
        <v>8.727272727272728E-2</v>
      </c>
      <c r="D30" s="13" t="str">
        <f t="shared" ref="D30:D39" si="10">IF($A30="","",INDEX($C$63:$I$63,MATCH(MAX(L30:R30),L30:R30,0)))</f>
        <v>Mar</v>
      </c>
      <c r="E30" s="14">
        <f t="shared" ref="E30:E39" si="11">IF($A30="","",MAX(L30:R30))</f>
        <v>6</v>
      </c>
      <c r="F30" s="14">
        <f t="shared" ref="F30:F39" si="12">IF($A30="","",Q30)</f>
        <v>3</v>
      </c>
      <c r="G30" s="14">
        <f t="shared" ref="G30:G39" si="13">IF($A30="","",R30)</f>
        <v>5</v>
      </c>
      <c r="H30" s="114">
        <f t="shared" ref="H30:H39" si="14">IF($A30="","",G30-F30)</f>
        <v>2</v>
      </c>
      <c r="I30" s="14">
        <f t="shared" ref="I30:I39" si="15">IF($A30="","",F30+G30)</f>
        <v>8</v>
      </c>
      <c r="J30" s="14">
        <f t="shared" ref="J30:J39" si="16">IF($A30="","",MAX(L30:R30)-MIN(L30:R30))</f>
        <v>6</v>
      </c>
      <c r="K30" s="205">
        <f t="shared" ref="K30:K39" si="17">IF($A30="","",ROUND(B30*0.65+E30*0.9+I30*0.35+J30*0.45+MAX(0,H30)*1.2,1))</f>
        <v>28.9</v>
      </c>
      <c r="L30" s="14">
        <f>IF($A30="","",COUNTIFS(Master_List_Of_Injuries[Year],$B$63,Master_List_Of_Injuries[Supervisor],$A30,Master_List_Of_Injuries[Month.1],"January"))</f>
        <v>0</v>
      </c>
      <c r="M30" s="14">
        <f>IF($A30="","",COUNTIFS(Master_List_Of_Injuries[Year],$B$63,Master_List_Of_Injuries[Supervisor],$A30,Master_List_Of_Injuries[Month.1],"February"))</f>
        <v>3</v>
      </c>
      <c r="N30" s="14">
        <f>IF($A30="","",COUNTIFS(Master_List_Of_Injuries[Year],$B$63,Master_List_Of_Injuries[Supervisor],$A30,Master_List_Of_Injuries[Month.1],"March"))</f>
        <v>6</v>
      </c>
      <c r="O30" s="14">
        <f>IF($A30="","",COUNTIFS(Master_List_Of_Injuries[Year],$B$63,Master_List_Of_Injuries[Supervisor],$A30,Master_List_Of_Injuries[Month.1],"April"))</f>
        <v>2</v>
      </c>
      <c r="P30" s="14">
        <f>IF($A30="","",COUNTIFS(Master_List_Of_Injuries[Year],$B$63,Master_List_Of_Injuries[Supervisor],$A30,Master_List_Of_Injuries[Month.1],"May"))</f>
        <v>5</v>
      </c>
      <c r="Q30" s="14">
        <f>IF($A30="","",COUNTIFS(Master_List_Of_Injuries[Year],$B$63,Master_List_Of_Injuries[Supervisor],$A30,Master_List_Of_Injuries[Month.1],"June"))</f>
        <v>3</v>
      </c>
      <c r="R30" s="14">
        <f>IF($A30="","",COUNTIFS(Master_List_Of_Injuries[Year],$B$63,Master_List_Of_Injuries[Supervisor],$A30,Master_List_Of_Injuries[Month.1],"July"))</f>
        <v>5</v>
      </c>
    </row>
    <row r="31" spans="1:18" x14ac:dyDescent="0.2">
      <c r="A31" s="118" t="str">
        <f>IFERROR(INDEX(_xlfn.ANCHORARRAY(Data!$M$65),2,1),"")</f>
        <v>Elizabeth Neufeld</v>
      </c>
      <c r="B31" s="119">
        <f>IF($A31="","",IFERROR(INDEX(_xlfn.ANCHORARRAY(Data!$M$65),2,2),0))</f>
        <v>23</v>
      </c>
      <c r="C31" s="15">
        <f t="shared" si="9"/>
        <v>8.3636363636363634E-2</v>
      </c>
      <c r="D31" s="13" t="str">
        <f t="shared" si="10"/>
        <v>Feb</v>
      </c>
      <c r="E31" s="14">
        <f t="shared" si="11"/>
        <v>4</v>
      </c>
      <c r="F31" s="14">
        <f t="shared" si="12"/>
        <v>3</v>
      </c>
      <c r="G31" s="14">
        <f t="shared" si="13"/>
        <v>4</v>
      </c>
      <c r="H31" s="114">
        <f t="shared" si="14"/>
        <v>1</v>
      </c>
      <c r="I31" s="14">
        <f t="shared" si="15"/>
        <v>7</v>
      </c>
      <c r="J31" s="14">
        <f t="shared" si="16"/>
        <v>2</v>
      </c>
      <c r="K31" s="205">
        <f t="shared" si="17"/>
        <v>23.1</v>
      </c>
      <c r="L31" s="14">
        <f>IF($A31="","",COUNTIFS(Master_List_Of_Injuries[Year],$B$63,Master_List_Of_Injuries[Supervisor],$A31,Master_List_Of_Injuries[Month.1],"January"))</f>
        <v>2</v>
      </c>
      <c r="M31" s="14">
        <f>IF($A31="","",COUNTIFS(Master_List_Of_Injuries[Year],$B$63,Master_List_Of_Injuries[Supervisor],$A31,Master_List_Of_Injuries[Month.1],"February"))</f>
        <v>4</v>
      </c>
      <c r="N31" s="14">
        <f>IF($A31="","",COUNTIFS(Master_List_Of_Injuries[Year],$B$63,Master_List_Of_Injuries[Supervisor],$A31,Master_List_Of_Injuries[Month.1],"March"))</f>
        <v>4</v>
      </c>
      <c r="O31" s="14">
        <f>IF($A31="","",COUNTIFS(Master_List_Of_Injuries[Year],$B$63,Master_List_Of_Injuries[Supervisor],$A31,Master_List_Of_Injuries[Month.1],"April"))</f>
        <v>4</v>
      </c>
      <c r="P31" s="14">
        <f>IF($A31="","",COUNTIFS(Master_List_Of_Injuries[Year],$B$63,Master_List_Of_Injuries[Supervisor],$A31,Master_List_Of_Injuries[Month.1],"May"))</f>
        <v>2</v>
      </c>
      <c r="Q31" s="14">
        <f>IF($A31="","",COUNTIFS(Master_List_Of_Injuries[Year],$B$63,Master_List_Of_Injuries[Supervisor],$A31,Master_List_Of_Injuries[Month.1],"June"))</f>
        <v>3</v>
      </c>
      <c r="R31" s="14">
        <f>IF($A31="","",COUNTIFS(Master_List_Of_Injuries[Year],$B$63,Master_List_Of_Injuries[Supervisor],$A31,Master_List_Of_Injuries[Month.1],"July"))</f>
        <v>4</v>
      </c>
    </row>
    <row r="32" spans="1:18" x14ac:dyDescent="0.2">
      <c r="A32" s="118" t="str">
        <f>IFERROR(INDEX(_xlfn.ANCHORARRAY(Data!$M$65),3,1),"")</f>
        <v>Juan Ramirez</v>
      </c>
      <c r="B32" s="119">
        <f>IF($A32="","",IFERROR(INDEX(_xlfn.ANCHORARRAY(Data!$M$65),3,2),0))</f>
        <v>21</v>
      </c>
      <c r="C32" s="15">
        <f t="shared" si="9"/>
        <v>7.636363636363637E-2</v>
      </c>
      <c r="D32" s="13" t="str">
        <f t="shared" si="10"/>
        <v>Apr</v>
      </c>
      <c r="E32" s="14">
        <f t="shared" si="11"/>
        <v>7</v>
      </c>
      <c r="F32" s="14">
        <f t="shared" si="12"/>
        <v>4</v>
      </c>
      <c r="G32" s="14">
        <f t="shared" si="13"/>
        <v>3</v>
      </c>
      <c r="H32" s="114">
        <f t="shared" si="14"/>
        <v>-1</v>
      </c>
      <c r="I32" s="14">
        <f t="shared" si="15"/>
        <v>7</v>
      </c>
      <c r="J32" s="14">
        <f t="shared" si="16"/>
        <v>6</v>
      </c>
      <c r="K32" s="205">
        <f t="shared" si="17"/>
        <v>25.1</v>
      </c>
      <c r="L32" s="14">
        <f>IF($A32="","",COUNTIFS(Master_List_Of_Injuries[Year],$B$63,Master_List_Of_Injuries[Supervisor],$A32,Master_List_Of_Injuries[Month.1],"January"))</f>
        <v>1</v>
      </c>
      <c r="M32" s="14">
        <f>IF($A32="","",COUNTIFS(Master_List_Of_Injuries[Year],$B$63,Master_List_Of_Injuries[Supervisor],$A32,Master_List_Of_Injuries[Month.1],"February"))</f>
        <v>2</v>
      </c>
      <c r="N32" s="14">
        <f>IF($A32="","",COUNTIFS(Master_List_Of_Injuries[Year],$B$63,Master_List_Of_Injuries[Supervisor],$A32,Master_List_Of_Injuries[Month.1],"March"))</f>
        <v>2</v>
      </c>
      <c r="O32" s="14">
        <f>IF($A32="","",COUNTIFS(Master_List_Of_Injuries[Year],$B$63,Master_List_Of_Injuries[Supervisor],$A32,Master_List_Of_Injuries[Month.1],"April"))</f>
        <v>7</v>
      </c>
      <c r="P32" s="14">
        <f>IF($A32="","",COUNTIFS(Master_List_Of_Injuries[Year],$B$63,Master_List_Of_Injuries[Supervisor],$A32,Master_List_Of_Injuries[Month.1],"May"))</f>
        <v>2</v>
      </c>
      <c r="Q32" s="14">
        <f>IF($A32="","",COUNTIFS(Master_List_Of_Injuries[Year],$B$63,Master_List_Of_Injuries[Supervisor],$A32,Master_List_Of_Injuries[Month.1],"June"))</f>
        <v>4</v>
      </c>
      <c r="R32" s="14">
        <f>IF($A32="","",COUNTIFS(Master_List_Of_Injuries[Year],$B$63,Master_List_Of_Injuries[Supervisor],$A32,Master_List_Of_Injuries[Month.1],"July"))</f>
        <v>3</v>
      </c>
    </row>
    <row r="33" spans="1:18" x14ac:dyDescent="0.2">
      <c r="A33" s="118" t="str">
        <f>IFERROR(INDEX(_xlfn.ANCHORARRAY(Data!$M$65),4,1),"")</f>
        <v>Ovidio Sanchez</v>
      </c>
      <c r="B33" s="119">
        <f>IF($A33="","",IFERROR(INDEX(_xlfn.ANCHORARRAY(Data!$M$65),4,2),0))</f>
        <v>21</v>
      </c>
      <c r="C33" s="15">
        <f t="shared" si="9"/>
        <v>7.636363636363637E-2</v>
      </c>
      <c r="D33" s="13" t="str">
        <f t="shared" si="10"/>
        <v>Jun</v>
      </c>
      <c r="E33" s="14">
        <f t="shared" si="11"/>
        <v>7</v>
      </c>
      <c r="F33" s="14">
        <f t="shared" si="12"/>
        <v>7</v>
      </c>
      <c r="G33" s="14">
        <f t="shared" si="13"/>
        <v>0</v>
      </c>
      <c r="H33" s="114">
        <f t="shared" si="14"/>
        <v>-7</v>
      </c>
      <c r="I33" s="14">
        <f t="shared" si="15"/>
        <v>7</v>
      </c>
      <c r="J33" s="14">
        <f t="shared" si="16"/>
        <v>7</v>
      </c>
      <c r="K33" s="205">
        <f t="shared" si="17"/>
        <v>25.6</v>
      </c>
      <c r="L33" s="14">
        <f>IF($A33="","",COUNTIFS(Master_List_Of_Injuries[Year],$B$63,Master_List_Of_Injuries[Supervisor],$A33,Master_List_Of_Injuries[Month.1],"January"))</f>
        <v>1</v>
      </c>
      <c r="M33" s="14">
        <f>IF($A33="","",COUNTIFS(Master_List_Of_Injuries[Year],$B$63,Master_List_Of_Injuries[Supervisor],$A33,Master_List_Of_Injuries[Month.1],"February"))</f>
        <v>0</v>
      </c>
      <c r="N33" s="14">
        <f>IF($A33="","",COUNTIFS(Master_List_Of_Injuries[Year],$B$63,Master_List_Of_Injuries[Supervisor],$A33,Master_List_Of_Injuries[Month.1],"March"))</f>
        <v>2</v>
      </c>
      <c r="O33" s="14">
        <f>IF($A33="","",COUNTIFS(Master_List_Of_Injuries[Year],$B$63,Master_List_Of_Injuries[Supervisor],$A33,Master_List_Of_Injuries[Month.1],"April"))</f>
        <v>6</v>
      </c>
      <c r="P33" s="14">
        <f>IF($A33="","",COUNTIFS(Master_List_Of_Injuries[Year],$B$63,Master_List_Of_Injuries[Supervisor],$A33,Master_List_Of_Injuries[Month.1],"May"))</f>
        <v>5</v>
      </c>
      <c r="Q33" s="14">
        <f>IF($A33="","",COUNTIFS(Master_List_Of_Injuries[Year],$B$63,Master_List_Of_Injuries[Supervisor],$A33,Master_List_Of_Injuries[Month.1],"June"))</f>
        <v>7</v>
      </c>
      <c r="R33" s="14">
        <f>IF($A33="","",COUNTIFS(Master_List_Of_Injuries[Year],$B$63,Master_List_Of_Injuries[Supervisor],$A33,Master_List_Of_Injuries[Month.1],"July"))</f>
        <v>0</v>
      </c>
    </row>
    <row r="34" spans="1:18" x14ac:dyDescent="0.2">
      <c r="A34" s="118" t="str">
        <f>IFERROR(INDEX(_xlfn.ANCHORARRAY(Data!$M$65),5,1),"")</f>
        <v>Alex Vargas</v>
      </c>
      <c r="B34" s="119">
        <f>IF($A34="","",IFERROR(INDEX(_xlfn.ANCHORARRAY(Data!$M$65),5,2),0))</f>
        <v>19</v>
      </c>
      <c r="C34" s="15">
        <f t="shared" si="9"/>
        <v>6.9090909090909092E-2</v>
      </c>
      <c r="D34" s="13" t="str">
        <f t="shared" si="10"/>
        <v>Jun</v>
      </c>
      <c r="E34" s="14">
        <f t="shared" si="11"/>
        <v>10</v>
      </c>
      <c r="F34" s="14">
        <f t="shared" si="12"/>
        <v>10</v>
      </c>
      <c r="G34" s="14">
        <f t="shared" si="13"/>
        <v>7</v>
      </c>
      <c r="H34" s="114">
        <f t="shared" si="14"/>
        <v>-3</v>
      </c>
      <c r="I34" s="14">
        <f t="shared" si="15"/>
        <v>17</v>
      </c>
      <c r="J34" s="14">
        <f t="shared" si="16"/>
        <v>10</v>
      </c>
      <c r="K34" s="205">
        <f t="shared" si="17"/>
        <v>31.8</v>
      </c>
      <c r="L34" s="14">
        <f>IF($A34="","",COUNTIFS(Master_List_Of_Injuries[Year],$B$63,Master_List_Of_Injuries[Supervisor],$A34,Master_List_Of_Injuries[Month.1],"January"))</f>
        <v>0</v>
      </c>
      <c r="M34" s="14">
        <f>IF($A34="","",COUNTIFS(Master_List_Of_Injuries[Year],$B$63,Master_List_Of_Injuries[Supervisor],$A34,Master_List_Of_Injuries[Month.1],"February"))</f>
        <v>0</v>
      </c>
      <c r="N34" s="14">
        <f>IF($A34="","",COUNTIFS(Master_List_Of_Injuries[Year],$B$63,Master_List_Of_Injuries[Supervisor],$A34,Master_List_Of_Injuries[Month.1],"March"))</f>
        <v>0</v>
      </c>
      <c r="O34" s="14">
        <f>IF($A34="","",COUNTIFS(Master_List_Of_Injuries[Year],$B$63,Master_List_Of_Injuries[Supervisor],$A34,Master_List_Of_Injuries[Month.1],"April"))</f>
        <v>0</v>
      </c>
      <c r="P34" s="14">
        <f>IF($A34="","",COUNTIFS(Master_List_Of_Injuries[Year],$B$63,Master_List_Of_Injuries[Supervisor],$A34,Master_List_Of_Injuries[Month.1],"May"))</f>
        <v>2</v>
      </c>
      <c r="Q34" s="14">
        <f>IF($A34="","",COUNTIFS(Master_List_Of_Injuries[Year],$B$63,Master_List_Of_Injuries[Supervisor],$A34,Master_List_Of_Injuries[Month.1],"June"))</f>
        <v>10</v>
      </c>
      <c r="R34" s="14">
        <f>IF($A34="","",COUNTIFS(Master_List_Of_Injuries[Year],$B$63,Master_List_Of_Injuries[Supervisor],$A34,Master_List_Of_Injuries[Month.1],"July"))</f>
        <v>7</v>
      </c>
    </row>
    <row r="35" spans="1:18" x14ac:dyDescent="0.2">
      <c r="A35" s="118" t="str">
        <f>IFERROR(INDEX(_xlfn.ANCHORARRAY(Data!$M$65),6,1),"")</f>
        <v>Diego Soria</v>
      </c>
      <c r="B35" s="119">
        <f>IF($A35="","",IFERROR(INDEX(_xlfn.ANCHORARRAY(Data!$M$65),6,2),0))</f>
        <v>18</v>
      </c>
      <c r="C35" s="15">
        <f t="shared" si="9"/>
        <v>6.545454545454546E-2</v>
      </c>
      <c r="D35" s="13" t="str">
        <f t="shared" si="10"/>
        <v>Jan</v>
      </c>
      <c r="E35" s="14">
        <f t="shared" si="11"/>
        <v>6</v>
      </c>
      <c r="F35" s="14">
        <f t="shared" si="12"/>
        <v>2</v>
      </c>
      <c r="G35" s="14">
        <f t="shared" si="13"/>
        <v>1</v>
      </c>
      <c r="H35" s="114">
        <f t="shared" si="14"/>
        <v>-1</v>
      </c>
      <c r="I35" s="14">
        <f t="shared" si="15"/>
        <v>3</v>
      </c>
      <c r="J35" s="14">
        <f t="shared" si="16"/>
        <v>5</v>
      </c>
      <c r="K35" s="205">
        <f t="shared" si="17"/>
        <v>20.399999999999999</v>
      </c>
      <c r="L35" s="14">
        <f>IF($A35="","",COUNTIFS(Master_List_Of_Injuries[Year],$B$63,Master_List_Of_Injuries[Supervisor],$A35,Master_List_Of_Injuries[Month.1],"January"))</f>
        <v>6</v>
      </c>
      <c r="M35" s="14">
        <f>IF($A35="","",COUNTIFS(Master_List_Of_Injuries[Year],$B$63,Master_List_Of_Injuries[Supervisor],$A35,Master_List_Of_Injuries[Month.1],"February"))</f>
        <v>1</v>
      </c>
      <c r="N35" s="14">
        <f>IF($A35="","",COUNTIFS(Master_List_Of_Injuries[Year],$B$63,Master_List_Of_Injuries[Supervisor],$A35,Master_List_Of_Injuries[Month.1],"March"))</f>
        <v>3</v>
      </c>
      <c r="O35" s="14">
        <f>IF($A35="","",COUNTIFS(Master_List_Of_Injuries[Year],$B$63,Master_List_Of_Injuries[Supervisor],$A35,Master_List_Of_Injuries[Month.1],"April"))</f>
        <v>4</v>
      </c>
      <c r="P35" s="14">
        <f>IF($A35="","",COUNTIFS(Master_List_Of_Injuries[Year],$B$63,Master_List_Of_Injuries[Supervisor],$A35,Master_List_Of_Injuries[Month.1],"May"))</f>
        <v>1</v>
      </c>
      <c r="Q35" s="14">
        <f>IF($A35="","",COUNTIFS(Master_List_Of_Injuries[Year],$B$63,Master_List_Of_Injuries[Supervisor],$A35,Master_List_Of_Injuries[Month.1],"June"))</f>
        <v>2</v>
      </c>
      <c r="R35" s="14">
        <f>IF($A35="","",COUNTIFS(Master_List_Of_Injuries[Year],$B$63,Master_List_Of_Injuries[Supervisor],$A35,Master_List_Of_Injuries[Month.1],"July"))</f>
        <v>1</v>
      </c>
    </row>
    <row r="36" spans="1:18" x14ac:dyDescent="0.2">
      <c r="A36" s="118" t="str">
        <f>IFERROR(INDEX(_xlfn.ANCHORARRAY(Data!$M$65),7,1),"")</f>
        <v>Christian Lopez</v>
      </c>
      <c r="B36" s="119">
        <f>IF($A36="","",IFERROR(INDEX(_xlfn.ANCHORARRAY(Data!$M$65),7,2),0))</f>
        <v>15</v>
      </c>
      <c r="C36" s="15">
        <f t="shared" si="9"/>
        <v>5.4545454545454543E-2</v>
      </c>
      <c r="D36" s="13" t="str">
        <f t="shared" si="10"/>
        <v>Feb</v>
      </c>
      <c r="E36" s="14">
        <f t="shared" si="11"/>
        <v>5</v>
      </c>
      <c r="F36" s="14">
        <f t="shared" si="12"/>
        <v>0</v>
      </c>
      <c r="G36" s="14">
        <f t="shared" si="13"/>
        <v>0</v>
      </c>
      <c r="H36" s="114">
        <f t="shared" si="14"/>
        <v>0</v>
      </c>
      <c r="I36" s="14">
        <f t="shared" si="15"/>
        <v>0</v>
      </c>
      <c r="J36" s="14">
        <f t="shared" si="16"/>
        <v>5</v>
      </c>
      <c r="K36" s="205">
        <f t="shared" si="17"/>
        <v>16.5</v>
      </c>
      <c r="L36" s="14">
        <f>IF($A36="","",COUNTIFS(Master_List_Of_Injuries[Year],$B$63,Master_List_Of_Injuries[Supervisor],$A36,Master_List_Of_Injuries[Month.1],"January"))</f>
        <v>3</v>
      </c>
      <c r="M36" s="14">
        <f>IF($A36="","",COUNTIFS(Master_List_Of_Injuries[Year],$B$63,Master_List_Of_Injuries[Supervisor],$A36,Master_List_Of_Injuries[Month.1],"February"))</f>
        <v>5</v>
      </c>
      <c r="N36" s="14">
        <f>IF($A36="","",COUNTIFS(Master_List_Of_Injuries[Year],$B$63,Master_List_Of_Injuries[Supervisor],$A36,Master_List_Of_Injuries[Month.1],"March"))</f>
        <v>2</v>
      </c>
      <c r="O36" s="14">
        <f>IF($A36="","",COUNTIFS(Master_List_Of_Injuries[Year],$B$63,Master_List_Of_Injuries[Supervisor],$A36,Master_List_Of_Injuries[Month.1],"April"))</f>
        <v>3</v>
      </c>
      <c r="P36" s="14">
        <f>IF($A36="","",COUNTIFS(Master_List_Of_Injuries[Year],$B$63,Master_List_Of_Injuries[Supervisor],$A36,Master_List_Of_Injuries[Month.1],"May"))</f>
        <v>2</v>
      </c>
      <c r="Q36" s="14">
        <f>IF($A36="","",COUNTIFS(Master_List_Of_Injuries[Year],$B$63,Master_List_Of_Injuries[Supervisor],$A36,Master_List_Of_Injuries[Month.1],"June"))</f>
        <v>0</v>
      </c>
      <c r="R36" s="14">
        <f>IF($A36="","",COUNTIFS(Master_List_Of_Injuries[Year],$B$63,Master_List_Of_Injuries[Supervisor],$A36,Master_List_Of_Injuries[Month.1],"July"))</f>
        <v>0</v>
      </c>
    </row>
    <row r="37" spans="1:18" x14ac:dyDescent="0.2">
      <c r="A37" s="118" t="str">
        <f>IFERROR(INDEX(_xlfn.ANCHORARRAY(Data!$M$65),8,1),"")</f>
        <v>Chadu Moua</v>
      </c>
      <c r="B37" s="119">
        <f>IF($A37="","",IFERROR(INDEX(_xlfn.ANCHORARRAY(Data!$M$65),8,2),0))</f>
        <v>15</v>
      </c>
      <c r="C37" s="15">
        <f t="shared" si="9"/>
        <v>5.4545454545454543E-2</v>
      </c>
      <c r="D37" s="13" t="str">
        <f t="shared" si="10"/>
        <v>Apr</v>
      </c>
      <c r="E37" s="14">
        <f t="shared" si="11"/>
        <v>7</v>
      </c>
      <c r="F37" s="14">
        <f t="shared" si="12"/>
        <v>2</v>
      </c>
      <c r="G37" s="14">
        <f t="shared" si="13"/>
        <v>2</v>
      </c>
      <c r="H37" s="114">
        <f t="shared" si="14"/>
        <v>0</v>
      </c>
      <c r="I37" s="14">
        <f t="shared" si="15"/>
        <v>4</v>
      </c>
      <c r="J37" s="14">
        <f t="shared" si="16"/>
        <v>7</v>
      </c>
      <c r="K37" s="205">
        <f t="shared" si="17"/>
        <v>20.6</v>
      </c>
      <c r="L37" s="14">
        <f>IF($A37="","",COUNTIFS(Master_List_Of_Injuries[Year],$B$63,Master_List_Of_Injuries[Supervisor],$A37,Master_List_Of_Injuries[Month.1],"January"))</f>
        <v>0</v>
      </c>
      <c r="M37" s="14">
        <f>IF($A37="","",COUNTIFS(Master_List_Of_Injuries[Year],$B$63,Master_List_Of_Injuries[Supervisor],$A37,Master_List_Of_Injuries[Month.1],"February"))</f>
        <v>3</v>
      </c>
      <c r="N37" s="14">
        <f>IF($A37="","",COUNTIFS(Master_List_Of_Injuries[Year],$B$63,Master_List_Of_Injuries[Supervisor],$A37,Master_List_Of_Injuries[Month.1],"March"))</f>
        <v>1</v>
      </c>
      <c r="O37" s="14">
        <f>IF($A37="","",COUNTIFS(Master_List_Of_Injuries[Year],$B$63,Master_List_Of_Injuries[Supervisor],$A37,Master_List_Of_Injuries[Month.1],"April"))</f>
        <v>7</v>
      </c>
      <c r="P37" s="14">
        <f>IF($A37="","",COUNTIFS(Master_List_Of_Injuries[Year],$B$63,Master_List_Of_Injuries[Supervisor],$A37,Master_List_Of_Injuries[Month.1],"May"))</f>
        <v>0</v>
      </c>
      <c r="Q37" s="14">
        <f>IF($A37="","",COUNTIFS(Master_List_Of_Injuries[Year],$B$63,Master_List_Of_Injuries[Supervisor],$A37,Master_List_Of_Injuries[Month.1],"June"))</f>
        <v>2</v>
      </c>
      <c r="R37" s="14">
        <f>IF($A37="","",COUNTIFS(Master_List_Of_Injuries[Year],$B$63,Master_List_Of_Injuries[Supervisor],$A37,Master_List_Of_Injuries[Month.1],"July"))</f>
        <v>2</v>
      </c>
    </row>
    <row r="38" spans="1:18" x14ac:dyDescent="0.2">
      <c r="A38" s="118" t="str">
        <f>IFERROR(INDEX(_xlfn.ANCHORARRAY(Data!$M$65),9,1),"")</f>
        <v>Richard Xiong</v>
      </c>
      <c r="B38" s="119">
        <f>IF($A38="","",IFERROR(INDEX(_xlfn.ANCHORARRAY(Data!$M$65),9,2),0))</f>
        <v>15</v>
      </c>
      <c r="C38" s="15">
        <f t="shared" si="9"/>
        <v>5.4545454545454543E-2</v>
      </c>
      <c r="D38" s="13" t="str">
        <f t="shared" si="10"/>
        <v>Jun</v>
      </c>
      <c r="E38" s="14">
        <f t="shared" si="11"/>
        <v>6</v>
      </c>
      <c r="F38" s="14">
        <f t="shared" si="12"/>
        <v>6</v>
      </c>
      <c r="G38" s="14">
        <f t="shared" si="13"/>
        <v>3</v>
      </c>
      <c r="H38" s="114">
        <f t="shared" si="14"/>
        <v>-3</v>
      </c>
      <c r="I38" s="14">
        <f t="shared" si="15"/>
        <v>9</v>
      </c>
      <c r="J38" s="14">
        <f t="shared" si="16"/>
        <v>6</v>
      </c>
      <c r="K38" s="205">
        <f t="shared" si="17"/>
        <v>21</v>
      </c>
      <c r="L38" s="14">
        <f>IF($A38="","",COUNTIFS(Master_List_Of_Injuries[Year],$B$63,Master_List_Of_Injuries[Supervisor],$A38,Master_List_Of_Injuries[Month.1],"January"))</f>
        <v>1</v>
      </c>
      <c r="M38" s="14">
        <f>IF($A38="","",COUNTIFS(Master_List_Of_Injuries[Year],$B$63,Master_List_Of_Injuries[Supervisor],$A38,Master_List_Of_Injuries[Month.1],"February"))</f>
        <v>2</v>
      </c>
      <c r="N38" s="14">
        <f>IF($A38="","",COUNTIFS(Master_List_Of_Injuries[Year],$B$63,Master_List_Of_Injuries[Supervisor],$A38,Master_List_Of_Injuries[Month.1],"March"))</f>
        <v>0</v>
      </c>
      <c r="O38" s="14">
        <f>IF($A38="","",COUNTIFS(Master_List_Of_Injuries[Year],$B$63,Master_List_Of_Injuries[Supervisor],$A38,Master_List_Of_Injuries[Month.1],"April"))</f>
        <v>2</v>
      </c>
      <c r="P38" s="14">
        <f>IF($A38="","",COUNTIFS(Master_List_Of_Injuries[Year],$B$63,Master_List_Of_Injuries[Supervisor],$A38,Master_List_Of_Injuries[Month.1],"May"))</f>
        <v>1</v>
      </c>
      <c r="Q38" s="14">
        <f>IF($A38="","",COUNTIFS(Master_List_Of_Injuries[Year],$B$63,Master_List_Of_Injuries[Supervisor],$A38,Master_List_Of_Injuries[Month.1],"June"))</f>
        <v>6</v>
      </c>
      <c r="R38" s="14">
        <f>IF($A38="","",COUNTIFS(Master_List_Of_Injuries[Year],$B$63,Master_List_Of_Injuries[Supervisor],$A38,Master_List_Of_Injuries[Month.1],"July"))</f>
        <v>3</v>
      </c>
    </row>
    <row r="39" spans="1:18" x14ac:dyDescent="0.2">
      <c r="A39" s="118" t="str">
        <f>IFERROR(INDEX(_xlfn.ANCHORARRAY(Data!$M$65),10,1),"")</f>
        <v>Rutilo Rodriguez</v>
      </c>
      <c r="B39" s="119">
        <f>IF($A39="","",IFERROR(INDEX(_xlfn.ANCHORARRAY(Data!$M$65),10,2),0))</f>
        <v>0</v>
      </c>
      <c r="C39" s="15">
        <f t="shared" si="9"/>
        <v>0</v>
      </c>
      <c r="D39" s="13" t="str">
        <f t="shared" si="10"/>
        <v>Jan</v>
      </c>
      <c r="E39" s="14">
        <f t="shared" si="11"/>
        <v>0</v>
      </c>
      <c r="F39" s="14">
        <f t="shared" si="12"/>
        <v>0</v>
      </c>
      <c r="G39" s="14">
        <f t="shared" si="13"/>
        <v>0</v>
      </c>
      <c r="H39" s="114">
        <f t="shared" si="14"/>
        <v>0</v>
      </c>
      <c r="I39" s="14">
        <f t="shared" si="15"/>
        <v>0</v>
      </c>
      <c r="J39" s="14">
        <f t="shared" si="16"/>
        <v>0</v>
      </c>
      <c r="K39" s="205">
        <f t="shared" si="17"/>
        <v>0</v>
      </c>
      <c r="L39" s="14">
        <f>IF($A39="","",COUNTIFS(Master_List_Of_Injuries[Year],$B$63,Master_List_Of_Injuries[Supervisor],$A39,Master_List_Of_Injuries[Month.1],"January"))</f>
        <v>0</v>
      </c>
      <c r="M39" s="14">
        <f>IF($A39="","",COUNTIFS(Master_List_Of_Injuries[Year],$B$63,Master_List_Of_Injuries[Supervisor],$A39,Master_List_Of_Injuries[Month.1],"February"))</f>
        <v>0</v>
      </c>
      <c r="N39" s="14">
        <f>IF($A39="","",COUNTIFS(Master_List_Of_Injuries[Year],$B$63,Master_List_Of_Injuries[Supervisor],$A39,Master_List_Of_Injuries[Month.1],"March"))</f>
        <v>0</v>
      </c>
      <c r="O39" s="14">
        <f>IF($A39="","",COUNTIFS(Master_List_Of_Injuries[Year],$B$63,Master_List_Of_Injuries[Supervisor],$A39,Master_List_Of_Injuries[Month.1],"April"))</f>
        <v>0</v>
      </c>
      <c r="P39" s="14">
        <f>IF($A39="","",COUNTIFS(Master_List_Of_Injuries[Year],$B$63,Master_List_Of_Injuries[Supervisor],$A39,Master_List_Of_Injuries[Month.1],"May"))</f>
        <v>0</v>
      </c>
      <c r="Q39" s="14">
        <f>IF($A39="","",COUNTIFS(Master_List_Of_Injuries[Year],$B$63,Master_List_Of_Injuries[Supervisor],$A39,Master_List_Of_Injuries[Month.1],"June"))</f>
        <v>0</v>
      </c>
      <c r="R39" s="14">
        <f>IF($A39="","",COUNTIFS(Master_List_Of_Injuries[Year],$B$63,Master_List_Of_Injuries[Supervisor],$A39,Master_List_Of_Injuries[Month.1],"July"))</f>
        <v>0</v>
      </c>
    </row>
    <row r="42" spans="1:18" ht="15" x14ac:dyDescent="0.2">
      <c r="A42" s="187" t="s">
        <v>1091</v>
      </c>
      <c r="B42" s="187"/>
      <c r="C42" s="187"/>
      <c r="D42" s="187"/>
      <c r="E42" s="187"/>
      <c r="F42" s="187"/>
      <c r="G42" s="187"/>
      <c r="H42" s="187"/>
      <c r="I42" s="187"/>
      <c r="J42" s="187"/>
      <c r="K42" s="212"/>
      <c r="L42" s="186" t="s">
        <v>1093</v>
      </c>
      <c r="M42" s="186"/>
      <c r="N42" s="186"/>
      <c r="O42" s="186"/>
    </row>
    <row r="43" spans="1:18" ht="15" x14ac:dyDescent="0.25">
      <c r="A43" s="16" t="s">
        <v>2</v>
      </c>
      <c r="B43" s="16" t="str">
        <f>IFERROR("Area "&amp;INDEX(_xlfn.ANCHORARRAY(Data!$J$65),1,1),"")</f>
        <v>Area 102</v>
      </c>
      <c r="C43" s="16" t="str">
        <f>IFERROR("Area "&amp;INDEX(_xlfn.ANCHORARRAY(Data!$J$65),2,1),"")</f>
        <v>Area 410</v>
      </c>
      <c r="D43" s="16" t="str">
        <f>IFERROR("Area "&amp;INDEX(_xlfn.ANCHORARRAY(Data!$J$65),3,1),"")</f>
        <v>Area 420</v>
      </c>
      <c r="E43" s="16" t="str">
        <f>IFERROR("Area "&amp;INDEX(_xlfn.ANCHORARRAY(Data!$J$65),4,1),"")</f>
        <v>Area 400</v>
      </c>
      <c r="F43" s="16" t="str">
        <f>IFERROR("Area "&amp;INDEX(_xlfn.ANCHORARRAY(Data!$J$65),5,1),"")</f>
        <v>Area 405</v>
      </c>
      <c r="G43" s="16" t="str">
        <f>IFERROR("Area "&amp;INDEX(_xlfn.ANCHORARRAY(Data!$J$65),6,1),"")</f>
        <v>Area 109</v>
      </c>
      <c r="H43" s="16" t="str">
        <f>IFERROR("Area "&amp;INDEX(_xlfn.ANCHORARRAY(Data!$J$65),7,1),"")</f>
        <v>Area 101</v>
      </c>
      <c r="I43" s="16" t="str">
        <f>IFERROR("Area "&amp;INDEX(_xlfn.ANCHORARRAY(Data!$J$65),8,1),"")</f>
        <v>Area 429</v>
      </c>
      <c r="J43" s="206" t="s">
        <v>1092</v>
      </c>
      <c r="K43" s="211" t="s">
        <v>1089</v>
      </c>
      <c r="L43" s="208" t="s">
        <v>2</v>
      </c>
      <c r="M43" s="16" t="s">
        <v>3</v>
      </c>
      <c r="N43" s="16" t="s">
        <v>1053</v>
      </c>
      <c r="O43" s="16" t="s">
        <v>1069</v>
      </c>
    </row>
    <row r="44" spans="1:18" x14ac:dyDescent="0.2">
      <c r="A44" s="118" t="str">
        <f>IFERROR(INDEX(_xlfn.ANCHORARRAY(Data!$M$65),1,1),"")</f>
        <v>Samuel Sierra</v>
      </c>
      <c r="B44" s="14">
        <f>IF(OR($A44="",B$43=""),"",COUNTIFS(Master_List_Of_Injuries[Year],$B$63,Master_List_Of_Injuries[Supervisor],$A44,Master_List_Of_Injuries[Area],INDEX(_xlfn.ANCHORARRAY(Data!$J$65),1,1)))</f>
        <v>5</v>
      </c>
      <c r="C44" s="14">
        <f>IF(OR($A44="",C$43=""),"",COUNTIFS(Master_List_Of_Injuries[Year],$B$63,Master_List_Of_Injuries[Supervisor],$A44,Master_List_Of_Injuries[Area],INDEX(_xlfn.ANCHORARRAY(Data!$J$65),2,1)))</f>
        <v>0</v>
      </c>
      <c r="D44" s="14">
        <f>IF(OR($A44="",D$43=""),"",COUNTIFS(Master_List_Of_Injuries[Year],$B$63,Master_List_Of_Injuries[Supervisor],$A44,Master_List_Of_Injuries[Area],INDEX(_xlfn.ANCHORARRAY(Data!$J$65),3,1)))</f>
        <v>0</v>
      </c>
      <c r="E44" s="14">
        <f>IF(OR($A44="",E$43=""),"",COUNTIFS(Master_List_Of_Injuries[Year],$B$63,Master_List_Of_Injuries[Supervisor],$A44,Master_List_Of_Injuries[Area],INDEX(_xlfn.ANCHORARRAY(Data!$J$65),4,1)))</f>
        <v>0</v>
      </c>
      <c r="F44" s="14">
        <f>IF(OR($A44="",F$43=""),"",COUNTIFS(Master_List_Of_Injuries[Year],$B$63,Master_List_Of_Injuries[Supervisor],$A44,Master_List_Of_Injuries[Area],INDEX(_xlfn.ANCHORARRAY(Data!$J$65),5,1)))</f>
        <v>0</v>
      </c>
      <c r="G44" s="14">
        <f>IF(OR($A44="",G$43=""),"",COUNTIFS(Master_List_Of_Injuries[Year],$B$63,Master_List_Of_Injuries[Supervisor],$A44,Master_List_Of_Injuries[Area],INDEX(_xlfn.ANCHORARRAY(Data!$J$65),6,1)))</f>
        <v>12</v>
      </c>
      <c r="H44" s="14">
        <f>IF(OR($A44="",H$43=""),"",COUNTIFS(Master_List_Of_Injuries[Year],$B$63,Master_List_Of_Injuries[Supervisor],$A44,Master_List_Of_Injuries[Area],INDEX(_xlfn.ANCHORARRAY(Data!$J$65),7,1)))</f>
        <v>0</v>
      </c>
      <c r="I44" s="14">
        <f>IF(OR($A44="",I$43=""),"",COUNTIFS(Master_List_Of_Injuries[Year],$B$63,Master_List_Of_Injuries[Supervisor],$A44,Master_List_Of_Injuries[Area],INDEX(_xlfn.ANCHORARRAY(Data!$J$65),8,1)))</f>
        <v>0</v>
      </c>
      <c r="J44" s="207">
        <f t="shared" ref="J44:J51" si="18">IF($A44="","",SUM(B44:I44))</f>
        <v>17</v>
      </c>
      <c r="K44" s="210">
        <f>IF($A44="","",IFERROR(INDEX($K$30:$K$39,MATCH($A44,$A$30:$A$39,0)),""))</f>
        <v>28.9</v>
      </c>
      <c r="L44" s="209" t="str" cm="1">
        <f t="array" ref="L44:O52">_xlfn.LET(
_xlpm.m,$B$44:$I$51,
_xlpm.r,$A$44:$A$51,
_xlpm.c,$B$43:$I$43,
_xlpm.n,ROWS(_xlpm.m)*COLUMNS(_xlpm.m),
_xlpm.rIdx,INT((_xlfn.SEQUENCE(_xlpm.n)-1)/COLUMNS(_xlpm.m))+1,
_xlpm.cIdx,MOD(_xlfn.SEQUENCE(_xlpm.n)-1,COLUMNS(_xlpm.m))+1,
_xlpm.sup,INDEX(_xlpm.r,_xlpm.rIdx),
_xlpm.area,INDEX(_xlpm.c,_xlpm.cIdx),
_xlpm.cnt,_xlfn.TOCOL(_xlpm.m),
_xlpm.areaNum,IFERROR(--TRIM(SUBSTITUTE(_xlpm.area,"Area","")),_xlpm.area),
_xlpm.data,_xlfn.HSTACK(_xlpm.sup,_xlpm.areaNum,_xlpm.cnt,IFERROR(_xlpm.cnt/$A$11,0)),
_xlpm.filt,_xlfn._xlws.FILTER(_xlpm.data,_xlpm.cnt&gt;0),
_xlfn.TAKE(_xlfn._xlws.SORT(_xlpm.filt,3,-1),10)
)</f>
        <v>Elizabeth Neufeld</v>
      </c>
      <c r="M44" s="13">
        <v>420</v>
      </c>
      <c r="N44" s="14">
        <v>22</v>
      </c>
      <c r="O44" s="15">
        <v>0.08</v>
      </c>
    </row>
    <row r="45" spans="1:18" x14ac:dyDescent="0.2">
      <c r="A45" s="118" t="str">
        <f>IFERROR(INDEX(_xlfn.ANCHORARRAY(Data!$M$65),2,1),"")</f>
        <v>Elizabeth Neufeld</v>
      </c>
      <c r="B45" s="14">
        <f>IF(OR($A45="",B$43=""),"",COUNTIFS(Master_List_Of_Injuries[Year],$B$63,Master_List_Of_Injuries[Supervisor],$A45,Master_List_Of_Injuries[Area],INDEX(_xlfn.ANCHORARRAY(Data!$J$65),1,1)))</f>
        <v>0</v>
      </c>
      <c r="C45" s="14">
        <f>IF(OR($A45="",C$43=""),"",COUNTIFS(Master_List_Of_Injuries[Year],$B$63,Master_List_Of_Injuries[Supervisor],$A45,Master_List_Of_Injuries[Area],INDEX(_xlfn.ANCHORARRAY(Data!$J$65),2,1)))</f>
        <v>0</v>
      </c>
      <c r="D45" s="14">
        <f>IF(OR($A45="",D$43=""),"",COUNTIFS(Master_List_Of_Injuries[Year],$B$63,Master_List_Of_Injuries[Supervisor],$A45,Master_List_Of_Injuries[Area],INDEX(_xlfn.ANCHORARRAY(Data!$J$65),3,1)))</f>
        <v>22</v>
      </c>
      <c r="E45" s="14">
        <f>IF(OR($A45="",E$43=""),"",COUNTIFS(Master_List_Of_Injuries[Year],$B$63,Master_List_Of_Injuries[Supervisor],$A45,Master_List_Of_Injuries[Area],INDEX(_xlfn.ANCHORARRAY(Data!$J$65),4,1)))</f>
        <v>0</v>
      </c>
      <c r="F45" s="14">
        <f>IF(OR($A45="",F$43=""),"",COUNTIFS(Master_List_Of_Injuries[Year],$B$63,Master_List_Of_Injuries[Supervisor],$A45,Master_List_Of_Injuries[Area],INDEX(_xlfn.ANCHORARRAY(Data!$J$65),5,1)))</f>
        <v>0</v>
      </c>
      <c r="G45" s="14">
        <f>IF(OR($A45="",G$43=""),"",COUNTIFS(Master_List_Of_Injuries[Year],$B$63,Master_List_Of_Injuries[Supervisor],$A45,Master_List_Of_Injuries[Area],INDEX(_xlfn.ANCHORARRAY(Data!$J$65),6,1)))</f>
        <v>0</v>
      </c>
      <c r="H45" s="14">
        <f>IF(OR($A45="",H$43=""),"",COUNTIFS(Master_List_Of_Injuries[Year],$B$63,Master_List_Of_Injuries[Supervisor],$A45,Master_List_Of_Injuries[Area],INDEX(_xlfn.ANCHORARRAY(Data!$J$65),7,1)))</f>
        <v>0</v>
      </c>
      <c r="I45" s="14">
        <f>IF(OR($A45="",I$43=""),"",COUNTIFS(Master_List_Of_Injuries[Year],$B$63,Master_List_Of_Injuries[Supervisor],$A45,Master_List_Of_Injuries[Area],INDEX(_xlfn.ANCHORARRAY(Data!$J$65),8,1)))</f>
        <v>0</v>
      </c>
      <c r="J45" s="207">
        <f t="shared" si="18"/>
        <v>22</v>
      </c>
      <c r="K45" s="210">
        <f t="shared" ref="K45:K51" si="19">IF($A45="","",IFERROR(INDEX($K$30:$K$39,MATCH($A45,$A$30:$A$39,0)),""))</f>
        <v>23.1</v>
      </c>
      <c r="L45" s="209" t="str">
        <v>Juan Ramirez</v>
      </c>
      <c r="M45" s="13">
        <v>410</v>
      </c>
      <c r="N45" s="14">
        <v>21</v>
      </c>
      <c r="O45" s="15">
        <v>7.636363636363637E-2</v>
      </c>
    </row>
    <row r="46" spans="1:18" x14ac:dyDescent="0.2">
      <c r="A46" s="118" t="str">
        <f>IFERROR(INDEX(_xlfn.ANCHORARRAY(Data!$M$65),3,1),"")</f>
        <v>Juan Ramirez</v>
      </c>
      <c r="B46" s="14">
        <f>IF(OR($A46="",B$43=""),"",COUNTIFS(Master_List_Of_Injuries[Year],$B$63,Master_List_Of_Injuries[Supervisor],$A46,Master_List_Of_Injuries[Area],INDEX(_xlfn.ANCHORARRAY(Data!$J$65),1,1)))</f>
        <v>0</v>
      </c>
      <c r="C46" s="14">
        <f>IF(OR($A46="",C$43=""),"",COUNTIFS(Master_List_Of_Injuries[Year],$B$63,Master_List_Of_Injuries[Supervisor],$A46,Master_List_Of_Injuries[Area],INDEX(_xlfn.ANCHORARRAY(Data!$J$65),2,1)))</f>
        <v>21</v>
      </c>
      <c r="D46" s="14">
        <f>IF(OR($A46="",D$43=""),"",COUNTIFS(Master_List_Of_Injuries[Year],$B$63,Master_List_Of_Injuries[Supervisor],$A46,Master_List_Of_Injuries[Area],INDEX(_xlfn.ANCHORARRAY(Data!$J$65),3,1)))</f>
        <v>0</v>
      </c>
      <c r="E46" s="14">
        <f>IF(OR($A46="",E$43=""),"",COUNTIFS(Master_List_Of_Injuries[Year],$B$63,Master_List_Of_Injuries[Supervisor],$A46,Master_List_Of_Injuries[Area],INDEX(_xlfn.ANCHORARRAY(Data!$J$65),4,1)))</f>
        <v>0</v>
      </c>
      <c r="F46" s="14">
        <f>IF(OR($A46="",F$43=""),"",COUNTIFS(Master_List_Of_Injuries[Year],$B$63,Master_List_Of_Injuries[Supervisor],$A46,Master_List_Of_Injuries[Area],INDEX(_xlfn.ANCHORARRAY(Data!$J$65),5,1)))</f>
        <v>0</v>
      </c>
      <c r="G46" s="14">
        <f>IF(OR($A46="",G$43=""),"",COUNTIFS(Master_List_Of_Injuries[Year],$B$63,Master_List_Of_Injuries[Supervisor],$A46,Master_List_Of_Injuries[Area],INDEX(_xlfn.ANCHORARRAY(Data!$J$65),6,1)))</f>
        <v>0</v>
      </c>
      <c r="H46" s="14">
        <f>IF(OR($A46="",H$43=""),"",COUNTIFS(Master_List_Of_Injuries[Year],$B$63,Master_List_Of_Injuries[Supervisor],$A46,Master_List_Of_Injuries[Area],INDEX(_xlfn.ANCHORARRAY(Data!$J$65),7,1)))</f>
        <v>0</v>
      </c>
      <c r="I46" s="14">
        <f>IF(OR($A46="",I$43=""),"",COUNTIFS(Master_List_Of_Injuries[Year],$B$63,Master_List_Of_Injuries[Supervisor],$A46,Master_List_Of_Injuries[Area],INDEX(_xlfn.ANCHORARRAY(Data!$J$65),8,1)))</f>
        <v>0</v>
      </c>
      <c r="J46" s="207">
        <f t="shared" si="18"/>
        <v>21</v>
      </c>
      <c r="K46" s="210">
        <f t="shared" si="19"/>
        <v>25.1</v>
      </c>
      <c r="L46" s="209" t="str">
        <v>Ovidio Sanchez</v>
      </c>
      <c r="M46" s="13">
        <v>400</v>
      </c>
      <c r="N46" s="14">
        <v>21</v>
      </c>
      <c r="O46" s="15">
        <v>7.636363636363637E-2</v>
      </c>
    </row>
    <row r="47" spans="1:18" x14ac:dyDescent="0.2">
      <c r="A47" s="118" t="str">
        <f>IFERROR(INDEX(_xlfn.ANCHORARRAY(Data!$M$65),4,1),"")</f>
        <v>Ovidio Sanchez</v>
      </c>
      <c r="B47" s="14">
        <f>IF(OR($A47="",B$43=""),"",COUNTIFS(Master_List_Of_Injuries[Year],$B$63,Master_List_Of_Injuries[Supervisor],$A47,Master_List_Of_Injuries[Area],INDEX(_xlfn.ANCHORARRAY(Data!$J$65),1,1)))</f>
        <v>0</v>
      </c>
      <c r="C47" s="14">
        <f>IF(OR($A47="",C$43=""),"",COUNTIFS(Master_List_Of_Injuries[Year],$B$63,Master_List_Of_Injuries[Supervisor],$A47,Master_List_Of_Injuries[Area],INDEX(_xlfn.ANCHORARRAY(Data!$J$65),2,1)))</f>
        <v>0</v>
      </c>
      <c r="D47" s="14">
        <f>IF(OR($A47="",D$43=""),"",COUNTIFS(Master_List_Of_Injuries[Year],$B$63,Master_List_Of_Injuries[Supervisor],$A47,Master_List_Of_Injuries[Area],INDEX(_xlfn.ANCHORARRAY(Data!$J$65),3,1)))</f>
        <v>0</v>
      </c>
      <c r="E47" s="14">
        <f>IF(OR($A47="",E$43=""),"",COUNTIFS(Master_List_Of_Injuries[Year],$B$63,Master_List_Of_Injuries[Supervisor],$A47,Master_List_Of_Injuries[Area],INDEX(_xlfn.ANCHORARRAY(Data!$J$65),4,1)))</f>
        <v>21</v>
      </c>
      <c r="F47" s="14">
        <f>IF(OR($A47="",F$43=""),"",COUNTIFS(Master_List_Of_Injuries[Year],$B$63,Master_List_Of_Injuries[Supervisor],$A47,Master_List_Of_Injuries[Area],INDEX(_xlfn.ANCHORARRAY(Data!$J$65),5,1)))</f>
        <v>0</v>
      </c>
      <c r="G47" s="14">
        <f>IF(OR($A47="",G$43=""),"",COUNTIFS(Master_List_Of_Injuries[Year],$B$63,Master_List_Of_Injuries[Supervisor],$A47,Master_List_Of_Injuries[Area],INDEX(_xlfn.ANCHORARRAY(Data!$J$65),6,1)))</f>
        <v>0</v>
      </c>
      <c r="H47" s="14">
        <f>IF(OR($A47="",H$43=""),"",COUNTIFS(Master_List_Of_Injuries[Year],$B$63,Master_List_Of_Injuries[Supervisor],$A47,Master_List_Of_Injuries[Area],INDEX(_xlfn.ANCHORARRAY(Data!$J$65),7,1)))</f>
        <v>0</v>
      </c>
      <c r="I47" s="14">
        <f>IF(OR($A47="",I$43=""),"",COUNTIFS(Master_List_Of_Injuries[Year],$B$63,Master_List_Of_Injuries[Supervisor],$A47,Master_List_Of_Injuries[Area],INDEX(_xlfn.ANCHORARRAY(Data!$J$65),8,1)))</f>
        <v>0</v>
      </c>
      <c r="J47" s="207">
        <f t="shared" si="18"/>
        <v>21</v>
      </c>
      <c r="K47" s="210">
        <f t="shared" si="19"/>
        <v>25.6</v>
      </c>
      <c r="L47" s="209" t="str">
        <v>Alex Vargas</v>
      </c>
      <c r="M47" s="13">
        <v>102</v>
      </c>
      <c r="N47" s="14">
        <v>19</v>
      </c>
      <c r="O47" s="15">
        <v>6.9090909090909092E-2</v>
      </c>
    </row>
    <row r="48" spans="1:18" x14ac:dyDescent="0.2">
      <c r="A48" s="118" t="str">
        <f>IFERROR(INDEX(_xlfn.ANCHORARRAY(Data!$M$65),5,1),"")</f>
        <v>Alex Vargas</v>
      </c>
      <c r="B48" s="14">
        <f>IF(OR($A48="",B$43=""),"",COUNTIFS(Master_List_Of_Injuries[Year],$B$63,Master_List_Of_Injuries[Supervisor],$A48,Master_List_Of_Injuries[Area],INDEX(_xlfn.ANCHORARRAY(Data!$J$65),1,1)))</f>
        <v>19</v>
      </c>
      <c r="C48" s="14">
        <f>IF(OR($A48="",C$43=""),"",COUNTIFS(Master_List_Of_Injuries[Year],$B$63,Master_List_Of_Injuries[Supervisor],$A48,Master_List_Of_Injuries[Area],INDEX(_xlfn.ANCHORARRAY(Data!$J$65),2,1)))</f>
        <v>0</v>
      </c>
      <c r="D48" s="14">
        <f>IF(OR($A48="",D$43=""),"",COUNTIFS(Master_List_Of_Injuries[Year],$B$63,Master_List_Of_Injuries[Supervisor],$A48,Master_List_Of_Injuries[Area],INDEX(_xlfn.ANCHORARRAY(Data!$J$65),3,1)))</f>
        <v>0</v>
      </c>
      <c r="E48" s="14">
        <f>IF(OR($A48="",E$43=""),"",COUNTIFS(Master_List_Of_Injuries[Year],$B$63,Master_List_Of_Injuries[Supervisor],$A48,Master_List_Of_Injuries[Area],INDEX(_xlfn.ANCHORARRAY(Data!$J$65),4,1)))</f>
        <v>0</v>
      </c>
      <c r="F48" s="14">
        <f>IF(OR($A48="",F$43=""),"",COUNTIFS(Master_List_Of_Injuries[Year],$B$63,Master_List_Of_Injuries[Supervisor],$A48,Master_List_Of_Injuries[Area],INDEX(_xlfn.ANCHORARRAY(Data!$J$65),5,1)))</f>
        <v>0</v>
      </c>
      <c r="G48" s="14">
        <f>IF(OR($A48="",G$43=""),"",COUNTIFS(Master_List_Of_Injuries[Year],$B$63,Master_List_Of_Injuries[Supervisor],$A48,Master_List_Of_Injuries[Area],INDEX(_xlfn.ANCHORARRAY(Data!$J$65),6,1)))</f>
        <v>0</v>
      </c>
      <c r="H48" s="14">
        <f>IF(OR($A48="",H$43=""),"",COUNTIFS(Master_List_Of_Injuries[Year],$B$63,Master_List_Of_Injuries[Supervisor],$A48,Master_List_Of_Injuries[Area],INDEX(_xlfn.ANCHORARRAY(Data!$J$65),7,1)))</f>
        <v>0</v>
      </c>
      <c r="I48" s="14">
        <f>IF(OR($A48="",I$43=""),"",COUNTIFS(Master_List_Of_Injuries[Year],$B$63,Master_List_Of_Injuries[Supervisor],$A48,Master_List_Of_Injuries[Area],INDEX(_xlfn.ANCHORARRAY(Data!$J$65),8,1)))</f>
        <v>0</v>
      </c>
      <c r="J48" s="207">
        <f t="shared" si="18"/>
        <v>19</v>
      </c>
      <c r="K48" s="210">
        <f t="shared" si="19"/>
        <v>31.8</v>
      </c>
      <c r="L48" s="209" t="str">
        <v>Diego Soria</v>
      </c>
      <c r="M48" s="13">
        <v>405</v>
      </c>
      <c r="N48" s="14">
        <v>18</v>
      </c>
      <c r="O48" s="15">
        <v>6.545454545454546E-2</v>
      </c>
    </row>
    <row r="49" spans="1:19" x14ac:dyDescent="0.2">
      <c r="A49" s="118" t="str">
        <f>IFERROR(INDEX(_xlfn.ANCHORARRAY(Data!$M$65),6,1),"")</f>
        <v>Diego Soria</v>
      </c>
      <c r="B49" s="14">
        <f>IF(OR($A49="",B$43=""),"",COUNTIFS(Master_List_Of_Injuries[Year],$B$63,Master_List_Of_Injuries[Supervisor],$A49,Master_List_Of_Injuries[Area],INDEX(_xlfn.ANCHORARRAY(Data!$J$65),1,1)))</f>
        <v>0</v>
      </c>
      <c r="C49" s="14">
        <f>IF(OR($A49="",C$43=""),"",COUNTIFS(Master_List_Of_Injuries[Year],$B$63,Master_List_Of_Injuries[Supervisor],$A49,Master_List_Of_Injuries[Area],INDEX(_xlfn.ANCHORARRAY(Data!$J$65),2,1)))</f>
        <v>0</v>
      </c>
      <c r="D49" s="14">
        <f>IF(OR($A49="",D$43=""),"",COUNTIFS(Master_List_Of_Injuries[Year],$B$63,Master_List_Of_Injuries[Supervisor],$A49,Master_List_Of_Injuries[Area],INDEX(_xlfn.ANCHORARRAY(Data!$J$65),3,1)))</f>
        <v>0</v>
      </c>
      <c r="E49" s="14">
        <f>IF(OR($A49="",E$43=""),"",COUNTIFS(Master_List_Of_Injuries[Year],$B$63,Master_List_Of_Injuries[Supervisor],$A49,Master_List_Of_Injuries[Area],INDEX(_xlfn.ANCHORARRAY(Data!$J$65),4,1)))</f>
        <v>0</v>
      </c>
      <c r="F49" s="14">
        <f>IF(OR($A49="",F$43=""),"",COUNTIFS(Master_List_Of_Injuries[Year],$B$63,Master_List_Of_Injuries[Supervisor],$A49,Master_List_Of_Injuries[Area],INDEX(_xlfn.ANCHORARRAY(Data!$J$65),5,1)))</f>
        <v>18</v>
      </c>
      <c r="G49" s="14">
        <f>IF(OR($A49="",G$43=""),"",COUNTIFS(Master_List_Of_Injuries[Year],$B$63,Master_List_Of_Injuries[Supervisor],$A49,Master_List_Of_Injuries[Area],INDEX(_xlfn.ANCHORARRAY(Data!$J$65),6,1)))</f>
        <v>0</v>
      </c>
      <c r="H49" s="14">
        <f>IF(OR($A49="",H$43=""),"",COUNTIFS(Master_List_Of_Injuries[Year],$B$63,Master_List_Of_Injuries[Supervisor],$A49,Master_List_Of_Injuries[Area],INDEX(_xlfn.ANCHORARRAY(Data!$J$65),7,1)))</f>
        <v>0</v>
      </c>
      <c r="I49" s="14">
        <f>IF(OR($A49="",I$43=""),"",COUNTIFS(Master_List_Of_Injuries[Year],$B$63,Master_List_Of_Injuries[Supervisor],$A49,Master_List_Of_Injuries[Area],INDEX(_xlfn.ANCHORARRAY(Data!$J$65),8,1)))</f>
        <v>0</v>
      </c>
      <c r="J49" s="207">
        <f t="shared" si="18"/>
        <v>18</v>
      </c>
      <c r="K49" s="210">
        <f t="shared" si="19"/>
        <v>20.399999999999999</v>
      </c>
      <c r="L49" s="209" t="str">
        <v>Chadu Moua</v>
      </c>
      <c r="M49" s="13">
        <v>429</v>
      </c>
      <c r="N49" s="14">
        <v>14</v>
      </c>
      <c r="O49" s="15">
        <v>5.0909090909090911E-2</v>
      </c>
    </row>
    <row r="50" spans="1:19" x14ac:dyDescent="0.2">
      <c r="A50" s="118" t="str">
        <f>IFERROR(INDEX(_xlfn.ANCHORARRAY(Data!$M$65),7,1),"")</f>
        <v>Christian Lopez</v>
      </c>
      <c r="B50" s="14">
        <f>IF(OR($A50="",B$43=""),"",COUNTIFS(Master_List_Of_Injuries[Year],$B$63,Master_List_Of_Injuries[Supervisor],$A50,Master_List_Of_Injuries[Area],INDEX(_xlfn.ANCHORARRAY(Data!$J$65),1,1)))</f>
        <v>0</v>
      </c>
      <c r="C50" s="14">
        <f>IF(OR($A50="",C$43=""),"",COUNTIFS(Master_List_Of_Injuries[Year],$B$63,Master_List_Of_Injuries[Supervisor],$A50,Master_List_Of_Injuries[Area],INDEX(_xlfn.ANCHORARRAY(Data!$J$65),2,1)))</f>
        <v>0</v>
      </c>
      <c r="D50" s="14">
        <f>IF(OR($A50="",D$43=""),"",COUNTIFS(Master_List_Of_Injuries[Year],$B$63,Master_List_Of_Injuries[Supervisor],$A50,Master_List_Of_Injuries[Area],INDEX(_xlfn.ANCHORARRAY(Data!$J$65),3,1)))</f>
        <v>0</v>
      </c>
      <c r="E50" s="14">
        <f>IF(OR($A50="",E$43=""),"",COUNTIFS(Master_List_Of_Injuries[Year],$B$63,Master_List_Of_Injuries[Supervisor],$A50,Master_List_Of_Injuries[Area],INDEX(_xlfn.ANCHORARRAY(Data!$J$65),4,1)))</f>
        <v>0</v>
      </c>
      <c r="F50" s="14">
        <f>IF(OR($A50="",F$43=""),"",COUNTIFS(Master_List_Of_Injuries[Year],$B$63,Master_List_Of_Injuries[Supervisor],$A50,Master_List_Of_Injuries[Area],INDEX(_xlfn.ANCHORARRAY(Data!$J$65),5,1)))</f>
        <v>0</v>
      </c>
      <c r="G50" s="14">
        <f>IF(OR($A50="",G$43=""),"",COUNTIFS(Master_List_Of_Injuries[Year],$B$63,Master_List_Of_Injuries[Supervisor],$A50,Master_List_Of_Injuries[Area],INDEX(_xlfn.ANCHORARRAY(Data!$J$65),6,1)))</f>
        <v>4</v>
      </c>
      <c r="H50" s="14">
        <f>IF(OR($A50="",H$43=""),"",COUNTIFS(Master_List_Of_Injuries[Year],$B$63,Master_List_Of_Injuries[Supervisor],$A50,Master_List_Of_Injuries[Area],INDEX(_xlfn.ANCHORARRAY(Data!$J$65),7,1)))</f>
        <v>0</v>
      </c>
      <c r="I50" s="14">
        <f>IF(OR($A50="",I$43=""),"",COUNTIFS(Master_List_Of_Injuries[Year],$B$63,Master_List_Of_Injuries[Supervisor],$A50,Master_List_Of_Injuries[Area],INDEX(_xlfn.ANCHORARRAY(Data!$J$65),8,1)))</f>
        <v>0</v>
      </c>
      <c r="J50" s="207">
        <f t="shared" si="18"/>
        <v>4</v>
      </c>
      <c r="K50" s="210">
        <f t="shared" si="19"/>
        <v>16.5</v>
      </c>
      <c r="L50" s="209" t="str">
        <v>Samuel Sierra</v>
      </c>
      <c r="M50" s="13">
        <v>109</v>
      </c>
      <c r="N50" s="14">
        <v>12</v>
      </c>
      <c r="O50" s="15">
        <v>4.363636363636364E-2</v>
      </c>
    </row>
    <row r="51" spans="1:19" x14ac:dyDescent="0.2">
      <c r="A51" s="118" t="str">
        <f>IFERROR(INDEX(_xlfn.ANCHORARRAY(Data!$M$65),8,1),"")</f>
        <v>Chadu Moua</v>
      </c>
      <c r="B51" s="14">
        <f>IF(OR($A51="",B$43=""),"",COUNTIFS(Master_List_Of_Injuries[Year],$B$63,Master_List_Of_Injuries[Supervisor],$A51,Master_List_Of_Injuries[Area],INDEX(_xlfn.ANCHORARRAY(Data!$J$65),1,1)))</f>
        <v>0</v>
      </c>
      <c r="C51" s="14">
        <f>IF(OR($A51="",C$43=""),"",COUNTIFS(Master_List_Of_Injuries[Year],$B$63,Master_List_Of_Injuries[Supervisor],$A51,Master_List_Of_Injuries[Area],INDEX(_xlfn.ANCHORARRAY(Data!$J$65),2,1)))</f>
        <v>0</v>
      </c>
      <c r="D51" s="14">
        <f>IF(OR($A51="",D$43=""),"",COUNTIFS(Master_List_Of_Injuries[Year],$B$63,Master_List_Of_Injuries[Supervisor],$A51,Master_List_Of_Injuries[Area],INDEX(_xlfn.ANCHORARRAY(Data!$J$65),3,1)))</f>
        <v>0</v>
      </c>
      <c r="E51" s="14">
        <f>IF(OR($A51="",E$43=""),"",COUNTIFS(Master_List_Of_Injuries[Year],$B$63,Master_List_Of_Injuries[Supervisor],$A51,Master_List_Of_Injuries[Area],INDEX(_xlfn.ANCHORARRAY(Data!$J$65),4,1)))</f>
        <v>0</v>
      </c>
      <c r="F51" s="14">
        <f>IF(OR($A51="",F$43=""),"",COUNTIFS(Master_List_Of_Injuries[Year],$B$63,Master_List_Of_Injuries[Supervisor],$A51,Master_List_Of_Injuries[Area],INDEX(_xlfn.ANCHORARRAY(Data!$J$65),5,1)))</f>
        <v>0</v>
      </c>
      <c r="G51" s="14">
        <f>IF(OR($A51="",G$43=""),"",COUNTIFS(Master_List_Of_Injuries[Year],$B$63,Master_List_Of_Injuries[Supervisor],$A51,Master_List_Of_Injuries[Area],INDEX(_xlfn.ANCHORARRAY(Data!$J$65),6,1)))</f>
        <v>0</v>
      </c>
      <c r="H51" s="14">
        <f>IF(OR($A51="",H$43=""),"",COUNTIFS(Master_List_Of_Injuries[Year],$B$63,Master_List_Of_Injuries[Supervisor],$A51,Master_List_Of_Injuries[Area],INDEX(_xlfn.ANCHORARRAY(Data!$J$65),7,1)))</f>
        <v>0</v>
      </c>
      <c r="I51" s="14">
        <f>IF(OR($A51="",I$43=""),"",COUNTIFS(Master_List_Of_Injuries[Year],$B$63,Master_List_Of_Injuries[Supervisor],$A51,Master_List_Of_Injuries[Area],INDEX(_xlfn.ANCHORARRAY(Data!$J$65),8,1)))</f>
        <v>14</v>
      </c>
      <c r="J51" s="207">
        <f t="shared" si="18"/>
        <v>14</v>
      </c>
      <c r="K51" s="213">
        <f t="shared" si="19"/>
        <v>20.6</v>
      </c>
      <c r="L51" s="209" t="str">
        <v>Samuel Sierra</v>
      </c>
      <c r="M51" s="13">
        <v>102</v>
      </c>
      <c r="N51" s="14">
        <v>5</v>
      </c>
      <c r="O51" s="15">
        <v>1.8181818181818181E-2</v>
      </c>
    </row>
    <row r="52" spans="1:19" x14ac:dyDescent="0.2">
      <c r="K52" s="214"/>
      <c r="L52" s="209" t="str">
        <v>Christian Lopez</v>
      </c>
      <c r="M52" s="13">
        <v>109</v>
      </c>
      <c r="N52" s="14">
        <v>4</v>
      </c>
      <c r="O52" s="15">
        <v>1.4545454545454545E-2</v>
      </c>
    </row>
    <row r="53" spans="1:19" x14ac:dyDescent="0.2">
      <c r="L53" s="13"/>
      <c r="M53" s="13"/>
      <c r="N53" s="14"/>
      <c r="O53" s="15"/>
    </row>
    <row r="56" spans="1:19" ht="15" x14ac:dyDescent="0.2">
      <c r="A56" s="187" t="s">
        <v>1094</v>
      </c>
      <c r="B56" s="187"/>
      <c r="C56" s="187"/>
      <c r="D56" s="187"/>
      <c r="E56" s="187"/>
      <c r="F56" s="187"/>
      <c r="G56" s="187"/>
      <c r="H56" s="187"/>
      <c r="I56" s="187"/>
      <c r="J56" s="187"/>
      <c r="K56" s="187"/>
      <c r="L56" s="187"/>
      <c r="M56" s="187"/>
      <c r="N56" s="187"/>
      <c r="O56" s="187"/>
      <c r="P56" s="187"/>
      <c r="Q56" s="187"/>
      <c r="R56" s="187"/>
    </row>
    <row r="57" spans="1:19" ht="38.1" customHeight="1" x14ac:dyDescent="0.2">
      <c r="A57" s="188" t="s">
        <v>1095</v>
      </c>
      <c r="B57" s="188"/>
      <c r="C57" s="188"/>
      <c r="D57" s="188"/>
      <c r="E57" s="188"/>
      <c r="F57" s="188"/>
      <c r="G57" s="188"/>
      <c r="H57" s="188"/>
      <c r="I57" s="188"/>
      <c r="J57" s="188"/>
      <c r="K57" s="188"/>
      <c r="L57" s="188"/>
      <c r="M57" s="188"/>
      <c r="N57" s="188"/>
      <c r="O57" s="188"/>
      <c r="P57" s="188"/>
      <c r="Q57" s="188"/>
      <c r="R57" s="188"/>
    </row>
    <row r="58" spans="1:19" ht="38.1" customHeight="1" x14ac:dyDescent="0.2">
      <c r="A58" s="188" t="s">
        <v>1096</v>
      </c>
      <c r="B58" s="188"/>
      <c r="C58" s="188"/>
      <c r="D58" s="188"/>
      <c r="E58" s="188"/>
      <c r="F58" s="188"/>
      <c r="G58" s="188"/>
      <c r="H58" s="188"/>
      <c r="I58" s="188"/>
      <c r="J58" s="188"/>
      <c r="K58" s="188"/>
      <c r="L58" s="188"/>
      <c r="M58" s="188"/>
      <c r="N58" s="188"/>
      <c r="O58" s="188"/>
      <c r="P58" s="188"/>
      <c r="Q58" s="188"/>
      <c r="R58" s="188"/>
    </row>
    <row r="59" spans="1:19" ht="38.1" customHeight="1" x14ac:dyDescent="0.2">
      <c r="A59" s="188" t="s">
        <v>1097</v>
      </c>
      <c r="B59" s="188"/>
      <c r="C59" s="188"/>
      <c r="D59" s="188"/>
      <c r="E59" s="188"/>
      <c r="F59" s="188"/>
      <c r="G59" s="188"/>
      <c r="H59" s="188"/>
      <c r="I59" s="188"/>
      <c r="J59" s="188"/>
      <c r="K59" s="188"/>
      <c r="L59" s="188"/>
      <c r="M59" s="188"/>
      <c r="N59" s="188"/>
      <c r="O59" s="188"/>
      <c r="P59" s="188"/>
      <c r="Q59" s="188"/>
      <c r="R59" s="188"/>
    </row>
    <row r="60" spans="1:19" x14ac:dyDescent="0.2">
      <c r="A60" s="182" t="s">
        <v>1110</v>
      </c>
      <c r="B60" s="183"/>
      <c r="C60" s="183"/>
      <c r="D60" s="183"/>
      <c r="E60" s="183"/>
      <c r="F60" s="183"/>
      <c r="G60" s="183"/>
      <c r="H60" s="183"/>
      <c r="I60" s="183"/>
      <c r="J60" s="183"/>
      <c r="K60" s="183"/>
      <c r="L60" s="183"/>
      <c r="M60" s="183"/>
      <c r="N60" s="183"/>
      <c r="O60" s="183"/>
      <c r="P60" s="183"/>
      <c r="Q60" s="183"/>
      <c r="R60" s="183"/>
      <c r="S60" s="183"/>
    </row>
    <row r="62" spans="1:19" x14ac:dyDescent="0.2">
      <c r="A62" s="120" t="s">
        <v>1299</v>
      </c>
    </row>
    <row r="63" spans="1:19" x14ac:dyDescent="0.2">
      <c r="A63" t="s">
        <v>1115</v>
      </c>
      <c r="B63" s="117">
        <f>Data!B3</f>
        <v>2026</v>
      </c>
      <c r="C63" t="s">
        <v>1073</v>
      </c>
      <c r="D63" t="s">
        <v>1074</v>
      </c>
      <c r="E63" t="s">
        <v>1075</v>
      </c>
      <c r="F63" t="s">
        <v>1076</v>
      </c>
      <c r="G63" t="s">
        <v>735</v>
      </c>
      <c r="H63" t="s">
        <v>1077</v>
      </c>
      <c r="I63" t="s">
        <v>1078</v>
      </c>
    </row>
    <row r="64" spans="1:19" x14ac:dyDescent="0.2">
      <c r="A64" t="s">
        <v>1298</v>
      </c>
      <c r="B64">
        <f>COUNTIF(Master_List_Of_Injuries[Year],B63)</f>
        <v>275</v>
      </c>
    </row>
  </sheetData>
  <mergeCells count="26">
    <mergeCell ref="J10:L10"/>
    <mergeCell ref="J11:L11"/>
    <mergeCell ref="M10:O10"/>
    <mergeCell ref="A8:R8"/>
    <mergeCell ref="A1:R1"/>
    <mergeCell ref="A2:R2"/>
    <mergeCell ref="A4:R4"/>
    <mergeCell ref="A5:R5"/>
    <mergeCell ref="A6:R6"/>
    <mergeCell ref="A7:R7"/>
    <mergeCell ref="A10:C10"/>
    <mergeCell ref="A11:C11"/>
    <mergeCell ref="D10:F10"/>
    <mergeCell ref="D11:F11"/>
    <mergeCell ref="G10:I10"/>
    <mergeCell ref="G11:I11"/>
    <mergeCell ref="A60:S60"/>
    <mergeCell ref="M11:O11"/>
    <mergeCell ref="A14:R14"/>
    <mergeCell ref="A28:R28"/>
    <mergeCell ref="L42:O42"/>
    <mergeCell ref="A42:K42"/>
    <mergeCell ref="A56:R56"/>
    <mergeCell ref="A57:R57"/>
    <mergeCell ref="A58:R58"/>
    <mergeCell ref="A59:R59"/>
  </mergeCells>
  <conditionalFormatting sqref="B44:I51">
    <cfRule type="colorScale" priority="3">
      <colorScale>
        <cfvo type="min"/>
        <cfvo type="percentile" val="50"/>
        <cfvo type="max"/>
        <color rgb="FFFFFFFF"/>
        <color rgb="FFD9EAF7"/>
        <color rgb="FF5B9BD5"/>
      </colorScale>
    </cfRule>
  </conditionalFormatting>
  <conditionalFormatting sqref="K16:K25">
    <cfRule type="colorScale" priority="4">
      <colorScale>
        <cfvo type="min"/>
        <cfvo type="percentile" val="50"/>
        <cfvo type="max"/>
        <color rgb="FFC6E0B4"/>
        <color rgb="FFFFD966"/>
        <color rgb="FFF4777C"/>
      </colorScale>
    </cfRule>
  </conditionalFormatting>
  <conditionalFormatting sqref="K30:K39">
    <cfRule type="colorScale" priority="5">
      <colorScale>
        <cfvo type="min"/>
        <cfvo type="percentile" val="50"/>
        <cfvo type="max"/>
        <color rgb="FFC6E0B4"/>
        <color rgb="FFFFD966"/>
        <color rgb="FFF4777C"/>
      </colorScale>
    </cfRule>
  </conditionalFormatting>
  <conditionalFormatting sqref="K44:K51">
    <cfRule type="colorScale" priority="6">
      <colorScale>
        <cfvo type="min"/>
        <cfvo type="percentile" val="50"/>
        <cfvo type="max"/>
        <color rgb="FFC6E0B4"/>
        <color rgb="FFFFD966"/>
        <color rgb="FFF4777C"/>
      </colorScale>
    </cfRule>
  </conditionalFormatting>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87F8B-9FEA-48C1-A817-CF3CD48724D5}">
  <sheetPr>
    <tabColor rgb="FF64748B"/>
  </sheetPr>
  <dimension ref="A1:N581"/>
  <sheetViews>
    <sheetView tabSelected="1" zoomScaleNormal="100" workbookViewId="0">
      <selection activeCell="D6" sqref="D6"/>
    </sheetView>
  </sheetViews>
  <sheetFormatPr defaultRowHeight="14.25" x14ac:dyDescent="0.2"/>
  <cols>
    <col min="1" max="1" width="25.375" bestFit="1" customWidth="1"/>
    <col min="2" max="2" width="9.875" style="1" bestFit="1" customWidth="1"/>
    <col min="3" max="3" width="20.125" bestFit="1" customWidth="1"/>
    <col min="4" max="4" width="19.75" bestFit="1" customWidth="1"/>
    <col min="5" max="5" width="16.75" bestFit="1" customWidth="1"/>
    <col min="6" max="6" width="32" bestFit="1" customWidth="1"/>
    <col min="7" max="7" width="24" bestFit="1" customWidth="1"/>
    <col min="8" max="8" width="81" bestFit="1" customWidth="1"/>
    <col min="9" max="9" width="14.875" bestFit="1" customWidth="1"/>
    <col min="10" max="10" width="9.25" bestFit="1" customWidth="1"/>
    <col min="11" max="11" width="10.375" bestFit="1" customWidth="1"/>
    <col min="12" max="12" width="19.75" style="12" bestFit="1" customWidth="1"/>
    <col min="13" max="13" width="7.75" bestFit="1" customWidth="1"/>
    <col min="14" max="14" width="11" customWidth="1"/>
    <col min="15" max="15" width="18" customWidth="1"/>
    <col min="16" max="16" width="31.75" bestFit="1" customWidth="1"/>
    <col min="17" max="18" width="71" bestFit="1" customWidth="1"/>
    <col min="19" max="19" width="26.375" bestFit="1" customWidth="1"/>
    <col min="20" max="20" width="22.75" bestFit="1" customWidth="1"/>
  </cols>
  <sheetData>
    <row r="1" spans="1:14" ht="15" x14ac:dyDescent="0.25">
      <c r="A1" s="8" t="s">
        <v>0</v>
      </c>
      <c r="B1" s="10" t="s">
        <v>1</v>
      </c>
      <c r="C1" s="8" t="s">
        <v>2</v>
      </c>
      <c r="D1" s="8" t="s">
        <v>713</v>
      </c>
      <c r="E1" s="8" t="s">
        <v>3</v>
      </c>
      <c r="F1" s="8" t="s">
        <v>4</v>
      </c>
      <c r="G1" s="8" t="s">
        <v>5</v>
      </c>
      <c r="H1" s="8" t="s">
        <v>6</v>
      </c>
      <c r="I1" s="8" t="s">
        <v>7</v>
      </c>
      <c r="J1" t="s">
        <v>1058</v>
      </c>
      <c r="K1" s="8" t="s">
        <v>727</v>
      </c>
      <c r="L1" s="8" t="s">
        <v>728</v>
      </c>
      <c r="M1" s="11" t="s">
        <v>748</v>
      </c>
      <c r="N1" s="8" t="s">
        <v>749</v>
      </c>
    </row>
    <row r="2" spans="1:14" x14ac:dyDescent="0.2">
      <c r="A2" s="204" t="s">
        <v>552</v>
      </c>
      <c r="B2" s="1">
        <v>46227</v>
      </c>
      <c r="C2" s="204" t="s">
        <v>55</v>
      </c>
      <c r="D2" s="204" t="s">
        <v>17</v>
      </c>
      <c r="E2" s="204" t="s">
        <v>56</v>
      </c>
      <c r="F2" s="204" t="s">
        <v>706</v>
      </c>
      <c r="G2" s="204" t="s">
        <v>967</v>
      </c>
      <c r="H2" s="204" t="s">
        <v>507</v>
      </c>
      <c r="I2" s="204" t="s">
        <v>15</v>
      </c>
      <c r="K2" t="s">
        <v>737</v>
      </c>
      <c r="L2" t="s">
        <v>730</v>
      </c>
      <c r="M2" s="12">
        <v>2026</v>
      </c>
      <c r="N2" t="s">
        <v>737</v>
      </c>
    </row>
    <row r="3" spans="1:14" x14ac:dyDescent="0.2">
      <c r="A3" s="204" t="s">
        <v>1327</v>
      </c>
      <c r="B3" s="1">
        <v>46226</v>
      </c>
      <c r="C3" s="204" t="s">
        <v>576</v>
      </c>
      <c r="D3" s="204" t="s">
        <v>305</v>
      </c>
      <c r="E3" s="204" t="s">
        <v>305</v>
      </c>
      <c r="F3" s="204" t="s">
        <v>333</v>
      </c>
      <c r="G3" s="204" t="s">
        <v>306</v>
      </c>
      <c r="H3" s="204" t="s">
        <v>1328</v>
      </c>
      <c r="I3" s="204" t="s">
        <v>278</v>
      </c>
      <c r="K3" t="s">
        <v>737</v>
      </c>
      <c r="L3" t="s">
        <v>730</v>
      </c>
      <c r="M3" s="12">
        <v>2026</v>
      </c>
      <c r="N3" t="s">
        <v>737</v>
      </c>
    </row>
    <row r="4" spans="1:14" x14ac:dyDescent="0.2">
      <c r="A4" s="204" t="s">
        <v>1109</v>
      </c>
      <c r="B4" s="1">
        <v>46225</v>
      </c>
      <c r="C4" s="204" t="s">
        <v>261</v>
      </c>
      <c r="D4" s="204" t="s">
        <v>10</v>
      </c>
      <c r="E4" s="204" t="s">
        <v>126</v>
      </c>
      <c r="F4" s="204" t="s">
        <v>723</v>
      </c>
      <c r="G4" s="204" t="s">
        <v>24</v>
      </c>
      <c r="H4" s="204" t="s">
        <v>124</v>
      </c>
      <c r="I4" s="204" t="s">
        <v>15</v>
      </c>
      <c r="J4" t="s">
        <v>1293</v>
      </c>
      <c r="K4" t="s">
        <v>737</v>
      </c>
      <c r="L4" t="s">
        <v>730</v>
      </c>
      <c r="M4" s="12">
        <v>2026</v>
      </c>
      <c r="N4" t="s">
        <v>737</v>
      </c>
    </row>
    <row r="5" spans="1:14" x14ac:dyDescent="0.2">
      <c r="A5" s="204" t="s">
        <v>856</v>
      </c>
      <c r="B5" s="1">
        <v>46225</v>
      </c>
      <c r="C5" s="204" t="s">
        <v>181</v>
      </c>
      <c r="D5" s="204" t="s">
        <v>10</v>
      </c>
      <c r="E5" s="204" t="s">
        <v>182</v>
      </c>
      <c r="F5" s="204" t="s">
        <v>800</v>
      </c>
      <c r="G5" s="204" t="s">
        <v>712</v>
      </c>
      <c r="H5" s="204" t="s">
        <v>465</v>
      </c>
      <c r="I5" s="204" t="s">
        <v>278</v>
      </c>
      <c r="J5" t="s">
        <v>1293</v>
      </c>
      <c r="K5" t="s">
        <v>737</v>
      </c>
      <c r="L5" t="s">
        <v>730</v>
      </c>
      <c r="M5" s="12">
        <v>2026</v>
      </c>
      <c r="N5" t="s">
        <v>737</v>
      </c>
    </row>
    <row r="6" spans="1:14" x14ac:dyDescent="0.2">
      <c r="A6" s="204" t="s">
        <v>1205</v>
      </c>
      <c r="B6" s="1">
        <v>46225</v>
      </c>
      <c r="C6" s="204" t="s">
        <v>55</v>
      </c>
      <c r="D6" s="204" t="s">
        <v>17</v>
      </c>
      <c r="E6" s="204" t="s">
        <v>56</v>
      </c>
      <c r="F6" s="204" t="s">
        <v>1206</v>
      </c>
      <c r="G6" s="204" t="s">
        <v>151</v>
      </c>
      <c r="H6" s="204" t="s">
        <v>43</v>
      </c>
      <c r="I6" s="204" t="s">
        <v>278</v>
      </c>
      <c r="J6" t="s">
        <v>1293</v>
      </c>
      <c r="K6" t="s">
        <v>737</v>
      </c>
      <c r="L6" t="s">
        <v>730</v>
      </c>
      <c r="M6" s="12">
        <v>2026</v>
      </c>
      <c r="N6" t="s">
        <v>737</v>
      </c>
    </row>
    <row r="7" spans="1:14" x14ac:dyDescent="0.2">
      <c r="A7" s="204" t="s">
        <v>809</v>
      </c>
      <c r="B7" s="1">
        <v>46224</v>
      </c>
      <c r="C7" s="204" t="s">
        <v>663</v>
      </c>
      <c r="D7" s="204" t="s">
        <v>726</v>
      </c>
      <c r="E7" s="204" t="s">
        <v>171</v>
      </c>
      <c r="F7" s="204" t="s">
        <v>172</v>
      </c>
      <c r="G7" s="204" t="s">
        <v>372</v>
      </c>
      <c r="H7" s="204" t="s">
        <v>1107</v>
      </c>
      <c r="I7" s="204" t="s">
        <v>15</v>
      </c>
      <c r="J7" t="s">
        <v>1293</v>
      </c>
      <c r="K7" t="s">
        <v>737</v>
      </c>
      <c r="L7" t="s">
        <v>730</v>
      </c>
      <c r="M7" s="12">
        <v>2026</v>
      </c>
      <c r="N7" t="s">
        <v>737</v>
      </c>
    </row>
    <row r="8" spans="1:14" x14ac:dyDescent="0.2">
      <c r="A8" s="204" t="s">
        <v>1108</v>
      </c>
      <c r="B8" s="1">
        <v>46224</v>
      </c>
      <c r="C8" s="204" t="s">
        <v>55</v>
      </c>
      <c r="D8" s="204" t="s">
        <v>17</v>
      </c>
      <c r="E8" s="204" t="s">
        <v>56</v>
      </c>
      <c r="F8" s="204" t="s">
        <v>432</v>
      </c>
      <c r="G8" s="204" t="s">
        <v>665</v>
      </c>
      <c r="H8" s="204" t="s">
        <v>405</v>
      </c>
      <c r="I8" s="204" t="s">
        <v>15</v>
      </c>
      <c r="J8" t="s">
        <v>1293</v>
      </c>
      <c r="K8" t="s">
        <v>737</v>
      </c>
      <c r="L8" t="s">
        <v>730</v>
      </c>
      <c r="M8" s="12">
        <v>2026</v>
      </c>
      <c r="N8" t="s">
        <v>737</v>
      </c>
    </row>
    <row r="9" spans="1:14" x14ac:dyDescent="0.2">
      <c r="A9" s="204" t="s">
        <v>880</v>
      </c>
      <c r="B9" s="1">
        <v>46223</v>
      </c>
      <c r="C9" s="204" t="s">
        <v>918</v>
      </c>
      <c r="D9" s="204" t="s">
        <v>17</v>
      </c>
      <c r="E9" s="204" t="s">
        <v>18</v>
      </c>
      <c r="F9" s="204" t="s">
        <v>881</v>
      </c>
      <c r="G9" s="204" t="s">
        <v>24</v>
      </c>
      <c r="H9" s="204" t="s">
        <v>1106</v>
      </c>
      <c r="I9" s="204" t="s">
        <v>15</v>
      </c>
      <c r="J9" t="s">
        <v>1293</v>
      </c>
      <c r="K9" t="s">
        <v>737</v>
      </c>
      <c r="L9" t="s">
        <v>730</v>
      </c>
      <c r="M9" s="12">
        <v>2026</v>
      </c>
      <c r="N9" t="s">
        <v>737</v>
      </c>
    </row>
    <row r="10" spans="1:14" x14ac:dyDescent="0.2">
      <c r="A10" s="204" t="s">
        <v>1098</v>
      </c>
      <c r="B10" s="1">
        <v>46220</v>
      </c>
      <c r="C10" s="204" t="s">
        <v>40</v>
      </c>
      <c r="D10" s="204" t="s">
        <v>41</v>
      </c>
      <c r="E10" s="204" t="s">
        <v>41</v>
      </c>
      <c r="F10" s="204" t="s">
        <v>1099</v>
      </c>
      <c r="G10" s="204" t="s">
        <v>24</v>
      </c>
      <c r="H10" s="204" t="s">
        <v>87</v>
      </c>
      <c r="I10" s="204" t="s">
        <v>15</v>
      </c>
      <c r="J10" t="s">
        <v>1293</v>
      </c>
      <c r="K10" t="s">
        <v>737</v>
      </c>
      <c r="L10" t="s">
        <v>730</v>
      </c>
      <c r="M10" s="12">
        <v>2026</v>
      </c>
      <c r="N10" t="s">
        <v>737</v>
      </c>
    </row>
    <row r="11" spans="1:14" x14ac:dyDescent="0.2">
      <c r="A11" s="204" t="s">
        <v>149</v>
      </c>
      <c r="B11" s="1">
        <v>46218</v>
      </c>
      <c r="C11" s="204" t="s">
        <v>918</v>
      </c>
      <c r="D11" s="204" t="s">
        <v>17</v>
      </c>
      <c r="E11" s="204" t="s">
        <v>18</v>
      </c>
      <c r="F11" s="204" t="s">
        <v>668</v>
      </c>
      <c r="G11" s="204" t="s">
        <v>184</v>
      </c>
      <c r="H11" s="204" t="s">
        <v>142</v>
      </c>
      <c r="I11" s="204" t="s">
        <v>15</v>
      </c>
      <c r="J11" t="s">
        <v>1293</v>
      </c>
      <c r="K11" t="s">
        <v>737</v>
      </c>
      <c r="L11" t="s">
        <v>730</v>
      </c>
      <c r="M11" s="12">
        <v>2026</v>
      </c>
      <c r="N11" t="s">
        <v>737</v>
      </c>
    </row>
    <row r="12" spans="1:14" x14ac:dyDescent="0.2">
      <c r="A12" s="204" t="s">
        <v>1063</v>
      </c>
      <c r="B12" s="1">
        <v>46217</v>
      </c>
      <c r="C12" s="204" t="s">
        <v>195</v>
      </c>
      <c r="D12" s="204" t="s">
        <v>982</v>
      </c>
      <c r="E12" s="204" t="s">
        <v>983</v>
      </c>
      <c r="F12" s="204" t="s">
        <v>1061</v>
      </c>
      <c r="G12" s="204" t="s">
        <v>712</v>
      </c>
      <c r="H12" s="204" t="s">
        <v>255</v>
      </c>
      <c r="I12" s="204" t="s">
        <v>15</v>
      </c>
      <c r="J12" t="s">
        <v>1293</v>
      </c>
      <c r="K12" t="s">
        <v>737</v>
      </c>
      <c r="L12" t="s">
        <v>730</v>
      </c>
      <c r="M12" s="12">
        <v>2026</v>
      </c>
      <c r="N12" t="s">
        <v>737</v>
      </c>
    </row>
    <row r="13" spans="1:14" x14ac:dyDescent="0.2">
      <c r="A13" s="204" t="s">
        <v>536</v>
      </c>
      <c r="B13" s="1">
        <v>46217</v>
      </c>
      <c r="C13" s="204" t="s">
        <v>620</v>
      </c>
      <c r="D13" s="204" t="s">
        <v>17</v>
      </c>
      <c r="E13" s="204" t="s">
        <v>96</v>
      </c>
      <c r="F13" s="204" t="s">
        <v>537</v>
      </c>
      <c r="G13" s="204" t="s">
        <v>393</v>
      </c>
      <c r="H13" s="204" t="s">
        <v>185</v>
      </c>
      <c r="I13" s="204" t="s">
        <v>278</v>
      </c>
      <c r="J13" t="s">
        <v>1293</v>
      </c>
      <c r="K13" t="s">
        <v>737</v>
      </c>
      <c r="L13" t="s">
        <v>730</v>
      </c>
      <c r="M13" s="12">
        <v>2026</v>
      </c>
      <c r="N13" t="s">
        <v>737</v>
      </c>
    </row>
    <row r="14" spans="1:14" x14ac:dyDescent="0.2">
      <c r="A14" s="204" t="s">
        <v>628</v>
      </c>
      <c r="B14" s="1">
        <v>46217</v>
      </c>
      <c r="C14" s="204" t="s">
        <v>1064</v>
      </c>
      <c r="D14" s="204" t="s">
        <v>630</v>
      </c>
      <c r="E14" s="204" t="s">
        <v>630</v>
      </c>
      <c r="F14" s="204" t="s">
        <v>1065</v>
      </c>
      <c r="G14" s="204" t="s">
        <v>393</v>
      </c>
      <c r="H14" s="204" t="s">
        <v>185</v>
      </c>
      <c r="I14" s="204" t="s">
        <v>15</v>
      </c>
      <c r="J14" t="s">
        <v>1293</v>
      </c>
      <c r="K14" t="s">
        <v>737</v>
      </c>
      <c r="L14" t="s">
        <v>730</v>
      </c>
      <c r="M14" s="12">
        <v>2026</v>
      </c>
      <c r="N14" t="s">
        <v>737</v>
      </c>
    </row>
    <row r="15" spans="1:14" x14ac:dyDescent="0.2">
      <c r="A15" s="204" t="s">
        <v>1104</v>
      </c>
      <c r="B15" s="1">
        <v>46217</v>
      </c>
      <c r="C15" s="204" t="s">
        <v>663</v>
      </c>
      <c r="D15" s="204" t="s">
        <v>726</v>
      </c>
      <c r="E15" s="204" t="s">
        <v>171</v>
      </c>
      <c r="F15" s="204" t="s">
        <v>172</v>
      </c>
      <c r="G15" s="204" t="s">
        <v>372</v>
      </c>
      <c r="H15" s="204" t="s">
        <v>1105</v>
      </c>
      <c r="I15" s="204" t="s">
        <v>278</v>
      </c>
      <c r="J15" t="s">
        <v>1293</v>
      </c>
      <c r="K15" t="s">
        <v>737</v>
      </c>
      <c r="L15" t="s">
        <v>730</v>
      </c>
      <c r="M15" s="12">
        <v>2026</v>
      </c>
      <c r="N15" t="s">
        <v>737</v>
      </c>
    </row>
    <row r="16" spans="1:14" x14ac:dyDescent="0.2">
      <c r="A16" s="204" t="s">
        <v>533</v>
      </c>
      <c r="B16" s="1">
        <v>46216</v>
      </c>
      <c r="C16" s="204" t="s">
        <v>1294</v>
      </c>
      <c r="D16" s="204" t="s">
        <v>36</v>
      </c>
      <c r="E16" s="204" t="s">
        <v>843</v>
      </c>
      <c r="F16" s="204" t="s">
        <v>844</v>
      </c>
      <c r="G16" s="204" t="s">
        <v>151</v>
      </c>
      <c r="H16" s="204" t="s">
        <v>1017</v>
      </c>
      <c r="I16" s="204" t="s">
        <v>278</v>
      </c>
      <c r="J16" t="s">
        <v>1293</v>
      </c>
      <c r="K16" t="s">
        <v>737</v>
      </c>
      <c r="L16" t="s">
        <v>730</v>
      </c>
      <c r="M16" s="12">
        <v>2026</v>
      </c>
      <c r="N16" t="s">
        <v>737</v>
      </c>
    </row>
    <row r="17" spans="1:14" x14ac:dyDescent="0.2">
      <c r="A17" s="204" t="s">
        <v>1033</v>
      </c>
      <c r="B17" s="1">
        <v>46213</v>
      </c>
      <c r="C17" s="204" t="s">
        <v>475</v>
      </c>
      <c r="D17" s="204" t="s">
        <v>10</v>
      </c>
      <c r="E17" s="204" t="s">
        <v>155</v>
      </c>
      <c r="F17" s="204" t="s">
        <v>1034</v>
      </c>
      <c r="G17" s="204" t="s">
        <v>24</v>
      </c>
      <c r="H17" s="204" t="s">
        <v>124</v>
      </c>
      <c r="I17" s="204" t="s">
        <v>15</v>
      </c>
      <c r="J17" t="s">
        <v>1293</v>
      </c>
      <c r="K17" t="s">
        <v>737</v>
      </c>
      <c r="L17" t="s">
        <v>730</v>
      </c>
      <c r="M17" s="12">
        <v>2026</v>
      </c>
      <c r="N17" t="s">
        <v>737</v>
      </c>
    </row>
    <row r="18" spans="1:14" x14ac:dyDescent="0.2">
      <c r="A18" s="204" t="s">
        <v>1037</v>
      </c>
      <c r="B18" s="1">
        <v>46213</v>
      </c>
      <c r="C18" s="204" t="s">
        <v>620</v>
      </c>
      <c r="D18" s="204" t="s">
        <v>17</v>
      </c>
      <c r="E18" s="204" t="s">
        <v>1040</v>
      </c>
      <c r="F18" s="204" t="s">
        <v>1038</v>
      </c>
      <c r="G18" s="204" t="s">
        <v>1043</v>
      </c>
      <c r="H18" s="204" t="s">
        <v>255</v>
      </c>
      <c r="I18" s="204" t="s">
        <v>15</v>
      </c>
      <c r="J18" t="s">
        <v>1293</v>
      </c>
      <c r="K18" t="s">
        <v>737</v>
      </c>
      <c r="L18" t="s">
        <v>730</v>
      </c>
      <c r="M18" s="12">
        <v>2026</v>
      </c>
      <c r="N18" t="s">
        <v>737</v>
      </c>
    </row>
    <row r="19" spans="1:14" x14ac:dyDescent="0.2">
      <c r="A19" s="204" t="s">
        <v>994</v>
      </c>
      <c r="B19" s="1">
        <v>46213</v>
      </c>
      <c r="C19" s="204" t="s">
        <v>918</v>
      </c>
      <c r="D19" s="204" t="s">
        <v>17</v>
      </c>
      <c r="E19" s="204" t="s">
        <v>18</v>
      </c>
      <c r="F19" s="204" t="s">
        <v>723</v>
      </c>
      <c r="G19" s="204" t="s">
        <v>24</v>
      </c>
      <c r="H19" s="204" t="s">
        <v>405</v>
      </c>
      <c r="I19" s="204" t="s">
        <v>278</v>
      </c>
      <c r="J19" t="s">
        <v>1293</v>
      </c>
      <c r="K19" t="s">
        <v>737</v>
      </c>
      <c r="L19" t="s">
        <v>730</v>
      </c>
      <c r="M19" s="12">
        <v>2026</v>
      </c>
      <c r="N19" t="s">
        <v>737</v>
      </c>
    </row>
    <row r="20" spans="1:14" x14ac:dyDescent="0.2">
      <c r="A20" s="204" t="s">
        <v>1005</v>
      </c>
      <c r="B20" s="1">
        <v>46212</v>
      </c>
      <c r="C20" s="204" t="s">
        <v>475</v>
      </c>
      <c r="D20" s="204" t="s">
        <v>10</v>
      </c>
      <c r="E20" s="204" t="s">
        <v>155</v>
      </c>
      <c r="F20" s="204" t="s">
        <v>868</v>
      </c>
      <c r="G20" s="204" t="s">
        <v>69</v>
      </c>
      <c r="H20" s="204" t="s">
        <v>371</v>
      </c>
      <c r="I20" s="204" t="s">
        <v>15</v>
      </c>
      <c r="J20" t="s">
        <v>1293</v>
      </c>
      <c r="K20" t="s">
        <v>737</v>
      </c>
      <c r="L20" t="s">
        <v>730</v>
      </c>
      <c r="M20" s="12">
        <v>2026</v>
      </c>
      <c r="N20" t="s">
        <v>737</v>
      </c>
    </row>
    <row r="21" spans="1:14" x14ac:dyDescent="0.2">
      <c r="A21" s="204" t="s">
        <v>60</v>
      </c>
      <c r="B21" s="1">
        <v>46212</v>
      </c>
      <c r="C21" s="204" t="s">
        <v>620</v>
      </c>
      <c r="D21" s="204" t="s">
        <v>17</v>
      </c>
      <c r="E21" s="204" t="s">
        <v>62</v>
      </c>
      <c r="F21" s="204" t="s">
        <v>1030</v>
      </c>
      <c r="G21" s="204" t="s">
        <v>967</v>
      </c>
      <c r="H21" s="204" t="s">
        <v>677</v>
      </c>
      <c r="I21" s="204" t="s">
        <v>15</v>
      </c>
      <c r="J21" t="s">
        <v>1293</v>
      </c>
      <c r="K21" t="s">
        <v>737</v>
      </c>
      <c r="L21" t="s">
        <v>730</v>
      </c>
      <c r="M21" s="12">
        <v>2026</v>
      </c>
      <c r="N21" t="s">
        <v>737</v>
      </c>
    </row>
    <row r="22" spans="1:14" x14ac:dyDescent="0.2">
      <c r="A22" s="204" t="s">
        <v>428</v>
      </c>
      <c r="B22" s="1">
        <v>46212</v>
      </c>
      <c r="C22" s="204" t="s">
        <v>620</v>
      </c>
      <c r="D22" s="204" t="s">
        <v>17</v>
      </c>
      <c r="E22" s="204" t="s">
        <v>96</v>
      </c>
      <c r="F22" s="204" t="s">
        <v>1031</v>
      </c>
      <c r="G22" s="204" t="s">
        <v>24</v>
      </c>
      <c r="H22" s="204" t="s">
        <v>405</v>
      </c>
      <c r="I22" s="204" t="s">
        <v>15</v>
      </c>
      <c r="J22" t="s">
        <v>1293</v>
      </c>
      <c r="K22" t="s">
        <v>737</v>
      </c>
      <c r="L22" t="s">
        <v>730</v>
      </c>
      <c r="M22" s="12">
        <v>2026</v>
      </c>
      <c r="N22" t="s">
        <v>737</v>
      </c>
    </row>
    <row r="23" spans="1:14" x14ac:dyDescent="0.2">
      <c r="A23" s="204" t="s">
        <v>1032</v>
      </c>
      <c r="B23" s="1">
        <v>46212</v>
      </c>
      <c r="C23" s="204" t="s">
        <v>663</v>
      </c>
      <c r="D23" s="204" t="s">
        <v>726</v>
      </c>
      <c r="E23" s="204" t="s">
        <v>171</v>
      </c>
      <c r="F23" s="204" t="s">
        <v>172</v>
      </c>
      <c r="G23" s="204" t="s">
        <v>967</v>
      </c>
      <c r="H23" s="204" t="s">
        <v>507</v>
      </c>
      <c r="I23" s="204" t="s">
        <v>278</v>
      </c>
      <c r="J23" t="s">
        <v>1293</v>
      </c>
      <c r="K23" t="s">
        <v>737</v>
      </c>
      <c r="L23" t="s">
        <v>730</v>
      </c>
      <c r="M23" s="12">
        <v>2026</v>
      </c>
      <c r="N23" t="s">
        <v>737</v>
      </c>
    </row>
    <row r="24" spans="1:14" x14ac:dyDescent="0.2">
      <c r="A24" s="204" t="s">
        <v>1035</v>
      </c>
      <c r="B24" s="1">
        <v>46212</v>
      </c>
      <c r="C24" s="204" t="s">
        <v>620</v>
      </c>
      <c r="D24" s="204" t="s">
        <v>17</v>
      </c>
      <c r="E24" s="204" t="s">
        <v>96</v>
      </c>
      <c r="F24" s="204" t="s">
        <v>429</v>
      </c>
      <c r="G24" s="204" t="s">
        <v>24</v>
      </c>
      <c r="H24" s="204" t="s">
        <v>944</v>
      </c>
      <c r="I24" s="204" t="s">
        <v>15</v>
      </c>
      <c r="J24" t="s">
        <v>1293</v>
      </c>
      <c r="K24" t="s">
        <v>737</v>
      </c>
      <c r="L24" t="s">
        <v>730</v>
      </c>
      <c r="M24" s="12">
        <v>2026</v>
      </c>
      <c r="N24" t="s">
        <v>737</v>
      </c>
    </row>
    <row r="25" spans="1:14" x14ac:dyDescent="0.2">
      <c r="A25" s="204" t="s">
        <v>1060</v>
      </c>
      <c r="B25" s="1">
        <v>46211</v>
      </c>
      <c r="C25" s="204" t="s">
        <v>195</v>
      </c>
      <c r="D25" s="204" t="s">
        <v>982</v>
      </c>
      <c r="E25" s="204" t="s">
        <v>983</v>
      </c>
      <c r="F25" s="204" t="s">
        <v>1061</v>
      </c>
      <c r="G25" s="204" t="s">
        <v>992</v>
      </c>
      <c r="H25" s="204" t="s">
        <v>1062</v>
      </c>
      <c r="I25" s="204" t="s">
        <v>278</v>
      </c>
      <c r="J25" t="s">
        <v>1293</v>
      </c>
      <c r="K25" t="s">
        <v>737</v>
      </c>
      <c r="L25" t="s">
        <v>730</v>
      </c>
      <c r="M25" s="12">
        <v>2026</v>
      </c>
      <c r="N25" t="s">
        <v>737</v>
      </c>
    </row>
    <row r="26" spans="1:14" x14ac:dyDescent="0.2">
      <c r="A26" s="204" t="s">
        <v>1026</v>
      </c>
      <c r="B26" s="1">
        <v>46211</v>
      </c>
      <c r="C26" s="204" t="s">
        <v>78</v>
      </c>
      <c r="D26" s="204" t="s">
        <v>10</v>
      </c>
      <c r="E26" s="204" t="s">
        <v>79</v>
      </c>
      <c r="F26" s="204" t="s">
        <v>1027</v>
      </c>
      <c r="G26" s="204" t="s">
        <v>1042</v>
      </c>
      <c r="H26" s="204" t="s">
        <v>1059</v>
      </c>
      <c r="I26" s="204" t="s">
        <v>15</v>
      </c>
      <c r="J26" t="s">
        <v>1293</v>
      </c>
      <c r="K26" t="s">
        <v>737</v>
      </c>
      <c r="L26" t="s">
        <v>730</v>
      </c>
      <c r="M26" s="12">
        <v>2026</v>
      </c>
      <c r="N26" t="s">
        <v>737</v>
      </c>
    </row>
    <row r="27" spans="1:14" x14ac:dyDescent="0.2">
      <c r="A27" s="204" t="s">
        <v>99</v>
      </c>
      <c r="B27" s="1">
        <v>46211</v>
      </c>
      <c r="C27" s="204" t="s">
        <v>918</v>
      </c>
      <c r="D27" s="204" t="s">
        <v>17</v>
      </c>
      <c r="E27" s="204" t="s">
        <v>18</v>
      </c>
      <c r="F27" s="204" t="s">
        <v>1019</v>
      </c>
      <c r="G27" s="204" t="s">
        <v>24</v>
      </c>
      <c r="H27" s="204" t="s">
        <v>124</v>
      </c>
      <c r="I27" s="204" t="s">
        <v>278</v>
      </c>
      <c r="J27" t="s">
        <v>1293</v>
      </c>
      <c r="K27" t="s">
        <v>737</v>
      </c>
      <c r="L27" t="s">
        <v>730</v>
      </c>
      <c r="M27" s="12">
        <v>2026</v>
      </c>
      <c r="N27" t="s">
        <v>737</v>
      </c>
    </row>
    <row r="28" spans="1:14" x14ac:dyDescent="0.2">
      <c r="A28" s="204" t="s">
        <v>1028</v>
      </c>
      <c r="B28" s="1">
        <v>46211</v>
      </c>
      <c r="C28" s="204" t="s">
        <v>78</v>
      </c>
      <c r="D28" s="204" t="s">
        <v>10</v>
      </c>
      <c r="E28" s="204" t="s">
        <v>79</v>
      </c>
      <c r="F28" s="204" t="s">
        <v>429</v>
      </c>
      <c r="G28" s="204" t="s">
        <v>24</v>
      </c>
      <c r="H28" s="204" t="s">
        <v>1039</v>
      </c>
      <c r="I28" s="204" t="s">
        <v>15</v>
      </c>
      <c r="J28" t="s">
        <v>1293</v>
      </c>
      <c r="K28" t="s">
        <v>737</v>
      </c>
      <c r="L28" t="s">
        <v>730</v>
      </c>
      <c r="M28" s="12">
        <v>2026</v>
      </c>
      <c r="N28" t="s">
        <v>737</v>
      </c>
    </row>
    <row r="29" spans="1:14" x14ac:dyDescent="0.2">
      <c r="A29" s="204" t="s">
        <v>135</v>
      </c>
      <c r="B29" s="1">
        <v>46211</v>
      </c>
      <c r="C29" s="204" t="s">
        <v>136</v>
      </c>
      <c r="D29" s="204" t="s">
        <v>10</v>
      </c>
      <c r="E29" s="204" t="s">
        <v>31</v>
      </c>
      <c r="F29" s="204" t="s">
        <v>1029</v>
      </c>
      <c r="G29" s="204" t="s">
        <v>1017</v>
      </c>
      <c r="H29" s="204" t="s">
        <v>878</v>
      </c>
      <c r="I29" s="204" t="s">
        <v>278</v>
      </c>
      <c r="J29" t="s">
        <v>1293</v>
      </c>
      <c r="K29" t="s">
        <v>737</v>
      </c>
      <c r="L29" t="s">
        <v>730</v>
      </c>
      <c r="M29" s="12">
        <v>2026</v>
      </c>
      <c r="N29" t="s">
        <v>737</v>
      </c>
    </row>
    <row r="30" spans="1:14" x14ac:dyDescent="0.2">
      <c r="A30" s="204" t="s">
        <v>1020</v>
      </c>
      <c r="B30" s="1">
        <v>46210</v>
      </c>
      <c r="C30" s="204" t="s">
        <v>918</v>
      </c>
      <c r="D30" s="204" t="s">
        <v>17</v>
      </c>
      <c r="E30" s="204" t="s">
        <v>18</v>
      </c>
      <c r="F30" s="204" t="s">
        <v>1021</v>
      </c>
      <c r="G30" s="204" t="s">
        <v>393</v>
      </c>
      <c r="H30" s="204" t="s">
        <v>174</v>
      </c>
      <c r="I30" s="204" t="s">
        <v>15</v>
      </c>
      <c r="J30" t="s">
        <v>1293</v>
      </c>
      <c r="K30" t="s">
        <v>737</v>
      </c>
      <c r="L30" t="s">
        <v>730</v>
      </c>
      <c r="M30" s="12">
        <v>2026</v>
      </c>
      <c r="N30" t="s">
        <v>737</v>
      </c>
    </row>
    <row r="31" spans="1:14" x14ac:dyDescent="0.2">
      <c r="A31" s="204" t="s">
        <v>1022</v>
      </c>
      <c r="B31" s="1">
        <v>46210</v>
      </c>
      <c r="C31" s="204" t="s">
        <v>657</v>
      </c>
      <c r="D31" s="204" t="s">
        <v>17</v>
      </c>
      <c r="E31" s="204" t="s">
        <v>191</v>
      </c>
      <c r="F31" s="204" t="s">
        <v>1023</v>
      </c>
      <c r="G31" s="204" t="s">
        <v>24</v>
      </c>
      <c r="H31" s="204" t="s">
        <v>142</v>
      </c>
      <c r="I31" s="204" t="s">
        <v>15</v>
      </c>
      <c r="J31" t="s">
        <v>1293</v>
      </c>
      <c r="K31" t="s">
        <v>737</v>
      </c>
      <c r="L31" t="s">
        <v>730</v>
      </c>
      <c r="M31" s="12">
        <v>2026</v>
      </c>
      <c r="N31" t="s">
        <v>737</v>
      </c>
    </row>
    <row r="32" spans="1:14" x14ac:dyDescent="0.2">
      <c r="A32" s="204" t="s">
        <v>1024</v>
      </c>
      <c r="B32" s="1">
        <v>46210</v>
      </c>
      <c r="C32" s="204" t="s">
        <v>901</v>
      </c>
      <c r="D32" s="204" t="s">
        <v>305</v>
      </c>
      <c r="E32" s="204" t="s">
        <v>305</v>
      </c>
      <c r="F32" s="204" t="s">
        <v>1025</v>
      </c>
      <c r="G32" s="204" t="s">
        <v>151</v>
      </c>
      <c r="H32" s="204" t="s">
        <v>510</v>
      </c>
      <c r="I32" s="204" t="s">
        <v>278</v>
      </c>
      <c r="J32" t="s">
        <v>1293</v>
      </c>
      <c r="K32" t="s">
        <v>737</v>
      </c>
      <c r="L32" t="s">
        <v>730</v>
      </c>
      <c r="M32" s="12">
        <v>2026</v>
      </c>
      <c r="N32" t="s">
        <v>737</v>
      </c>
    </row>
    <row r="33" spans="1:14" x14ac:dyDescent="0.2">
      <c r="A33" s="204" t="s">
        <v>698</v>
      </c>
      <c r="B33" s="1">
        <v>46206</v>
      </c>
      <c r="C33" s="204" t="s">
        <v>475</v>
      </c>
      <c r="D33" s="204" t="s">
        <v>10</v>
      </c>
      <c r="E33" s="204" t="s">
        <v>155</v>
      </c>
      <c r="F33" s="204" t="s">
        <v>837</v>
      </c>
      <c r="G33" s="204" t="s">
        <v>967</v>
      </c>
      <c r="H33" s="204" t="s">
        <v>507</v>
      </c>
      <c r="I33" s="204" t="s">
        <v>15</v>
      </c>
      <c r="J33" t="s">
        <v>1293</v>
      </c>
      <c r="K33" t="s">
        <v>737</v>
      </c>
      <c r="L33" t="s">
        <v>730</v>
      </c>
      <c r="M33" s="12">
        <v>2026</v>
      </c>
      <c r="N33" t="s">
        <v>737</v>
      </c>
    </row>
    <row r="34" spans="1:14" x14ac:dyDescent="0.2">
      <c r="A34" s="204" t="s">
        <v>1011</v>
      </c>
      <c r="B34" s="1">
        <v>46206</v>
      </c>
      <c r="C34" s="204" t="s">
        <v>657</v>
      </c>
      <c r="D34" s="204" t="s">
        <v>17</v>
      </c>
      <c r="E34" s="204" t="s">
        <v>191</v>
      </c>
      <c r="F34" s="204" t="s">
        <v>515</v>
      </c>
      <c r="G34" s="204" t="s">
        <v>755</v>
      </c>
      <c r="H34" s="204" t="s">
        <v>1012</v>
      </c>
      <c r="I34" s="204" t="s">
        <v>278</v>
      </c>
      <c r="J34" t="s">
        <v>1293</v>
      </c>
      <c r="K34" t="s">
        <v>737</v>
      </c>
      <c r="L34" t="s">
        <v>730</v>
      </c>
      <c r="M34" s="12">
        <v>2026</v>
      </c>
      <c r="N34" t="s">
        <v>737</v>
      </c>
    </row>
    <row r="35" spans="1:14" x14ac:dyDescent="0.2">
      <c r="A35" s="204" t="s">
        <v>1013</v>
      </c>
      <c r="B35" s="1">
        <v>46206</v>
      </c>
      <c r="C35" s="204" t="s">
        <v>663</v>
      </c>
      <c r="D35" s="204" t="s">
        <v>17</v>
      </c>
      <c r="E35" s="204" t="s">
        <v>171</v>
      </c>
      <c r="F35" s="204" t="s">
        <v>703</v>
      </c>
      <c r="G35" s="204" t="s">
        <v>173</v>
      </c>
      <c r="H35" s="204" t="s">
        <v>1014</v>
      </c>
      <c r="I35" s="204" t="s">
        <v>15</v>
      </c>
      <c r="J35" t="s">
        <v>1293</v>
      </c>
      <c r="K35" t="s">
        <v>737</v>
      </c>
      <c r="L35" t="s">
        <v>730</v>
      </c>
      <c r="M35" s="12">
        <v>2026</v>
      </c>
      <c r="N35" t="s">
        <v>737</v>
      </c>
    </row>
    <row r="36" spans="1:14" x14ac:dyDescent="0.2">
      <c r="A36" s="204" t="s">
        <v>1015</v>
      </c>
      <c r="B36" s="1">
        <v>46206</v>
      </c>
      <c r="C36" s="204" t="s">
        <v>181</v>
      </c>
      <c r="D36" s="204" t="s">
        <v>10</v>
      </c>
      <c r="E36" s="204" t="s">
        <v>182</v>
      </c>
      <c r="F36" s="204" t="s">
        <v>1016</v>
      </c>
      <c r="G36" s="204" t="s">
        <v>151</v>
      </c>
      <c r="H36" s="204" t="s">
        <v>1017</v>
      </c>
      <c r="I36" s="204" t="s">
        <v>278</v>
      </c>
      <c r="J36" t="s">
        <v>1293</v>
      </c>
      <c r="K36" t="s">
        <v>737</v>
      </c>
      <c r="L36" t="s">
        <v>730</v>
      </c>
      <c r="M36" s="12">
        <v>2026</v>
      </c>
      <c r="N36" t="s">
        <v>737</v>
      </c>
    </row>
    <row r="37" spans="1:14" x14ac:dyDescent="0.2">
      <c r="A37" s="204" t="s">
        <v>1018</v>
      </c>
      <c r="B37" s="1">
        <v>46206</v>
      </c>
      <c r="C37" s="204" t="s">
        <v>918</v>
      </c>
      <c r="D37" s="204" t="s">
        <v>17</v>
      </c>
      <c r="E37" s="204" t="s">
        <v>18</v>
      </c>
      <c r="F37" s="204" t="s">
        <v>1019</v>
      </c>
      <c r="G37" s="204" t="s">
        <v>24</v>
      </c>
      <c r="H37" s="204" t="s">
        <v>124</v>
      </c>
      <c r="I37" s="204" t="s">
        <v>15</v>
      </c>
      <c r="J37" t="s">
        <v>1293</v>
      </c>
      <c r="K37" t="s">
        <v>737</v>
      </c>
      <c r="L37" t="s">
        <v>730</v>
      </c>
      <c r="M37" s="12">
        <v>2026</v>
      </c>
      <c r="N37" t="s">
        <v>737</v>
      </c>
    </row>
    <row r="38" spans="1:14" x14ac:dyDescent="0.2">
      <c r="A38" s="204" t="s">
        <v>1003</v>
      </c>
      <c r="B38" s="1">
        <v>46205</v>
      </c>
      <c r="C38" s="204" t="s">
        <v>136</v>
      </c>
      <c r="D38" s="204" t="s">
        <v>10</v>
      </c>
      <c r="E38" s="204" t="s">
        <v>31</v>
      </c>
      <c r="F38" s="204" t="s">
        <v>1004</v>
      </c>
      <c r="G38" s="204" t="s">
        <v>334</v>
      </c>
      <c r="H38" s="204" t="s">
        <v>878</v>
      </c>
      <c r="I38" s="204" t="s">
        <v>278</v>
      </c>
      <c r="J38" t="s">
        <v>1293</v>
      </c>
      <c r="K38" t="s">
        <v>737</v>
      </c>
      <c r="L38" t="s">
        <v>730</v>
      </c>
      <c r="M38" s="12">
        <v>2026</v>
      </c>
      <c r="N38" t="s">
        <v>737</v>
      </c>
    </row>
    <row r="39" spans="1:14" x14ac:dyDescent="0.2">
      <c r="A39" s="204" t="s">
        <v>500</v>
      </c>
      <c r="B39" s="1">
        <v>46205</v>
      </c>
      <c r="C39" s="204" t="s">
        <v>918</v>
      </c>
      <c r="D39" s="204" t="s">
        <v>17</v>
      </c>
      <c r="E39" s="204" t="s">
        <v>18</v>
      </c>
      <c r="F39" s="204" t="s">
        <v>1007</v>
      </c>
      <c r="G39" s="204" t="s">
        <v>393</v>
      </c>
      <c r="H39" s="204" t="s">
        <v>991</v>
      </c>
      <c r="I39" s="204" t="s">
        <v>15</v>
      </c>
      <c r="J39" t="s">
        <v>1293</v>
      </c>
      <c r="K39" t="s">
        <v>737</v>
      </c>
      <c r="L39" t="s">
        <v>730</v>
      </c>
      <c r="M39" s="12">
        <v>2026</v>
      </c>
      <c r="N39" t="s">
        <v>737</v>
      </c>
    </row>
    <row r="40" spans="1:14" x14ac:dyDescent="0.2">
      <c r="A40" s="204" t="s">
        <v>209</v>
      </c>
      <c r="B40" s="1">
        <v>46205</v>
      </c>
      <c r="C40" s="204" t="s">
        <v>181</v>
      </c>
      <c r="D40" s="204" t="s">
        <v>10</v>
      </c>
      <c r="E40" s="204" t="s">
        <v>182</v>
      </c>
      <c r="F40" s="204" t="s">
        <v>223</v>
      </c>
      <c r="G40" s="204" t="s">
        <v>24</v>
      </c>
      <c r="H40" s="204" t="s">
        <v>14</v>
      </c>
      <c r="I40" s="204" t="s">
        <v>15</v>
      </c>
      <c r="J40" t="s">
        <v>1293</v>
      </c>
      <c r="K40" t="s">
        <v>737</v>
      </c>
      <c r="L40" t="s">
        <v>730</v>
      </c>
      <c r="M40" s="12">
        <v>2026</v>
      </c>
      <c r="N40" t="s">
        <v>737</v>
      </c>
    </row>
    <row r="41" spans="1:14" x14ac:dyDescent="0.2">
      <c r="A41" s="204" t="s">
        <v>310</v>
      </c>
      <c r="B41" s="1">
        <v>46205</v>
      </c>
      <c r="C41" s="204" t="s">
        <v>547</v>
      </c>
      <c r="D41" s="204" t="s">
        <v>10</v>
      </c>
      <c r="E41" s="204" t="s">
        <v>343</v>
      </c>
      <c r="F41" s="204" t="s">
        <v>1009</v>
      </c>
      <c r="G41" s="204" t="s">
        <v>151</v>
      </c>
      <c r="H41" s="204" t="s">
        <v>986</v>
      </c>
      <c r="I41" s="204" t="s">
        <v>278</v>
      </c>
      <c r="J41" t="s">
        <v>1293</v>
      </c>
      <c r="K41" t="s">
        <v>737</v>
      </c>
      <c r="L41" t="s">
        <v>730</v>
      </c>
      <c r="M41" s="12">
        <v>2026</v>
      </c>
      <c r="N41" t="s">
        <v>737</v>
      </c>
    </row>
    <row r="42" spans="1:14" x14ac:dyDescent="0.2">
      <c r="A42" s="204" t="s">
        <v>546</v>
      </c>
      <c r="B42" s="1">
        <v>46205</v>
      </c>
      <c r="C42" s="204" t="s">
        <v>547</v>
      </c>
      <c r="D42" s="204" t="s">
        <v>10</v>
      </c>
      <c r="E42" s="204" t="s">
        <v>343</v>
      </c>
      <c r="F42" s="204" t="s">
        <v>1010</v>
      </c>
      <c r="G42" s="204" t="s">
        <v>1041</v>
      </c>
      <c r="H42" s="204" t="s">
        <v>1059</v>
      </c>
      <c r="I42" s="204" t="s">
        <v>15</v>
      </c>
      <c r="J42" t="s">
        <v>1293</v>
      </c>
      <c r="K42" t="s">
        <v>737</v>
      </c>
      <c r="L42" t="s">
        <v>730</v>
      </c>
      <c r="M42" s="12">
        <v>2026</v>
      </c>
      <c r="N42" t="s">
        <v>737</v>
      </c>
    </row>
    <row r="43" spans="1:14" x14ac:dyDescent="0.2">
      <c r="A43" s="204" t="s">
        <v>1002</v>
      </c>
      <c r="B43" s="1">
        <v>46204</v>
      </c>
      <c r="C43" s="204" t="s">
        <v>657</v>
      </c>
      <c r="D43" s="204" t="s">
        <v>17</v>
      </c>
      <c r="E43" s="204" t="s">
        <v>191</v>
      </c>
      <c r="F43" s="204" t="s">
        <v>204</v>
      </c>
      <c r="G43" s="204" t="s">
        <v>58</v>
      </c>
      <c r="H43" s="204" t="s">
        <v>249</v>
      </c>
      <c r="I43" s="204" t="s">
        <v>76</v>
      </c>
      <c r="J43" t="s">
        <v>1293</v>
      </c>
      <c r="K43" t="s">
        <v>737</v>
      </c>
      <c r="L43" t="s">
        <v>731</v>
      </c>
      <c r="M43" s="12">
        <v>2026</v>
      </c>
      <c r="N43" t="s">
        <v>737</v>
      </c>
    </row>
    <row r="44" spans="1:14" x14ac:dyDescent="0.2">
      <c r="A44" s="204" t="s">
        <v>1005</v>
      </c>
      <c r="B44" s="1">
        <v>46204</v>
      </c>
      <c r="C44" s="204" t="s">
        <v>475</v>
      </c>
      <c r="D44" s="204" t="s">
        <v>10</v>
      </c>
      <c r="E44" s="204" t="s">
        <v>79</v>
      </c>
      <c r="F44" s="204" t="s">
        <v>868</v>
      </c>
      <c r="G44" s="204" t="s">
        <v>24</v>
      </c>
      <c r="H44" s="204" t="s">
        <v>1006</v>
      </c>
      <c r="I44" s="204" t="s">
        <v>15</v>
      </c>
      <c r="J44" t="s">
        <v>1293</v>
      </c>
      <c r="K44" t="s">
        <v>737</v>
      </c>
      <c r="L44" t="s">
        <v>730</v>
      </c>
      <c r="M44" s="12">
        <v>2026</v>
      </c>
      <c r="N44" t="s">
        <v>737</v>
      </c>
    </row>
    <row r="45" spans="1:14" x14ac:dyDescent="0.2">
      <c r="A45" s="204" t="s">
        <v>1001</v>
      </c>
      <c r="B45" s="1">
        <v>46203</v>
      </c>
      <c r="C45" s="204" t="s">
        <v>78</v>
      </c>
      <c r="D45" s="204" t="s">
        <v>10</v>
      </c>
      <c r="E45" s="204" t="s">
        <v>79</v>
      </c>
      <c r="F45" s="204" t="s">
        <v>1297</v>
      </c>
      <c r="G45" s="204" t="s">
        <v>786</v>
      </c>
      <c r="H45" s="204" t="s">
        <v>371</v>
      </c>
      <c r="I45" s="204" t="s">
        <v>15</v>
      </c>
      <c r="J45" t="s">
        <v>1293</v>
      </c>
      <c r="K45" t="s">
        <v>736</v>
      </c>
      <c r="L45" t="s">
        <v>730</v>
      </c>
      <c r="M45" s="12">
        <v>2026</v>
      </c>
      <c r="N45" t="s">
        <v>736</v>
      </c>
    </row>
    <row r="46" spans="1:14" x14ac:dyDescent="0.2">
      <c r="A46" s="204" t="s">
        <v>996</v>
      </c>
      <c r="B46" s="1">
        <v>46202</v>
      </c>
      <c r="C46" s="204" t="s">
        <v>9</v>
      </c>
      <c r="D46" s="204" t="s">
        <v>10</v>
      </c>
      <c r="E46" s="204" t="s">
        <v>11</v>
      </c>
      <c r="F46" s="204" t="s">
        <v>582</v>
      </c>
      <c r="G46" s="204" t="s">
        <v>24</v>
      </c>
      <c r="H46" s="204" t="s">
        <v>124</v>
      </c>
      <c r="I46" s="204" t="s">
        <v>15</v>
      </c>
      <c r="J46" t="s">
        <v>1293</v>
      </c>
      <c r="K46" t="s">
        <v>736</v>
      </c>
      <c r="L46" t="s">
        <v>730</v>
      </c>
      <c r="M46" s="12">
        <v>2026</v>
      </c>
      <c r="N46" t="s">
        <v>736</v>
      </c>
    </row>
    <row r="47" spans="1:14" x14ac:dyDescent="0.2">
      <c r="A47" s="204" t="s">
        <v>997</v>
      </c>
      <c r="B47" s="1">
        <v>46202</v>
      </c>
      <c r="C47" s="204" t="s">
        <v>918</v>
      </c>
      <c r="D47" s="204" t="s">
        <v>17</v>
      </c>
      <c r="E47" s="204" t="s">
        <v>18</v>
      </c>
      <c r="F47" s="204" t="s">
        <v>998</v>
      </c>
      <c r="G47" s="204" t="s">
        <v>967</v>
      </c>
      <c r="H47" s="204" t="s">
        <v>507</v>
      </c>
      <c r="I47" s="204" t="s">
        <v>15</v>
      </c>
      <c r="J47" t="s">
        <v>1293</v>
      </c>
      <c r="K47" t="s">
        <v>736</v>
      </c>
      <c r="L47" t="s">
        <v>730</v>
      </c>
      <c r="M47" s="12">
        <v>2026</v>
      </c>
      <c r="N47" t="s">
        <v>736</v>
      </c>
    </row>
    <row r="48" spans="1:14" x14ac:dyDescent="0.2">
      <c r="A48" s="204" t="s">
        <v>771</v>
      </c>
      <c r="B48" s="1">
        <v>46202</v>
      </c>
      <c r="C48" s="204" t="s">
        <v>475</v>
      </c>
      <c r="D48" s="204" t="s">
        <v>10</v>
      </c>
      <c r="E48" s="204" t="s">
        <v>155</v>
      </c>
      <c r="F48" s="204" t="s">
        <v>486</v>
      </c>
      <c r="G48" s="204" t="s">
        <v>967</v>
      </c>
      <c r="H48" s="204" t="s">
        <v>507</v>
      </c>
      <c r="I48" s="204" t="s">
        <v>15</v>
      </c>
      <c r="J48" t="s">
        <v>1293</v>
      </c>
      <c r="K48" t="s">
        <v>736</v>
      </c>
      <c r="L48" t="s">
        <v>730</v>
      </c>
      <c r="M48" s="12">
        <v>2026</v>
      </c>
      <c r="N48" t="s">
        <v>736</v>
      </c>
    </row>
    <row r="49" spans="1:14" x14ac:dyDescent="0.2">
      <c r="A49" s="204" t="s">
        <v>670</v>
      </c>
      <c r="B49" s="1">
        <v>46202</v>
      </c>
      <c r="C49" s="204" t="s">
        <v>999</v>
      </c>
      <c r="D49" s="204" t="s">
        <v>10</v>
      </c>
      <c r="E49" s="204" t="s">
        <v>126</v>
      </c>
      <c r="F49" s="204" t="s">
        <v>138</v>
      </c>
      <c r="G49" s="204" t="s">
        <v>24</v>
      </c>
      <c r="H49" s="204" t="s">
        <v>87</v>
      </c>
      <c r="I49" s="204" t="s">
        <v>15</v>
      </c>
      <c r="J49" t="s">
        <v>1293</v>
      </c>
      <c r="K49" t="s">
        <v>736</v>
      </c>
      <c r="L49" t="s">
        <v>730</v>
      </c>
      <c r="M49" s="12">
        <v>2026</v>
      </c>
      <c r="N49" t="s">
        <v>736</v>
      </c>
    </row>
    <row r="50" spans="1:14" x14ac:dyDescent="0.2">
      <c r="A50" s="204" t="s">
        <v>149</v>
      </c>
      <c r="B50" s="1">
        <v>46202</v>
      </c>
      <c r="C50" s="204" t="s">
        <v>918</v>
      </c>
      <c r="D50" s="204" t="s">
        <v>17</v>
      </c>
      <c r="E50" s="204" t="s">
        <v>18</v>
      </c>
      <c r="F50" s="204" t="s">
        <v>668</v>
      </c>
      <c r="G50" s="204" t="s">
        <v>151</v>
      </c>
      <c r="H50" s="204" t="s">
        <v>131</v>
      </c>
      <c r="I50" s="204" t="s">
        <v>278</v>
      </c>
      <c r="J50" t="s">
        <v>1293</v>
      </c>
      <c r="K50" t="s">
        <v>736</v>
      </c>
      <c r="L50" t="s">
        <v>730</v>
      </c>
      <c r="M50" s="12">
        <v>2026</v>
      </c>
      <c r="N50" t="s">
        <v>736</v>
      </c>
    </row>
    <row r="51" spans="1:14" x14ac:dyDescent="0.2">
      <c r="A51" s="204" t="s">
        <v>1000</v>
      </c>
      <c r="B51" s="1">
        <v>46202</v>
      </c>
      <c r="C51" s="204" t="s">
        <v>918</v>
      </c>
      <c r="D51" s="204" t="s">
        <v>17</v>
      </c>
      <c r="E51" s="204" t="s">
        <v>18</v>
      </c>
      <c r="F51" s="204" t="s">
        <v>68</v>
      </c>
      <c r="G51" s="204" t="s">
        <v>24</v>
      </c>
      <c r="H51" s="204" t="s">
        <v>986</v>
      </c>
      <c r="I51" s="204" t="s">
        <v>15</v>
      </c>
      <c r="J51" t="s">
        <v>1293</v>
      </c>
      <c r="K51" t="s">
        <v>736</v>
      </c>
      <c r="L51" t="s">
        <v>730</v>
      </c>
      <c r="M51" s="12">
        <v>2026</v>
      </c>
      <c r="N51" t="s">
        <v>736</v>
      </c>
    </row>
    <row r="52" spans="1:14" x14ac:dyDescent="0.2">
      <c r="A52" s="204" t="s">
        <v>981</v>
      </c>
      <c r="B52" s="1">
        <v>46199</v>
      </c>
      <c r="C52" s="204" t="s">
        <v>195</v>
      </c>
      <c r="D52" s="204" t="s">
        <v>982</v>
      </c>
      <c r="E52" s="204" t="s">
        <v>983</v>
      </c>
      <c r="F52" s="204" t="s">
        <v>984</v>
      </c>
      <c r="G52" s="204" t="s">
        <v>992</v>
      </c>
      <c r="H52" s="204" t="s">
        <v>993</v>
      </c>
      <c r="I52" s="204" t="s">
        <v>278</v>
      </c>
      <c r="J52" t="s">
        <v>1293</v>
      </c>
      <c r="K52" t="s">
        <v>736</v>
      </c>
      <c r="L52" t="s">
        <v>730</v>
      </c>
      <c r="M52" s="12">
        <v>2026</v>
      </c>
      <c r="N52" t="s">
        <v>736</v>
      </c>
    </row>
    <row r="53" spans="1:14" x14ac:dyDescent="0.2">
      <c r="A53" s="204" t="s">
        <v>994</v>
      </c>
      <c r="B53" s="1">
        <v>46199</v>
      </c>
      <c r="C53" s="204" t="s">
        <v>918</v>
      </c>
      <c r="D53" s="204" t="s">
        <v>17</v>
      </c>
      <c r="E53" s="204" t="s">
        <v>18</v>
      </c>
      <c r="F53" s="204" t="s">
        <v>723</v>
      </c>
      <c r="G53" s="204" t="s">
        <v>393</v>
      </c>
      <c r="H53" s="204" t="s">
        <v>995</v>
      </c>
      <c r="I53" s="204" t="s">
        <v>15</v>
      </c>
      <c r="J53" t="s">
        <v>1293</v>
      </c>
      <c r="K53" t="s">
        <v>736</v>
      </c>
      <c r="L53" t="s">
        <v>730</v>
      </c>
      <c r="M53" s="12">
        <v>2026</v>
      </c>
      <c r="N53" t="s">
        <v>736</v>
      </c>
    </row>
    <row r="54" spans="1:14" x14ac:dyDescent="0.2">
      <c r="A54" s="204" t="s">
        <v>649</v>
      </c>
      <c r="B54" s="1">
        <v>46199</v>
      </c>
      <c r="C54" s="204" t="s">
        <v>71</v>
      </c>
      <c r="D54" s="204" t="s">
        <v>17</v>
      </c>
      <c r="E54" s="204" t="s">
        <v>72</v>
      </c>
      <c r="F54" s="204" t="s">
        <v>650</v>
      </c>
      <c r="G54" s="204" t="s">
        <v>24</v>
      </c>
      <c r="H54" s="204" t="s">
        <v>221</v>
      </c>
      <c r="I54" s="204" t="s">
        <v>15</v>
      </c>
      <c r="J54" t="s">
        <v>1293</v>
      </c>
      <c r="K54" t="s">
        <v>736</v>
      </c>
      <c r="L54" t="s">
        <v>730</v>
      </c>
      <c r="M54" s="12">
        <v>2026</v>
      </c>
      <c r="N54" t="s">
        <v>736</v>
      </c>
    </row>
    <row r="55" spans="1:14" x14ac:dyDescent="0.2">
      <c r="A55" s="204" t="s">
        <v>985</v>
      </c>
      <c r="B55" s="1">
        <v>46198</v>
      </c>
      <c r="C55" s="204" t="s">
        <v>547</v>
      </c>
      <c r="D55" s="204" t="s">
        <v>10</v>
      </c>
      <c r="E55" s="204" t="s">
        <v>343</v>
      </c>
      <c r="F55" s="204" t="s">
        <v>627</v>
      </c>
      <c r="G55" s="204" t="s">
        <v>24</v>
      </c>
      <c r="H55" s="204" t="s">
        <v>986</v>
      </c>
      <c r="I55" s="204" t="s">
        <v>15</v>
      </c>
      <c r="J55" t="s">
        <v>1293</v>
      </c>
      <c r="K55" t="s">
        <v>736</v>
      </c>
      <c r="L55" t="s">
        <v>730</v>
      </c>
      <c r="M55" s="12">
        <v>2026</v>
      </c>
      <c r="N55" t="s">
        <v>736</v>
      </c>
    </row>
    <row r="56" spans="1:14" x14ac:dyDescent="0.2">
      <c r="A56" s="204" t="s">
        <v>639</v>
      </c>
      <c r="B56" s="1">
        <v>46198</v>
      </c>
      <c r="C56" s="204" t="s">
        <v>181</v>
      </c>
      <c r="D56" s="204" t="s">
        <v>10</v>
      </c>
      <c r="E56" s="204" t="s">
        <v>182</v>
      </c>
      <c r="F56" s="204" t="s">
        <v>183</v>
      </c>
      <c r="G56" s="204" t="s">
        <v>967</v>
      </c>
      <c r="H56" s="204" t="s">
        <v>677</v>
      </c>
      <c r="I56" s="204" t="s">
        <v>15</v>
      </c>
      <c r="J56" t="s">
        <v>1293</v>
      </c>
      <c r="K56" t="s">
        <v>736</v>
      </c>
      <c r="L56" t="s">
        <v>730</v>
      </c>
      <c r="M56" s="12">
        <v>2026</v>
      </c>
      <c r="N56" t="s">
        <v>736</v>
      </c>
    </row>
    <row r="57" spans="1:14" x14ac:dyDescent="0.2">
      <c r="A57" s="204" t="s">
        <v>989</v>
      </c>
      <c r="B57" s="1">
        <v>46198</v>
      </c>
      <c r="C57" s="204" t="s">
        <v>829</v>
      </c>
      <c r="D57" s="204" t="s">
        <v>305</v>
      </c>
      <c r="E57" s="204" t="s">
        <v>305</v>
      </c>
      <c r="F57" s="204" t="s">
        <v>305</v>
      </c>
      <c r="G57" s="204" t="s">
        <v>835</v>
      </c>
      <c r="H57" s="204" t="s">
        <v>990</v>
      </c>
      <c r="I57" s="204" t="s">
        <v>15</v>
      </c>
      <c r="J57" t="s">
        <v>1293</v>
      </c>
      <c r="K57" t="s">
        <v>736</v>
      </c>
      <c r="L57" t="s">
        <v>730</v>
      </c>
      <c r="M57" s="12">
        <v>2026</v>
      </c>
      <c r="N57" t="s">
        <v>736</v>
      </c>
    </row>
    <row r="58" spans="1:14" x14ac:dyDescent="0.2">
      <c r="A58" s="204" t="s">
        <v>500</v>
      </c>
      <c r="B58" s="1">
        <v>46198</v>
      </c>
      <c r="C58" s="204" t="s">
        <v>918</v>
      </c>
      <c r="D58" s="204" t="s">
        <v>17</v>
      </c>
      <c r="E58" s="204" t="s">
        <v>18</v>
      </c>
      <c r="F58" s="204" t="s">
        <v>690</v>
      </c>
      <c r="G58" s="204" t="s">
        <v>393</v>
      </c>
      <c r="H58" s="204" t="s">
        <v>991</v>
      </c>
      <c r="I58" s="204" t="s">
        <v>15</v>
      </c>
      <c r="J58" t="s">
        <v>1293</v>
      </c>
      <c r="K58" t="s">
        <v>736</v>
      </c>
      <c r="L58" t="s">
        <v>730</v>
      </c>
      <c r="M58" s="12">
        <v>2026</v>
      </c>
      <c r="N58" t="s">
        <v>736</v>
      </c>
    </row>
    <row r="59" spans="1:14" x14ac:dyDescent="0.2">
      <c r="A59" s="204" t="s">
        <v>975</v>
      </c>
      <c r="B59" s="1">
        <v>46197</v>
      </c>
      <c r="C59" s="204" t="s">
        <v>547</v>
      </c>
      <c r="D59" s="204" t="s">
        <v>10</v>
      </c>
      <c r="E59" s="204" t="s">
        <v>343</v>
      </c>
      <c r="F59" s="204" t="s">
        <v>627</v>
      </c>
      <c r="G59" s="204" t="s">
        <v>151</v>
      </c>
      <c r="H59" s="204" t="s">
        <v>976</v>
      </c>
      <c r="I59" s="204" t="s">
        <v>15</v>
      </c>
      <c r="J59" t="s">
        <v>1293</v>
      </c>
      <c r="K59" t="s">
        <v>736</v>
      </c>
      <c r="L59" t="s">
        <v>730</v>
      </c>
      <c r="M59" s="12">
        <v>2026</v>
      </c>
      <c r="N59" t="s">
        <v>736</v>
      </c>
    </row>
    <row r="60" spans="1:14" x14ac:dyDescent="0.2">
      <c r="A60" s="204" t="s">
        <v>977</v>
      </c>
      <c r="B60" s="1">
        <v>46197</v>
      </c>
      <c r="C60" s="204" t="s">
        <v>181</v>
      </c>
      <c r="D60" s="204" t="s">
        <v>10</v>
      </c>
      <c r="E60" s="204" t="s">
        <v>182</v>
      </c>
      <c r="F60" s="204" t="s">
        <v>1295</v>
      </c>
      <c r="G60" s="204" t="s">
        <v>24</v>
      </c>
      <c r="H60" s="204" t="s">
        <v>978</v>
      </c>
      <c r="I60" s="204" t="s">
        <v>15</v>
      </c>
      <c r="J60" t="s">
        <v>1293</v>
      </c>
      <c r="K60" t="s">
        <v>736</v>
      </c>
      <c r="L60" t="s">
        <v>730</v>
      </c>
      <c r="M60" s="12">
        <v>2026</v>
      </c>
      <c r="N60" t="s">
        <v>736</v>
      </c>
    </row>
    <row r="61" spans="1:14" x14ac:dyDescent="0.2">
      <c r="A61" s="204" t="s">
        <v>979</v>
      </c>
      <c r="B61" s="1">
        <v>46197</v>
      </c>
      <c r="C61" s="204" t="s">
        <v>475</v>
      </c>
      <c r="D61" s="204" t="s">
        <v>10</v>
      </c>
      <c r="E61" s="204" t="s">
        <v>155</v>
      </c>
      <c r="F61" s="204" t="s">
        <v>980</v>
      </c>
      <c r="G61" s="204" t="s">
        <v>69</v>
      </c>
      <c r="H61" s="204" t="s">
        <v>405</v>
      </c>
      <c r="I61" s="204" t="s">
        <v>15</v>
      </c>
      <c r="J61" t="s">
        <v>1293</v>
      </c>
      <c r="K61" t="s">
        <v>736</v>
      </c>
      <c r="L61" t="s">
        <v>730</v>
      </c>
      <c r="M61" s="12">
        <v>2026</v>
      </c>
      <c r="N61" t="s">
        <v>736</v>
      </c>
    </row>
    <row r="62" spans="1:14" x14ac:dyDescent="0.2">
      <c r="A62" s="204" t="s">
        <v>964</v>
      </c>
      <c r="B62" s="1">
        <v>46196</v>
      </c>
      <c r="C62" s="204" t="s">
        <v>136</v>
      </c>
      <c r="D62" s="204" t="s">
        <v>10</v>
      </c>
      <c r="E62" s="204" t="s">
        <v>31</v>
      </c>
      <c r="F62" s="204" t="s">
        <v>965</v>
      </c>
      <c r="G62" s="204" t="s">
        <v>24</v>
      </c>
      <c r="H62" s="204" t="s">
        <v>221</v>
      </c>
      <c r="I62" s="204" t="s">
        <v>15</v>
      </c>
      <c r="J62" t="s">
        <v>1293</v>
      </c>
      <c r="K62" t="s">
        <v>736</v>
      </c>
      <c r="L62" t="s">
        <v>730</v>
      </c>
      <c r="M62" s="12">
        <v>2026</v>
      </c>
      <c r="N62" t="s">
        <v>736</v>
      </c>
    </row>
    <row r="63" spans="1:14" x14ac:dyDescent="0.2">
      <c r="A63" s="204" t="s">
        <v>966</v>
      </c>
      <c r="B63" s="1">
        <v>46196</v>
      </c>
      <c r="C63" s="204" t="s">
        <v>9</v>
      </c>
      <c r="D63" s="204" t="s">
        <v>10</v>
      </c>
      <c r="E63" s="204" t="s">
        <v>11</v>
      </c>
      <c r="F63" s="204" t="s">
        <v>693</v>
      </c>
      <c r="G63" s="204" t="s">
        <v>967</v>
      </c>
      <c r="H63" s="204" t="s">
        <v>968</v>
      </c>
      <c r="I63" s="204" t="s">
        <v>15</v>
      </c>
      <c r="J63" t="s">
        <v>1293</v>
      </c>
      <c r="K63" t="s">
        <v>736</v>
      </c>
      <c r="L63" t="s">
        <v>730</v>
      </c>
      <c r="M63" s="12">
        <v>2026</v>
      </c>
      <c r="N63" t="s">
        <v>736</v>
      </c>
    </row>
    <row r="64" spans="1:14" x14ac:dyDescent="0.2">
      <c r="A64" s="204" t="s">
        <v>972</v>
      </c>
      <c r="B64" s="1">
        <v>46196</v>
      </c>
      <c r="C64" s="204" t="s">
        <v>918</v>
      </c>
      <c r="D64" s="204" t="s">
        <v>17</v>
      </c>
      <c r="E64" s="204" t="s">
        <v>18</v>
      </c>
      <c r="F64" s="204" t="s">
        <v>973</v>
      </c>
      <c r="G64" s="204" t="s">
        <v>151</v>
      </c>
      <c r="H64" s="204" t="s">
        <v>974</v>
      </c>
      <c r="I64" s="204" t="s">
        <v>15</v>
      </c>
      <c r="J64" t="s">
        <v>1293</v>
      </c>
      <c r="K64" t="s">
        <v>736</v>
      </c>
      <c r="L64" t="s">
        <v>730</v>
      </c>
      <c r="M64" s="12">
        <v>2026</v>
      </c>
      <c r="N64" t="s">
        <v>736</v>
      </c>
    </row>
    <row r="65" spans="1:14" x14ac:dyDescent="0.2">
      <c r="A65" s="204" t="s">
        <v>981</v>
      </c>
      <c r="B65" s="1">
        <v>46196</v>
      </c>
      <c r="C65" s="204" t="s">
        <v>195</v>
      </c>
      <c r="D65" s="204" t="s">
        <v>982</v>
      </c>
      <c r="E65" s="204" t="s">
        <v>983</v>
      </c>
      <c r="F65" s="204" t="s">
        <v>984</v>
      </c>
      <c r="G65" s="204" t="s">
        <v>24</v>
      </c>
      <c r="H65" s="204" t="s">
        <v>224</v>
      </c>
      <c r="I65" s="204" t="s">
        <v>15</v>
      </c>
      <c r="J65" t="s">
        <v>1293</v>
      </c>
      <c r="K65" t="s">
        <v>736</v>
      </c>
      <c r="L65" t="s">
        <v>730</v>
      </c>
      <c r="M65" s="12">
        <v>2026</v>
      </c>
      <c r="N65" t="s">
        <v>736</v>
      </c>
    </row>
    <row r="66" spans="1:14" x14ac:dyDescent="0.2">
      <c r="A66" s="204" t="s">
        <v>549</v>
      </c>
      <c r="B66" s="1">
        <v>46196</v>
      </c>
      <c r="C66" s="204" t="s">
        <v>620</v>
      </c>
      <c r="D66" s="204" t="s">
        <v>17</v>
      </c>
      <c r="E66" s="204" t="s">
        <v>96</v>
      </c>
      <c r="F66" s="204" t="s">
        <v>187</v>
      </c>
      <c r="G66" s="204" t="s">
        <v>184</v>
      </c>
      <c r="H66" s="204" t="s">
        <v>221</v>
      </c>
      <c r="I66" s="204" t="s">
        <v>15</v>
      </c>
      <c r="J66" t="s">
        <v>1293</v>
      </c>
      <c r="K66" t="s">
        <v>736</v>
      </c>
      <c r="L66" t="s">
        <v>730</v>
      </c>
      <c r="M66" s="12">
        <v>2026</v>
      </c>
      <c r="N66" t="s">
        <v>736</v>
      </c>
    </row>
    <row r="67" spans="1:14" x14ac:dyDescent="0.2">
      <c r="A67" s="204" t="s">
        <v>962</v>
      </c>
      <c r="B67" s="1">
        <v>46195</v>
      </c>
      <c r="C67" s="204" t="s">
        <v>9</v>
      </c>
      <c r="D67" s="204" t="s">
        <v>10</v>
      </c>
      <c r="E67" s="204" t="s">
        <v>11</v>
      </c>
      <c r="F67" s="204" t="s">
        <v>311</v>
      </c>
      <c r="G67" s="204" t="s">
        <v>835</v>
      </c>
      <c r="H67" s="204" t="s">
        <v>963</v>
      </c>
      <c r="I67" s="204" t="s">
        <v>15</v>
      </c>
      <c r="J67" t="s">
        <v>1293</v>
      </c>
      <c r="K67" t="s">
        <v>736</v>
      </c>
      <c r="L67" t="s">
        <v>730</v>
      </c>
      <c r="M67" s="12">
        <v>2026</v>
      </c>
      <c r="N67" t="s">
        <v>736</v>
      </c>
    </row>
    <row r="68" spans="1:14" x14ac:dyDescent="0.2">
      <c r="A68" s="204" t="s">
        <v>969</v>
      </c>
      <c r="B68" s="1">
        <v>46195</v>
      </c>
      <c r="C68" s="204" t="s">
        <v>547</v>
      </c>
      <c r="D68" s="204" t="s">
        <v>10</v>
      </c>
      <c r="E68" s="204" t="s">
        <v>343</v>
      </c>
      <c r="F68" s="204" t="s">
        <v>970</v>
      </c>
      <c r="G68" s="204" t="s">
        <v>24</v>
      </c>
      <c r="H68" s="204" t="s">
        <v>971</v>
      </c>
      <c r="I68" s="204" t="s">
        <v>15</v>
      </c>
      <c r="J68" t="s">
        <v>1293</v>
      </c>
      <c r="K68" t="s">
        <v>736</v>
      </c>
      <c r="L68" t="s">
        <v>730</v>
      </c>
      <c r="M68" s="12">
        <v>2026</v>
      </c>
      <c r="N68" t="s">
        <v>736</v>
      </c>
    </row>
    <row r="69" spans="1:14" x14ac:dyDescent="0.2">
      <c r="A69" s="204" t="s">
        <v>987</v>
      </c>
      <c r="B69" s="1">
        <v>46195</v>
      </c>
      <c r="C69" s="204" t="s">
        <v>657</v>
      </c>
      <c r="D69" s="204" t="s">
        <v>17</v>
      </c>
      <c r="E69" s="204" t="s">
        <v>114</v>
      </c>
      <c r="F69" s="204" t="s">
        <v>419</v>
      </c>
      <c r="G69" s="204" t="s">
        <v>786</v>
      </c>
      <c r="H69" s="204" t="s">
        <v>988</v>
      </c>
      <c r="I69" s="204" t="s">
        <v>15</v>
      </c>
      <c r="J69" t="s">
        <v>1293</v>
      </c>
      <c r="K69" t="s">
        <v>736</v>
      </c>
      <c r="L69" t="s">
        <v>730</v>
      </c>
      <c r="M69" s="12">
        <v>2026</v>
      </c>
      <c r="N69" t="s">
        <v>736</v>
      </c>
    </row>
    <row r="70" spans="1:14" x14ac:dyDescent="0.2">
      <c r="A70" s="204" t="s">
        <v>549</v>
      </c>
      <c r="B70" s="1">
        <v>46195</v>
      </c>
      <c r="C70" s="204" t="s">
        <v>620</v>
      </c>
      <c r="D70" s="204" t="s">
        <v>17</v>
      </c>
      <c r="E70" s="204" t="s">
        <v>96</v>
      </c>
      <c r="F70" s="204" t="s">
        <v>187</v>
      </c>
      <c r="G70" s="204" t="s">
        <v>24</v>
      </c>
      <c r="H70" s="204" t="s">
        <v>221</v>
      </c>
      <c r="I70" s="204" t="s">
        <v>15</v>
      </c>
      <c r="J70" t="s">
        <v>1293</v>
      </c>
      <c r="K70" t="s">
        <v>736</v>
      </c>
      <c r="L70" t="s">
        <v>730</v>
      </c>
      <c r="M70" s="12">
        <v>2026</v>
      </c>
      <c r="N70" t="s">
        <v>736</v>
      </c>
    </row>
    <row r="71" spans="1:14" x14ac:dyDescent="0.2">
      <c r="A71" s="204" t="s">
        <v>46</v>
      </c>
      <c r="B71" s="1">
        <v>46192</v>
      </c>
      <c r="C71" s="204" t="s">
        <v>46</v>
      </c>
      <c r="D71" s="204" t="s">
        <v>10</v>
      </c>
      <c r="E71" s="204" t="s">
        <v>47</v>
      </c>
      <c r="F71" s="204" t="s">
        <v>162</v>
      </c>
      <c r="G71" s="204" t="s">
        <v>24</v>
      </c>
      <c r="H71" s="204" t="s">
        <v>958</v>
      </c>
      <c r="I71" s="204" t="s">
        <v>15</v>
      </c>
      <c r="J71" t="s">
        <v>1293</v>
      </c>
      <c r="K71" t="s">
        <v>736</v>
      </c>
      <c r="L71" t="s">
        <v>730</v>
      </c>
      <c r="M71" s="12">
        <v>2026</v>
      </c>
      <c r="N71" t="s">
        <v>736</v>
      </c>
    </row>
    <row r="72" spans="1:14" x14ac:dyDescent="0.2">
      <c r="A72" s="204" t="s">
        <v>649</v>
      </c>
      <c r="B72" s="1">
        <v>46192</v>
      </c>
      <c r="C72" s="204" t="s">
        <v>71</v>
      </c>
      <c r="D72" s="204" t="s">
        <v>17</v>
      </c>
      <c r="E72" s="204" t="s">
        <v>72</v>
      </c>
      <c r="F72" s="204" t="s">
        <v>319</v>
      </c>
      <c r="G72" s="204" t="s">
        <v>812</v>
      </c>
      <c r="H72" s="204" t="s">
        <v>75</v>
      </c>
      <c r="I72" s="204" t="s">
        <v>15</v>
      </c>
      <c r="J72" t="s">
        <v>1293</v>
      </c>
      <c r="K72" t="s">
        <v>736</v>
      </c>
      <c r="L72" t="s">
        <v>730</v>
      </c>
      <c r="M72" s="12">
        <v>2026</v>
      </c>
      <c r="N72" t="s">
        <v>736</v>
      </c>
    </row>
    <row r="73" spans="1:14" x14ac:dyDescent="0.2">
      <c r="A73" s="204" t="s">
        <v>945</v>
      </c>
      <c r="B73" s="1">
        <v>46192</v>
      </c>
      <c r="C73" s="204" t="s">
        <v>55</v>
      </c>
      <c r="D73" s="204" t="s">
        <v>17</v>
      </c>
      <c r="E73" s="204" t="s">
        <v>56</v>
      </c>
      <c r="F73" s="204" t="s">
        <v>946</v>
      </c>
      <c r="G73" s="204" t="s">
        <v>24</v>
      </c>
      <c r="H73" s="204" t="s">
        <v>960</v>
      </c>
      <c r="I73" s="204" t="s">
        <v>15</v>
      </c>
      <c r="J73" t="s">
        <v>1293</v>
      </c>
      <c r="K73" t="s">
        <v>736</v>
      </c>
      <c r="L73" t="s">
        <v>730</v>
      </c>
      <c r="M73" s="12">
        <v>2026</v>
      </c>
      <c r="N73" t="s">
        <v>736</v>
      </c>
    </row>
    <row r="74" spans="1:14" x14ac:dyDescent="0.2">
      <c r="A74" s="204" t="s">
        <v>961</v>
      </c>
      <c r="B74" s="1">
        <v>46192</v>
      </c>
      <c r="C74" s="204" t="s">
        <v>829</v>
      </c>
      <c r="D74" s="204" t="s">
        <v>305</v>
      </c>
      <c r="E74" s="204" t="s">
        <v>305</v>
      </c>
      <c r="F74" s="204" t="s">
        <v>714</v>
      </c>
      <c r="G74" s="204" t="s">
        <v>24</v>
      </c>
      <c r="H74" s="204" t="s">
        <v>944</v>
      </c>
      <c r="I74" s="204" t="s">
        <v>15</v>
      </c>
      <c r="J74" t="s">
        <v>1293</v>
      </c>
      <c r="K74" t="s">
        <v>736</v>
      </c>
      <c r="L74" t="s">
        <v>730</v>
      </c>
      <c r="M74" s="12">
        <v>2026</v>
      </c>
      <c r="N74" t="s">
        <v>736</v>
      </c>
    </row>
    <row r="75" spans="1:14" x14ac:dyDescent="0.2">
      <c r="A75" s="204" t="s">
        <v>250</v>
      </c>
      <c r="B75" s="1">
        <v>46191</v>
      </c>
      <c r="C75" s="204" t="s">
        <v>261</v>
      </c>
      <c r="D75" s="204" t="s">
        <v>10</v>
      </c>
      <c r="E75" s="204" t="s">
        <v>126</v>
      </c>
      <c r="F75" s="204" t="s">
        <v>138</v>
      </c>
      <c r="G75" s="204" t="s">
        <v>28</v>
      </c>
      <c r="H75" s="204" t="s">
        <v>255</v>
      </c>
      <c r="I75" s="204" t="s">
        <v>76</v>
      </c>
      <c r="J75" t="s">
        <v>1293</v>
      </c>
      <c r="K75" t="s">
        <v>736</v>
      </c>
      <c r="L75" t="s">
        <v>731</v>
      </c>
      <c r="M75" s="12">
        <v>2026</v>
      </c>
      <c r="N75" t="s">
        <v>736</v>
      </c>
    </row>
    <row r="76" spans="1:14" x14ac:dyDescent="0.2">
      <c r="A76" s="204" t="s">
        <v>953</v>
      </c>
      <c r="B76" s="1">
        <v>46189</v>
      </c>
      <c r="C76" s="204" t="s">
        <v>475</v>
      </c>
      <c r="D76" s="204" t="s">
        <v>10</v>
      </c>
      <c r="E76" s="204" t="s">
        <v>155</v>
      </c>
      <c r="F76" s="204" t="s">
        <v>486</v>
      </c>
      <c r="G76" s="204" t="s">
        <v>954</v>
      </c>
      <c r="H76" s="204" t="s">
        <v>14</v>
      </c>
      <c r="I76" s="204" t="s">
        <v>15</v>
      </c>
      <c r="J76" t="s">
        <v>1293</v>
      </c>
      <c r="K76" t="s">
        <v>736</v>
      </c>
      <c r="L76" t="s">
        <v>730</v>
      </c>
      <c r="M76" s="12">
        <v>2026</v>
      </c>
      <c r="N76" t="s">
        <v>736</v>
      </c>
    </row>
    <row r="77" spans="1:14" x14ac:dyDescent="0.2">
      <c r="A77" s="204" t="s">
        <v>955</v>
      </c>
      <c r="B77" s="1">
        <v>46189</v>
      </c>
      <c r="C77" s="204" t="s">
        <v>71</v>
      </c>
      <c r="D77" s="204" t="s">
        <v>17</v>
      </c>
      <c r="E77" s="204" t="s">
        <v>72</v>
      </c>
      <c r="F77" s="204" t="s">
        <v>956</v>
      </c>
      <c r="G77" s="204" t="s">
        <v>69</v>
      </c>
      <c r="H77" s="204" t="s">
        <v>185</v>
      </c>
      <c r="I77" s="204" t="s">
        <v>15</v>
      </c>
      <c r="J77" t="s">
        <v>1293</v>
      </c>
      <c r="K77" t="s">
        <v>736</v>
      </c>
      <c r="L77" t="s">
        <v>730</v>
      </c>
      <c r="M77" s="12">
        <v>2026</v>
      </c>
      <c r="N77" t="s">
        <v>736</v>
      </c>
    </row>
    <row r="78" spans="1:14" x14ac:dyDescent="0.2">
      <c r="A78" s="204" t="s">
        <v>957</v>
      </c>
      <c r="B78" s="1">
        <v>46189</v>
      </c>
      <c r="C78" s="204" t="s">
        <v>620</v>
      </c>
      <c r="D78" s="204" t="s">
        <v>17</v>
      </c>
      <c r="E78" s="204" t="s">
        <v>96</v>
      </c>
      <c r="F78" s="204" t="s">
        <v>43</v>
      </c>
      <c r="G78" s="204" t="s">
        <v>151</v>
      </c>
      <c r="H78" s="204" t="s">
        <v>131</v>
      </c>
      <c r="I78" s="204" t="s">
        <v>278</v>
      </c>
      <c r="J78" t="s">
        <v>1293</v>
      </c>
      <c r="K78" t="s">
        <v>736</v>
      </c>
      <c r="L78" t="s">
        <v>730</v>
      </c>
      <c r="M78" s="12">
        <v>2026</v>
      </c>
      <c r="N78" t="s">
        <v>736</v>
      </c>
    </row>
    <row r="79" spans="1:14" x14ac:dyDescent="0.2">
      <c r="A79" s="204" t="s">
        <v>862</v>
      </c>
      <c r="B79" s="1">
        <v>46188</v>
      </c>
      <c r="C79" s="204" t="s">
        <v>9</v>
      </c>
      <c r="D79" s="204" t="s">
        <v>10</v>
      </c>
      <c r="E79" s="204" t="s">
        <v>11</v>
      </c>
      <c r="F79" s="204" t="s">
        <v>169</v>
      </c>
      <c r="G79" s="204" t="s">
        <v>24</v>
      </c>
      <c r="H79" s="204" t="s">
        <v>124</v>
      </c>
      <c r="I79" s="204" t="s">
        <v>15</v>
      </c>
      <c r="J79" t="s">
        <v>1293</v>
      </c>
      <c r="K79" t="s">
        <v>736</v>
      </c>
      <c r="L79" t="s">
        <v>730</v>
      </c>
      <c r="M79" s="12">
        <v>2026</v>
      </c>
      <c r="N79" t="s">
        <v>736</v>
      </c>
    </row>
    <row r="80" spans="1:14" x14ac:dyDescent="0.2">
      <c r="A80" s="204" t="s">
        <v>795</v>
      </c>
      <c r="B80" s="1">
        <v>46188</v>
      </c>
      <c r="C80" s="204" t="s">
        <v>325</v>
      </c>
      <c r="D80" s="204" t="s">
        <v>10</v>
      </c>
      <c r="E80" s="204" t="s">
        <v>47</v>
      </c>
      <c r="F80" s="204" t="s">
        <v>800</v>
      </c>
      <c r="G80" s="204" t="s">
        <v>69</v>
      </c>
      <c r="H80" s="204" t="s">
        <v>75</v>
      </c>
      <c r="I80" s="204" t="s">
        <v>15</v>
      </c>
      <c r="J80" t="s">
        <v>1293</v>
      </c>
      <c r="K80" t="s">
        <v>736</v>
      </c>
      <c r="L80" t="s">
        <v>730</v>
      </c>
      <c r="M80" s="12">
        <v>2026</v>
      </c>
      <c r="N80" t="s">
        <v>736</v>
      </c>
    </row>
    <row r="81" spans="1:14" x14ac:dyDescent="0.2">
      <c r="A81" s="204" t="s">
        <v>949</v>
      </c>
      <c r="B81" s="1">
        <v>46185</v>
      </c>
      <c r="C81" s="204" t="s">
        <v>9</v>
      </c>
      <c r="D81" s="204" t="s">
        <v>10</v>
      </c>
      <c r="E81" s="204" t="s">
        <v>11</v>
      </c>
      <c r="F81" s="204" t="s">
        <v>723</v>
      </c>
      <c r="G81" s="204" t="s">
        <v>24</v>
      </c>
      <c r="H81" s="204" t="s">
        <v>950</v>
      </c>
      <c r="I81" s="204" t="s">
        <v>15</v>
      </c>
      <c r="J81" t="s">
        <v>1293</v>
      </c>
      <c r="K81" t="s">
        <v>736</v>
      </c>
      <c r="L81" t="s">
        <v>730</v>
      </c>
      <c r="M81" s="12">
        <v>2026</v>
      </c>
      <c r="N81" t="s">
        <v>736</v>
      </c>
    </row>
    <row r="82" spans="1:14" x14ac:dyDescent="0.2">
      <c r="A82" s="204" t="s">
        <v>951</v>
      </c>
      <c r="B82" s="1">
        <v>46185</v>
      </c>
      <c r="C82" s="204" t="s">
        <v>55</v>
      </c>
      <c r="D82" s="204" t="s">
        <v>17</v>
      </c>
      <c r="E82" s="204" t="s">
        <v>56</v>
      </c>
      <c r="F82" s="204" t="s">
        <v>952</v>
      </c>
      <c r="G82" s="204" t="s">
        <v>24</v>
      </c>
      <c r="H82" s="204" t="s">
        <v>124</v>
      </c>
      <c r="I82" s="204" t="s">
        <v>15</v>
      </c>
      <c r="J82" t="s">
        <v>1293</v>
      </c>
      <c r="K82" t="s">
        <v>736</v>
      </c>
      <c r="L82" t="s">
        <v>730</v>
      </c>
      <c r="M82" s="12">
        <v>2026</v>
      </c>
      <c r="N82" t="s">
        <v>736</v>
      </c>
    </row>
    <row r="83" spans="1:14" x14ac:dyDescent="0.2">
      <c r="A83" s="204" t="s">
        <v>54</v>
      </c>
      <c r="B83" s="1">
        <v>46185</v>
      </c>
      <c r="C83" s="204" t="s">
        <v>55</v>
      </c>
      <c r="D83" s="204" t="s">
        <v>17</v>
      </c>
      <c r="E83" s="204" t="s">
        <v>56</v>
      </c>
      <c r="F83" s="204" t="s">
        <v>952</v>
      </c>
      <c r="G83" s="204" t="s">
        <v>24</v>
      </c>
      <c r="H83" s="204" t="s">
        <v>944</v>
      </c>
      <c r="I83" s="204" t="s">
        <v>15</v>
      </c>
      <c r="J83" t="s">
        <v>1293</v>
      </c>
      <c r="K83" t="s">
        <v>736</v>
      </c>
      <c r="L83" t="s">
        <v>730</v>
      </c>
      <c r="M83" s="12">
        <v>2026</v>
      </c>
      <c r="N83" t="s">
        <v>736</v>
      </c>
    </row>
    <row r="84" spans="1:14" x14ac:dyDescent="0.2">
      <c r="A84" s="204" t="s">
        <v>920</v>
      </c>
      <c r="B84" s="1">
        <v>46184</v>
      </c>
      <c r="C84" s="204" t="s">
        <v>918</v>
      </c>
      <c r="D84" s="204" t="s">
        <v>17</v>
      </c>
      <c r="E84" s="204" t="s">
        <v>18</v>
      </c>
      <c r="F84" s="204" t="s">
        <v>921</v>
      </c>
      <c r="G84" s="204" t="s">
        <v>24</v>
      </c>
      <c r="H84" s="204" t="s">
        <v>156</v>
      </c>
      <c r="I84" s="204" t="s">
        <v>15</v>
      </c>
      <c r="J84" t="s">
        <v>1293</v>
      </c>
      <c r="K84" t="s">
        <v>736</v>
      </c>
      <c r="L84" t="s">
        <v>730</v>
      </c>
      <c r="M84" s="12">
        <v>2026</v>
      </c>
      <c r="N84" t="s">
        <v>736</v>
      </c>
    </row>
    <row r="85" spans="1:14" x14ac:dyDescent="0.2">
      <c r="A85" s="204" t="s">
        <v>945</v>
      </c>
      <c r="B85" s="1">
        <v>46183</v>
      </c>
      <c r="C85" s="204" t="s">
        <v>55</v>
      </c>
      <c r="D85" s="204" t="s">
        <v>17</v>
      </c>
      <c r="E85" s="204" t="s">
        <v>56</v>
      </c>
      <c r="F85" s="204" t="s">
        <v>946</v>
      </c>
      <c r="G85" s="204" t="s">
        <v>24</v>
      </c>
      <c r="H85" s="204" t="s">
        <v>947</v>
      </c>
      <c r="I85" s="204" t="s">
        <v>15</v>
      </c>
      <c r="J85" t="s">
        <v>1293</v>
      </c>
      <c r="K85" t="s">
        <v>736</v>
      </c>
      <c r="L85" t="s">
        <v>730</v>
      </c>
      <c r="M85" s="12">
        <v>2026</v>
      </c>
      <c r="N85" t="s">
        <v>736</v>
      </c>
    </row>
    <row r="86" spans="1:14" x14ac:dyDescent="0.2">
      <c r="A86" s="204" t="s">
        <v>782</v>
      </c>
      <c r="B86" s="1">
        <v>46183</v>
      </c>
      <c r="C86" s="204" t="s">
        <v>181</v>
      </c>
      <c r="D86" s="204" t="s">
        <v>10</v>
      </c>
      <c r="E86" s="204" t="s">
        <v>182</v>
      </c>
      <c r="F86" s="204" t="s">
        <v>223</v>
      </c>
      <c r="G86" s="204" t="s">
        <v>24</v>
      </c>
      <c r="H86" s="204" t="s">
        <v>142</v>
      </c>
      <c r="I86" s="204" t="s">
        <v>15</v>
      </c>
      <c r="J86" t="s">
        <v>1293</v>
      </c>
      <c r="K86" t="s">
        <v>736</v>
      </c>
      <c r="L86" t="s">
        <v>730</v>
      </c>
      <c r="M86" s="12">
        <v>2026</v>
      </c>
      <c r="N86" t="s">
        <v>736</v>
      </c>
    </row>
    <row r="87" spans="1:14" x14ac:dyDescent="0.2">
      <c r="A87" s="204" t="s">
        <v>149</v>
      </c>
      <c r="B87" s="1">
        <v>46183</v>
      </c>
      <c r="C87" s="204" t="s">
        <v>918</v>
      </c>
      <c r="D87" s="204" t="s">
        <v>17</v>
      </c>
      <c r="E87" s="204" t="s">
        <v>18</v>
      </c>
      <c r="F87" s="204" t="s">
        <v>668</v>
      </c>
      <c r="G87" s="204" t="s">
        <v>184</v>
      </c>
      <c r="H87" s="204" t="s">
        <v>948</v>
      </c>
      <c r="I87" s="204" t="s">
        <v>15</v>
      </c>
      <c r="J87" t="s">
        <v>1293</v>
      </c>
      <c r="K87" t="s">
        <v>736</v>
      </c>
      <c r="L87" t="s">
        <v>730</v>
      </c>
      <c r="M87" s="12">
        <v>2026</v>
      </c>
      <c r="N87" t="s">
        <v>736</v>
      </c>
    </row>
    <row r="88" spans="1:14" x14ac:dyDescent="0.2">
      <c r="A88" s="204" t="s">
        <v>942</v>
      </c>
      <c r="B88" s="1">
        <v>46182</v>
      </c>
      <c r="C88" s="204" t="s">
        <v>918</v>
      </c>
      <c r="D88" s="204" t="s">
        <v>17</v>
      </c>
      <c r="E88" s="204" t="s">
        <v>18</v>
      </c>
      <c r="F88" s="204" t="s">
        <v>881</v>
      </c>
      <c r="G88" s="204" t="s">
        <v>393</v>
      </c>
      <c r="H88" s="204" t="s">
        <v>943</v>
      </c>
      <c r="I88" s="204" t="s">
        <v>15</v>
      </c>
      <c r="J88" t="s">
        <v>1293</v>
      </c>
      <c r="K88" t="s">
        <v>736</v>
      </c>
      <c r="L88" t="s">
        <v>730</v>
      </c>
      <c r="M88" s="12">
        <v>2026</v>
      </c>
      <c r="N88" t="s">
        <v>736</v>
      </c>
    </row>
    <row r="89" spans="1:14" x14ac:dyDescent="0.2">
      <c r="A89" s="204" t="s">
        <v>252</v>
      </c>
      <c r="B89" s="1">
        <v>46182</v>
      </c>
      <c r="C89" s="204" t="s">
        <v>55</v>
      </c>
      <c r="D89" s="204" t="s">
        <v>17</v>
      </c>
      <c r="E89" s="204" t="s">
        <v>56</v>
      </c>
      <c r="F89" s="204" t="s">
        <v>1008</v>
      </c>
      <c r="G89" s="204" t="s">
        <v>24</v>
      </c>
      <c r="H89" s="204" t="s">
        <v>944</v>
      </c>
      <c r="I89" s="204" t="s">
        <v>15</v>
      </c>
      <c r="J89" t="s">
        <v>1293</v>
      </c>
      <c r="K89" t="s">
        <v>736</v>
      </c>
      <c r="L89" t="s">
        <v>730</v>
      </c>
      <c r="M89" s="12">
        <v>2026</v>
      </c>
      <c r="N89" t="s">
        <v>736</v>
      </c>
    </row>
    <row r="90" spans="1:14" x14ac:dyDescent="0.2">
      <c r="A90" s="204" t="s">
        <v>940</v>
      </c>
      <c r="B90" s="1">
        <v>46181</v>
      </c>
      <c r="C90" s="204" t="s">
        <v>244</v>
      </c>
      <c r="D90" s="204" t="s">
        <v>246</v>
      </c>
      <c r="E90" s="204" t="s">
        <v>246</v>
      </c>
      <c r="F90" s="204" t="s">
        <v>246</v>
      </c>
      <c r="G90" s="204" t="s">
        <v>151</v>
      </c>
      <c r="H90" s="204" t="s">
        <v>941</v>
      </c>
      <c r="I90" s="204" t="s">
        <v>76</v>
      </c>
      <c r="J90" t="s">
        <v>1293</v>
      </c>
      <c r="K90" t="s">
        <v>736</v>
      </c>
      <c r="L90" t="s">
        <v>731</v>
      </c>
      <c r="M90" s="12">
        <v>2026</v>
      </c>
      <c r="N90" t="s">
        <v>736</v>
      </c>
    </row>
    <row r="91" spans="1:14" x14ac:dyDescent="0.2">
      <c r="A91" s="204" t="s">
        <v>857</v>
      </c>
      <c r="B91" s="1">
        <v>46181</v>
      </c>
      <c r="C91" s="204" t="s">
        <v>261</v>
      </c>
      <c r="D91" s="204" t="s">
        <v>10</v>
      </c>
      <c r="E91" s="204" t="s">
        <v>126</v>
      </c>
      <c r="F91" s="204" t="s">
        <v>1295</v>
      </c>
      <c r="G91" s="204" t="s">
        <v>786</v>
      </c>
      <c r="H91" s="204" t="s">
        <v>959</v>
      </c>
      <c r="I91" s="204" t="s">
        <v>15</v>
      </c>
      <c r="J91" t="s">
        <v>1293</v>
      </c>
      <c r="K91" t="s">
        <v>736</v>
      </c>
      <c r="L91" t="s">
        <v>730</v>
      </c>
      <c r="M91" s="12">
        <v>2026</v>
      </c>
      <c r="N91" t="s">
        <v>736</v>
      </c>
    </row>
    <row r="92" spans="1:14" x14ac:dyDescent="0.2">
      <c r="A92" s="204" t="s">
        <v>939</v>
      </c>
      <c r="B92" s="1">
        <v>46178</v>
      </c>
      <c r="C92" s="204" t="s">
        <v>181</v>
      </c>
      <c r="D92" s="204" t="s">
        <v>10</v>
      </c>
      <c r="E92" s="204" t="s">
        <v>182</v>
      </c>
      <c r="F92" s="204" t="s">
        <v>624</v>
      </c>
      <c r="G92" s="204" t="s">
        <v>69</v>
      </c>
      <c r="H92" s="204" t="s">
        <v>371</v>
      </c>
      <c r="I92" s="204" t="s">
        <v>15</v>
      </c>
      <c r="J92" t="s">
        <v>1293</v>
      </c>
      <c r="K92" t="s">
        <v>736</v>
      </c>
      <c r="L92" t="s">
        <v>730</v>
      </c>
      <c r="M92" s="12">
        <v>2026</v>
      </c>
      <c r="N92" t="s">
        <v>736</v>
      </c>
    </row>
    <row r="93" spans="1:14" x14ac:dyDescent="0.2">
      <c r="A93" s="204" t="s">
        <v>902</v>
      </c>
      <c r="B93" s="1">
        <v>46177</v>
      </c>
      <c r="C93" s="204" t="s">
        <v>9</v>
      </c>
      <c r="D93" s="204" t="s">
        <v>10</v>
      </c>
      <c r="E93" s="204" t="s">
        <v>11</v>
      </c>
      <c r="F93" s="204" t="s">
        <v>12</v>
      </c>
      <c r="G93" s="204" t="s">
        <v>24</v>
      </c>
      <c r="H93" s="204" t="s">
        <v>156</v>
      </c>
      <c r="I93" s="204" t="s">
        <v>15</v>
      </c>
      <c r="J93" t="s">
        <v>1293</v>
      </c>
      <c r="K93" t="s">
        <v>736</v>
      </c>
      <c r="L93" t="s">
        <v>730</v>
      </c>
      <c r="M93" s="12">
        <v>2026</v>
      </c>
      <c r="N93" t="s">
        <v>736</v>
      </c>
    </row>
    <row r="94" spans="1:14" x14ac:dyDescent="0.2">
      <c r="A94" s="204" t="s">
        <v>521</v>
      </c>
      <c r="B94" s="1">
        <v>46177</v>
      </c>
      <c r="C94" s="204" t="s">
        <v>136</v>
      </c>
      <c r="D94" s="204" t="s">
        <v>10</v>
      </c>
      <c r="E94" s="204" t="s">
        <v>31</v>
      </c>
      <c r="F94" s="204" t="s">
        <v>861</v>
      </c>
      <c r="G94" s="204" t="s">
        <v>334</v>
      </c>
      <c r="H94" s="204" t="s">
        <v>335</v>
      </c>
      <c r="I94" s="204" t="s">
        <v>15</v>
      </c>
      <c r="J94" t="s">
        <v>1293</v>
      </c>
      <c r="K94" t="s">
        <v>736</v>
      </c>
      <c r="L94" t="s">
        <v>730</v>
      </c>
      <c r="M94" s="12">
        <v>2026</v>
      </c>
      <c r="N94" t="s">
        <v>736</v>
      </c>
    </row>
    <row r="95" spans="1:14" x14ac:dyDescent="0.2">
      <c r="A95" s="204" t="s">
        <v>933</v>
      </c>
      <c r="B95" s="1">
        <v>46176</v>
      </c>
      <c r="C95" s="204" t="s">
        <v>9</v>
      </c>
      <c r="D95" s="204" t="s">
        <v>10</v>
      </c>
      <c r="E95" s="204" t="s">
        <v>11</v>
      </c>
      <c r="F95" s="204" t="s">
        <v>934</v>
      </c>
      <c r="G95" s="204" t="s">
        <v>151</v>
      </c>
      <c r="H95" s="204" t="s">
        <v>935</v>
      </c>
      <c r="I95" s="204" t="s">
        <v>15</v>
      </c>
      <c r="J95" t="s">
        <v>1293</v>
      </c>
      <c r="K95" t="s">
        <v>736</v>
      </c>
      <c r="L95" t="s">
        <v>730</v>
      </c>
      <c r="M95" s="12">
        <v>2026</v>
      </c>
      <c r="N95" t="s">
        <v>736</v>
      </c>
    </row>
    <row r="96" spans="1:14" x14ac:dyDescent="0.2">
      <c r="A96" s="204" t="s">
        <v>936</v>
      </c>
      <c r="B96" s="1">
        <v>46176</v>
      </c>
      <c r="C96" s="204" t="s">
        <v>55</v>
      </c>
      <c r="D96" s="204" t="s">
        <v>17</v>
      </c>
      <c r="E96" s="204" t="s">
        <v>56</v>
      </c>
      <c r="F96" s="204" t="s">
        <v>937</v>
      </c>
      <c r="G96" s="204" t="s">
        <v>393</v>
      </c>
      <c r="H96" s="204" t="s">
        <v>300</v>
      </c>
      <c r="I96" s="204" t="s">
        <v>15</v>
      </c>
      <c r="J96" t="s">
        <v>1293</v>
      </c>
      <c r="K96" t="s">
        <v>736</v>
      </c>
      <c r="L96" t="s">
        <v>730</v>
      </c>
      <c r="M96" s="12">
        <v>2026</v>
      </c>
      <c r="N96" t="s">
        <v>736</v>
      </c>
    </row>
    <row r="97" spans="1:14" x14ac:dyDescent="0.2">
      <c r="A97" s="204" t="s">
        <v>927</v>
      </c>
      <c r="B97" s="1">
        <v>46175</v>
      </c>
      <c r="C97" s="204" t="s">
        <v>40</v>
      </c>
      <c r="D97" s="204" t="s">
        <v>41</v>
      </c>
      <c r="E97" s="204" t="s">
        <v>41</v>
      </c>
      <c r="F97" s="204" t="s">
        <v>928</v>
      </c>
      <c r="G97" s="204" t="s">
        <v>151</v>
      </c>
      <c r="H97" s="204" t="s">
        <v>929</v>
      </c>
      <c r="I97" s="204" t="s">
        <v>15</v>
      </c>
      <c r="J97" t="s">
        <v>1293</v>
      </c>
      <c r="K97" t="s">
        <v>736</v>
      </c>
      <c r="L97" t="s">
        <v>730</v>
      </c>
      <c r="M97" s="12">
        <v>2026</v>
      </c>
      <c r="N97" t="s">
        <v>736</v>
      </c>
    </row>
    <row r="98" spans="1:14" x14ac:dyDescent="0.2">
      <c r="A98" s="204" t="s">
        <v>930</v>
      </c>
      <c r="B98" s="1">
        <v>46175</v>
      </c>
      <c r="C98" s="204" t="s">
        <v>657</v>
      </c>
      <c r="D98" s="204" t="s">
        <v>17</v>
      </c>
      <c r="E98" s="204" t="s">
        <v>191</v>
      </c>
      <c r="F98" s="204" t="s">
        <v>931</v>
      </c>
      <c r="G98" s="204" t="s">
        <v>69</v>
      </c>
      <c r="H98" s="204" t="s">
        <v>513</v>
      </c>
      <c r="I98" s="204" t="s">
        <v>15</v>
      </c>
      <c r="J98" t="s">
        <v>1293</v>
      </c>
      <c r="K98" t="s">
        <v>736</v>
      </c>
      <c r="L98" t="s">
        <v>730</v>
      </c>
      <c r="M98" s="12">
        <v>2026</v>
      </c>
      <c r="N98" t="s">
        <v>736</v>
      </c>
    </row>
    <row r="99" spans="1:14" x14ac:dyDescent="0.2">
      <c r="A99" s="204" t="s">
        <v>442</v>
      </c>
      <c r="B99" s="1">
        <v>46175</v>
      </c>
      <c r="C99" s="204" t="s">
        <v>657</v>
      </c>
      <c r="D99" s="204" t="s">
        <v>17</v>
      </c>
      <c r="E99" s="204" t="s">
        <v>191</v>
      </c>
      <c r="F99" s="204" t="s">
        <v>43</v>
      </c>
      <c r="G99" s="204" t="s">
        <v>184</v>
      </c>
      <c r="H99" s="204" t="s">
        <v>932</v>
      </c>
      <c r="I99" s="204" t="s">
        <v>278</v>
      </c>
      <c r="J99" t="s">
        <v>1293</v>
      </c>
      <c r="K99" t="s">
        <v>736</v>
      </c>
      <c r="L99" t="s">
        <v>730</v>
      </c>
      <c r="M99" s="12">
        <v>2026</v>
      </c>
      <c r="N99" t="s">
        <v>736</v>
      </c>
    </row>
    <row r="100" spans="1:14" x14ac:dyDescent="0.2">
      <c r="A100" s="204" t="s">
        <v>149</v>
      </c>
      <c r="B100" s="1">
        <v>46174</v>
      </c>
      <c r="C100" s="204" t="s">
        <v>918</v>
      </c>
      <c r="D100" s="204" t="s">
        <v>17</v>
      </c>
      <c r="E100" s="204" t="s">
        <v>18</v>
      </c>
      <c r="F100" s="204" t="s">
        <v>668</v>
      </c>
      <c r="G100" s="204" t="s">
        <v>151</v>
      </c>
      <c r="H100" s="204" t="s">
        <v>919</v>
      </c>
      <c r="I100" s="204" t="s">
        <v>278</v>
      </c>
      <c r="J100" t="s">
        <v>1293</v>
      </c>
      <c r="K100" t="s">
        <v>736</v>
      </c>
      <c r="L100" t="s">
        <v>730</v>
      </c>
      <c r="M100" s="12">
        <v>2026</v>
      </c>
      <c r="N100" t="s">
        <v>736</v>
      </c>
    </row>
    <row r="101" spans="1:14" x14ac:dyDescent="0.2">
      <c r="A101" s="204" t="s">
        <v>403</v>
      </c>
      <c r="B101" s="1">
        <v>46171</v>
      </c>
      <c r="C101" s="204" t="s">
        <v>475</v>
      </c>
      <c r="D101" s="204" t="s">
        <v>10</v>
      </c>
      <c r="E101" s="204" t="s">
        <v>155</v>
      </c>
      <c r="F101" s="204" t="s">
        <v>913</v>
      </c>
      <c r="G101" s="204" t="s">
        <v>151</v>
      </c>
      <c r="H101" s="204" t="s">
        <v>914</v>
      </c>
      <c r="I101" s="204" t="s">
        <v>15</v>
      </c>
      <c r="J101" t="s">
        <v>1293</v>
      </c>
      <c r="K101" t="s">
        <v>735</v>
      </c>
      <c r="L101" t="s">
        <v>730</v>
      </c>
      <c r="M101" s="12">
        <v>2026</v>
      </c>
      <c r="N101" t="s">
        <v>735</v>
      </c>
    </row>
    <row r="102" spans="1:14" x14ac:dyDescent="0.2">
      <c r="A102" s="204" t="s">
        <v>915</v>
      </c>
      <c r="B102" s="1">
        <v>46171</v>
      </c>
      <c r="C102" s="204" t="s">
        <v>663</v>
      </c>
      <c r="D102" s="204" t="s">
        <v>726</v>
      </c>
      <c r="E102" s="204" t="s">
        <v>171</v>
      </c>
      <c r="F102" s="204" t="s">
        <v>703</v>
      </c>
      <c r="G102" s="204" t="s">
        <v>151</v>
      </c>
      <c r="H102" s="204" t="s">
        <v>916</v>
      </c>
      <c r="I102" s="204" t="s">
        <v>15</v>
      </c>
      <c r="J102" t="s">
        <v>1293</v>
      </c>
      <c r="K102" t="s">
        <v>735</v>
      </c>
      <c r="L102" t="s">
        <v>730</v>
      </c>
      <c r="M102" s="12">
        <v>2026</v>
      </c>
      <c r="N102" t="s">
        <v>735</v>
      </c>
    </row>
    <row r="103" spans="1:14" x14ac:dyDescent="0.2">
      <c r="A103" s="204" t="s">
        <v>656</v>
      </c>
      <c r="B103" s="1">
        <v>46171</v>
      </c>
      <c r="C103" s="204" t="s">
        <v>657</v>
      </c>
      <c r="D103" s="204" t="s">
        <v>17</v>
      </c>
      <c r="E103" s="204" t="s">
        <v>191</v>
      </c>
      <c r="F103" s="204" t="s">
        <v>204</v>
      </c>
      <c r="G103" s="204" t="s">
        <v>184</v>
      </c>
      <c r="H103" s="204" t="s">
        <v>917</v>
      </c>
      <c r="I103" s="204" t="s">
        <v>15</v>
      </c>
      <c r="J103" t="s">
        <v>1293</v>
      </c>
      <c r="K103" t="s">
        <v>735</v>
      </c>
      <c r="L103" t="s">
        <v>730</v>
      </c>
      <c r="M103" s="12">
        <v>2026</v>
      </c>
      <c r="N103" t="s">
        <v>735</v>
      </c>
    </row>
    <row r="104" spans="1:14" x14ac:dyDescent="0.2">
      <c r="A104" s="204" t="s">
        <v>920</v>
      </c>
      <c r="B104" s="1">
        <v>46171</v>
      </c>
      <c r="C104" s="204" t="s">
        <v>918</v>
      </c>
      <c r="D104" s="204" t="s">
        <v>17</v>
      </c>
      <c r="E104" s="204" t="s">
        <v>18</v>
      </c>
      <c r="F104" s="204" t="s">
        <v>921</v>
      </c>
      <c r="G104" s="204" t="s">
        <v>786</v>
      </c>
      <c r="H104" s="204" t="s">
        <v>922</v>
      </c>
      <c r="I104" s="204" t="s">
        <v>15</v>
      </c>
      <c r="J104" t="s">
        <v>1293</v>
      </c>
      <c r="K104" t="s">
        <v>735</v>
      </c>
      <c r="L104" t="s">
        <v>730</v>
      </c>
      <c r="M104" s="12">
        <v>2026</v>
      </c>
      <c r="N104" t="s">
        <v>735</v>
      </c>
    </row>
    <row r="105" spans="1:14" x14ac:dyDescent="0.2">
      <c r="A105" s="204" t="s">
        <v>920</v>
      </c>
      <c r="B105" s="1">
        <v>46171</v>
      </c>
      <c r="C105" s="204" t="s">
        <v>918</v>
      </c>
      <c r="D105" s="204" t="s">
        <v>17</v>
      </c>
      <c r="E105" s="204" t="s">
        <v>18</v>
      </c>
      <c r="F105" s="204" t="s">
        <v>921</v>
      </c>
      <c r="G105" s="204" t="s">
        <v>786</v>
      </c>
      <c r="H105" s="204" t="s">
        <v>513</v>
      </c>
      <c r="I105" s="204" t="s">
        <v>15</v>
      </c>
      <c r="J105" t="s">
        <v>1293</v>
      </c>
      <c r="K105" t="s">
        <v>735</v>
      </c>
      <c r="L105" t="s">
        <v>730</v>
      </c>
      <c r="M105" s="12">
        <v>2026</v>
      </c>
      <c r="N105" t="s">
        <v>735</v>
      </c>
    </row>
    <row r="106" spans="1:14" x14ac:dyDescent="0.2">
      <c r="A106" s="204" t="s">
        <v>403</v>
      </c>
      <c r="B106" s="1">
        <v>46171</v>
      </c>
      <c r="C106" s="204" t="s">
        <v>475</v>
      </c>
      <c r="D106" s="204" t="s">
        <v>10</v>
      </c>
      <c r="E106" s="204" t="s">
        <v>155</v>
      </c>
      <c r="F106" s="204" t="s">
        <v>913</v>
      </c>
      <c r="G106" s="204" t="s">
        <v>24</v>
      </c>
      <c r="H106" s="204" t="s">
        <v>75</v>
      </c>
      <c r="I106" s="204" t="s">
        <v>15</v>
      </c>
      <c r="J106" t="s">
        <v>1293</v>
      </c>
      <c r="K106" t="s">
        <v>735</v>
      </c>
      <c r="L106" t="s">
        <v>730</v>
      </c>
      <c r="M106" s="12">
        <v>2026</v>
      </c>
      <c r="N106" t="s">
        <v>735</v>
      </c>
    </row>
    <row r="107" spans="1:14" x14ac:dyDescent="0.2">
      <c r="A107" s="204" t="s">
        <v>528</v>
      </c>
      <c r="B107" s="1">
        <v>46170</v>
      </c>
      <c r="C107" s="204" t="s">
        <v>620</v>
      </c>
      <c r="D107" s="204" t="s">
        <v>17</v>
      </c>
      <c r="E107" s="204" t="s">
        <v>43</v>
      </c>
      <c r="F107" s="204" t="s">
        <v>43</v>
      </c>
      <c r="G107" s="204" t="s">
        <v>665</v>
      </c>
      <c r="H107" s="204" t="s">
        <v>75</v>
      </c>
      <c r="I107" s="204" t="s">
        <v>15</v>
      </c>
      <c r="J107" t="s">
        <v>1293</v>
      </c>
      <c r="K107" t="s">
        <v>735</v>
      </c>
      <c r="L107" t="s">
        <v>730</v>
      </c>
      <c r="M107" s="12">
        <v>2026</v>
      </c>
      <c r="N107" t="s">
        <v>735</v>
      </c>
    </row>
    <row r="108" spans="1:14" x14ac:dyDescent="0.2">
      <c r="A108" s="204" t="s">
        <v>347</v>
      </c>
      <c r="B108" s="1">
        <v>46169</v>
      </c>
      <c r="C108" s="204" t="s">
        <v>620</v>
      </c>
      <c r="D108" s="204" t="s">
        <v>17</v>
      </c>
      <c r="E108" s="204" t="s">
        <v>62</v>
      </c>
      <c r="F108" s="204" t="s">
        <v>912</v>
      </c>
      <c r="G108" s="204" t="s">
        <v>24</v>
      </c>
      <c r="H108" s="204" t="s">
        <v>320</v>
      </c>
      <c r="I108" s="204" t="s">
        <v>278</v>
      </c>
      <c r="J108" t="s">
        <v>1293</v>
      </c>
      <c r="K108" t="s">
        <v>735</v>
      </c>
      <c r="L108" t="s">
        <v>730</v>
      </c>
      <c r="M108" s="12">
        <v>2026</v>
      </c>
      <c r="N108" t="s">
        <v>735</v>
      </c>
    </row>
    <row r="109" spans="1:14" x14ac:dyDescent="0.2">
      <c r="A109" s="204" t="s">
        <v>911</v>
      </c>
      <c r="B109" s="1">
        <v>46168</v>
      </c>
      <c r="C109" s="204" t="s">
        <v>9</v>
      </c>
      <c r="D109" s="204" t="s">
        <v>10</v>
      </c>
      <c r="E109" s="204" t="s">
        <v>11</v>
      </c>
      <c r="F109" s="204" t="s">
        <v>23</v>
      </c>
      <c r="G109" s="204" t="s">
        <v>24</v>
      </c>
      <c r="H109" s="204" t="s">
        <v>156</v>
      </c>
      <c r="I109" s="204" t="s">
        <v>15</v>
      </c>
      <c r="J109" t="s">
        <v>1293</v>
      </c>
      <c r="K109" t="s">
        <v>735</v>
      </c>
      <c r="L109" t="s">
        <v>730</v>
      </c>
      <c r="M109" s="12">
        <v>2026</v>
      </c>
      <c r="N109" t="s">
        <v>735</v>
      </c>
    </row>
    <row r="110" spans="1:14" x14ac:dyDescent="0.2">
      <c r="A110" s="204" t="s">
        <v>863</v>
      </c>
      <c r="B110" s="1">
        <v>46164</v>
      </c>
      <c r="C110" s="204" t="s">
        <v>9</v>
      </c>
      <c r="D110" s="204" t="s">
        <v>10</v>
      </c>
      <c r="E110" s="204" t="s">
        <v>11</v>
      </c>
      <c r="F110" s="204" t="s">
        <v>280</v>
      </c>
      <c r="G110" s="204" t="s">
        <v>967</v>
      </c>
      <c r="H110" s="204" t="s">
        <v>158</v>
      </c>
      <c r="I110" s="204" t="s">
        <v>15</v>
      </c>
      <c r="J110" t="s">
        <v>1293</v>
      </c>
      <c r="K110" t="s">
        <v>735</v>
      </c>
      <c r="L110" t="s">
        <v>730</v>
      </c>
      <c r="M110" s="12">
        <v>2026</v>
      </c>
      <c r="N110" t="s">
        <v>735</v>
      </c>
    </row>
    <row r="111" spans="1:14" x14ac:dyDescent="0.2">
      <c r="A111" s="204" t="s">
        <v>908</v>
      </c>
      <c r="B111" s="1">
        <v>46163</v>
      </c>
      <c r="C111" s="204" t="s">
        <v>9</v>
      </c>
      <c r="D111" s="204" t="s">
        <v>10</v>
      </c>
      <c r="E111" s="204" t="s">
        <v>11</v>
      </c>
      <c r="F111" s="204" t="s">
        <v>27</v>
      </c>
      <c r="G111" s="204" t="s">
        <v>151</v>
      </c>
      <c r="H111" s="204" t="s">
        <v>43</v>
      </c>
      <c r="I111" s="204" t="s">
        <v>278</v>
      </c>
      <c r="J111" t="s">
        <v>1293</v>
      </c>
      <c r="K111" t="s">
        <v>735</v>
      </c>
      <c r="L111" t="s">
        <v>730</v>
      </c>
      <c r="M111" s="12">
        <v>2026</v>
      </c>
      <c r="N111" t="s">
        <v>735</v>
      </c>
    </row>
    <row r="112" spans="1:14" x14ac:dyDescent="0.2">
      <c r="A112" s="204" t="s">
        <v>811</v>
      </c>
      <c r="B112" s="1">
        <v>46161</v>
      </c>
      <c r="C112" s="204" t="s">
        <v>46</v>
      </c>
      <c r="D112" s="204" t="s">
        <v>10</v>
      </c>
      <c r="E112" s="204" t="s">
        <v>47</v>
      </c>
      <c r="F112" s="204" t="s">
        <v>43</v>
      </c>
      <c r="G112" s="204" t="s">
        <v>151</v>
      </c>
      <c r="H112" s="204" t="s">
        <v>43</v>
      </c>
      <c r="I112" s="204" t="s">
        <v>278</v>
      </c>
      <c r="J112" t="s">
        <v>1293</v>
      </c>
      <c r="K112" t="s">
        <v>735</v>
      </c>
      <c r="L112" t="s">
        <v>730</v>
      </c>
      <c r="M112" s="12">
        <v>2026</v>
      </c>
      <c r="N112" t="s">
        <v>735</v>
      </c>
    </row>
    <row r="113" spans="1:14" x14ac:dyDescent="0.2">
      <c r="A113" s="204" t="s">
        <v>701</v>
      </c>
      <c r="B113" s="1">
        <v>46156</v>
      </c>
      <c r="C113" s="204" t="s">
        <v>181</v>
      </c>
      <c r="D113" s="204" t="s">
        <v>10</v>
      </c>
      <c r="E113" s="204" t="s">
        <v>182</v>
      </c>
      <c r="F113" s="204" t="s">
        <v>377</v>
      </c>
      <c r="G113" s="204" t="s">
        <v>24</v>
      </c>
      <c r="H113" s="204" t="s">
        <v>156</v>
      </c>
      <c r="I113" s="204" t="s">
        <v>15</v>
      </c>
      <c r="J113" t="s">
        <v>1293</v>
      </c>
      <c r="K113" t="s">
        <v>735</v>
      </c>
      <c r="L113" t="s">
        <v>730</v>
      </c>
      <c r="M113" s="12">
        <v>2026</v>
      </c>
      <c r="N113" t="s">
        <v>735</v>
      </c>
    </row>
    <row r="114" spans="1:14" x14ac:dyDescent="0.2">
      <c r="A114" s="204" t="s">
        <v>528</v>
      </c>
      <c r="B114" s="1">
        <v>46155</v>
      </c>
      <c r="C114" s="204" t="s">
        <v>620</v>
      </c>
      <c r="D114" s="204" t="s">
        <v>17</v>
      </c>
      <c r="E114" s="204" t="s">
        <v>96</v>
      </c>
      <c r="F114" s="204" t="s">
        <v>529</v>
      </c>
      <c r="G114" s="204" t="s">
        <v>24</v>
      </c>
      <c r="H114" s="204" t="s">
        <v>118</v>
      </c>
      <c r="I114" s="204" t="s">
        <v>15</v>
      </c>
      <c r="J114" t="s">
        <v>1293</v>
      </c>
      <c r="K114" t="s">
        <v>735</v>
      </c>
      <c r="L114" t="s">
        <v>730</v>
      </c>
      <c r="M114" s="12">
        <v>2026</v>
      </c>
      <c r="N114" t="s">
        <v>735</v>
      </c>
    </row>
    <row r="115" spans="1:14" x14ac:dyDescent="0.2">
      <c r="A115" s="204" t="s">
        <v>552</v>
      </c>
      <c r="B115" s="1">
        <v>46155</v>
      </c>
      <c r="C115" s="204" t="s">
        <v>55</v>
      </c>
      <c r="D115" s="204" t="s">
        <v>17</v>
      </c>
      <c r="E115" s="204" t="s">
        <v>56</v>
      </c>
      <c r="F115" s="204" t="s">
        <v>706</v>
      </c>
      <c r="G115" s="204" t="s">
        <v>793</v>
      </c>
      <c r="H115" s="204" t="s">
        <v>87</v>
      </c>
      <c r="I115" s="204" t="s">
        <v>15</v>
      </c>
      <c r="J115" t="s">
        <v>1293</v>
      </c>
      <c r="K115" t="s">
        <v>735</v>
      </c>
      <c r="L115" t="s">
        <v>730</v>
      </c>
      <c r="M115" s="12">
        <v>2026</v>
      </c>
      <c r="N115" t="s">
        <v>735</v>
      </c>
    </row>
    <row r="116" spans="1:14" x14ac:dyDescent="0.2">
      <c r="A116" s="204" t="s">
        <v>905</v>
      </c>
      <c r="B116" s="1">
        <v>46155</v>
      </c>
      <c r="C116" s="204" t="s">
        <v>261</v>
      </c>
      <c r="D116" s="204" t="s">
        <v>10</v>
      </c>
      <c r="E116" s="204" t="s">
        <v>126</v>
      </c>
      <c r="F116" s="204" t="s">
        <v>127</v>
      </c>
      <c r="G116" s="204" t="s">
        <v>69</v>
      </c>
      <c r="H116" s="204" t="s">
        <v>255</v>
      </c>
      <c r="I116" s="204" t="s">
        <v>15</v>
      </c>
      <c r="J116" t="s">
        <v>1293</v>
      </c>
      <c r="K116" t="s">
        <v>735</v>
      </c>
      <c r="L116" t="s">
        <v>730</v>
      </c>
      <c r="M116" s="12">
        <v>2026</v>
      </c>
      <c r="N116" t="s">
        <v>735</v>
      </c>
    </row>
    <row r="117" spans="1:14" x14ac:dyDescent="0.2">
      <c r="A117" s="204" t="s">
        <v>906</v>
      </c>
      <c r="B117" s="1">
        <v>46155</v>
      </c>
      <c r="C117" s="204" t="s">
        <v>620</v>
      </c>
      <c r="D117" s="204" t="s">
        <v>17</v>
      </c>
      <c r="E117" s="204" t="s">
        <v>96</v>
      </c>
      <c r="F117" s="204" t="s">
        <v>907</v>
      </c>
      <c r="G117" s="204" t="s">
        <v>334</v>
      </c>
      <c r="H117" s="204" t="s">
        <v>335</v>
      </c>
      <c r="I117" s="204" t="s">
        <v>76</v>
      </c>
      <c r="J117" t="s">
        <v>1296</v>
      </c>
      <c r="K117" t="s">
        <v>735</v>
      </c>
      <c r="L117" t="s">
        <v>731</v>
      </c>
      <c r="M117" s="12">
        <v>2026</v>
      </c>
      <c r="N117" t="s">
        <v>735</v>
      </c>
    </row>
    <row r="118" spans="1:14" x14ac:dyDescent="0.2">
      <c r="A118" s="204" t="s">
        <v>209</v>
      </c>
      <c r="B118" s="1">
        <v>46154</v>
      </c>
      <c r="C118" s="204" t="s">
        <v>181</v>
      </c>
      <c r="D118" s="204" t="s">
        <v>10</v>
      </c>
      <c r="E118" s="204" t="s">
        <v>182</v>
      </c>
      <c r="F118" s="204" t="s">
        <v>903</v>
      </c>
      <c r="G118" s="204" t="s">
        <v>24</v>
      </c>
      <c r="H118" s="204" t="s">
        <v>904</v>
      </c>
      <c r="I118" s="204" t="s">
        <v>15</v>
      </c>
      <c r="J118" t="s">
        <v>1293</v>
      </c>
      <c r="K118" t="s">
        <v>735</v>
      </c>
      <c r="L118" t="s">
        <v>730</v>
      </c>
      <c r="M118" s="12">
        <v>2026</v>
      </c>
      <c r="N118" t="s">
        <v>735</v>
      </c>
    </row>
    <row r="119" spans="1:14" x14ac:dyDescent="0.2">
      <c r="A119" s="204" t="s">
        <v>902</v>
      </c>
      <c r="B119" s="1">
        <v>46154</v>
      </c>
      <c r="C119" s="204" t="s">
        <v>9</v>
      </c>
      <c r="D119" s="204" t="s">
        <v>10</v>
      </c>
      <c r="E119" s="204" t="s">
        <v>11</v>
      </c>
      <c r="F119" s="204" t="s">
        <v>12</v>
      </c>
      <c r="G119" s="204" t="s">
        <v>786</v>
      </c>
      <c r="H119" s="204" t="s">
        <v>14</v>
      </c>
      <c r="I119" s="204" t="s">
        <v>15</v>
      </c>
      <c r="J119" t="s">
        <v>1293</v>
      </c>
      <c r="K119" t="s">
        <v>735</v>
      </c>
      <c r="L119" t="s">
        <v>730</v>
      </c>
      <c r="M119" s="12">
        <v>2026</v>
      </c>
      <c r="N119" t="s">
        <v>735</v>
      </c>
    </row>
    <row r="120" spans="1:14" x14ac:dyDescent="0.2">
      <c r="A120" s="204" t="s">
        <v>902</v>
      </c>
      <c r="B120" s="1">
        <v>46150</v>
      </c>
      <c r="C120" s="204" t="s">
        <v>9</v>
      </c>
      <c r="D120" s="204" t="s">
        <v>10</v>
      </c>
      <c r="E120" s="204" t="s">
        <v>11</v>
      </c>
      <c r="F120" s="204" t="s">
        <v>12</v>
      </c>
      <c r="G120" s="204" t="s">
        <v>69</v>
      </c>
      <c r="H120" s="204" t="s">
        <v>205</v>
      </c>
      <c r="I120" s="204" t="s">
        <v>15</v>
      </c>
      <c r="J120" t="s">
        <v>1293</v>
      </c>
      <c r="K120" t="s">
        <v>735</v>
      </c>
      <c r="L120" t="s">
        <v>730</v>
      </c>
      <c r="M120" s="12">
        <v>2026</v>
      </c>
      <c r="N120" t="s">
        <v>735</v>
      </c>
    </row>
    <row r="121" spans="1:14" x14ac:dyDescent="0.2">
      <c r="A121" s="204" t="s">
        <v>473</v>
      </c>
      <c r="B121" s="1">
        <v>46150</v>
      </c>
      <c r="C121" s="204" t="s">
        <v>264</v>
      </c>
      <c r="D121" s="204" t="s">
        <v>17</v>
      </c>
      <c r="E121" s="204" t="s">
        <v>96</v>
      </c>
      <c r="F121" s="204" t="s">
        <v>529</v>
      </c>
      <c r="G121" s="204" t="s">
        <v>393</v>
      </c>
      <c r="H121" s="204" t="s">
        <v>124</v>
      </c>
      <c r="I121" s="204" t="s">
        <v>15</v>
      </c>
      <c r="J121" t="s">
        <v>1293</v>
      </c>
      <c r="K121" t="s">
        <v>735</v>
      </c>
      <c r="L121" t="s">
        <v>730</v>
      </c>
      <c r="M121" s="12">
        <v>2026</v>
      </c>
      <c r="N121" t="s">
        <v>735</v>
      </c>
    </row>
    <row r="122" spans="1:14" x14ac:dyDescent="0.2">
      <c r="A122" s="204" t="s">
        <v>900</v>
      </c>
      <c r="B122" s="1">
        <v>46149</v>
      </c>
      <c r="C122" s="204" t="s">
        <v>901</v>
      </c>
      <c r="D122" s="204" t="s">
        <v>305</v>
      </c>
      <c r="E122" s="204" t="s">
        <v>630</v>
      </c>
      <c r="F122" s="204" t="s">
        <v>333</v>
      </c>
      <c r="G122" s="204" t="s">
        <v>306</v>
      </c>
      <c r="H122" s="204" t="s">
        <v>14</v>
      </c>
      <c r="I122" s="204" t="s">
        <v>15</v>
      </c>
      <c r="J122" t="s">
        <v>1293</v>
      </c>
      <c r="K122" t="s">
        <v>735</v>
      </c>
      <c r="L122" t="s">
        <v>730</v>
      </c>
      <c r="M122" s="12">
        <v>2026</v>
      </c>
      <c r="N122" t="s">
        <v>735</v>
      </c>
    </row>
    <row r="123" spans="1:14" x14ac:dyDescent="0.2">
      <c r="A123" s="204" t="s">
        <v>899</v>
      </c>
      <c r="B123" s="1">
        <v>46148</v>
      </c>
      <c r="C123" s="204" t="s">
        <v>620</v>
      </c>
      <c r="D123" s="204" t="s">
        <v>17</v>
      </c>
      <c r="E123" s="204" t="s">
        <v>18</v>
      </c>
      <c r="F123" s="204" t="s">
        <v>781</v>
      </c>
      <c r="G123" s="204" t="s">
        <v>151</v>
      </c>
      <c r="H123" s="204" t="s">
        <v>118</v>
      </c>
      <c r="I123" s="204" t="s">
        <v>15</v>
      </c>
      <c r="J123" t="s">
        <v>1293</v>
      </c>
      <c r="K123" t="s">
        <v>735</v>
      </c>
      <c r="L123" t="s">
        <v>730</v>
      </c>
      <c r="M123" s="12">
        <v>2026</v>
      </c>
      <c r="N123" t="s">
        <v>735</v>
      </c>
    </row>
    <row r="124" spans="1:14" x14ac:dyDescent="0.2">
      <c r="A124" s="204" t="s">
        <v>473</v>
      </c>
      <c r="B124" s="1">
        <v>46147</v>
      </c>
      <c r="C124" s="204" t="s">
        <v>264</v>
      </c>
      <c r="D124" s="204" t="s">
        <v>17</v>
      </c>
      <c r="E124" s="204" t="s">
        <v>96</v>
      </c>
      <c r="F124" s="204" t="s">
        <v>529</v>
      </c>
      <c r="G124" s="204" t="s">
        <v>24</v>
      </c>
      <c r="H124" s="204" t="s">
        <v>895</v>
      </c>
      <c r="I124" s="204" t="s">
        <v>15</v>
      </c>
      <c r="J124" t="s">
        <v>1293</v>
      </c>
      <c r="K124" t="s">
        <v>735</v>
      </c>
      <c r="L124" t="s">
        <v>730</v>
      </c>
      <c r="M124" s="12">
        <v>2026</v>
      </c>
      <c r="N124" t="s">
        <v>735</v>
      </c>
    </row>
    <row r="125" spans="1:14" x14ac:dyDescent="0.2">
      <c r="A125" s="204" t="s">
        <v>896</v>
      </c>
      <c r="B125" s="1">
        <v>46143</v>
      </c>
      <c r="C125" s="204" t="s">
        <v>897</v>
      </c>
      <c r="D125" s="204" t="s">
        <v>10</v>
      </c>
      <c r="E125" s="204" t="s">
        <v>36</v>
      </c>
      <c r="F125" s="204" t="s">
        <v>898</v>
      </c>
      <c r="G125" s="204" t="s">
        <v>151</v>
      </c>
      <c r="H125" s="204" t="s">
        <v>43</v>
      </c>
      <c r="I125" s="204" t="s">
        <v>278</v>
      </c>
      <c r="J125" t="s">
        <v>1293</v>
      </c>
      <c r="K125" t="s">
        <v>735</v>
      </c>
      <c r="L125" t="s">
        <v>730</v>
      </c>
      <c r="M125" s="12">
        <v>2026</v>
      </c>
      <c r="N125" t="s">
        <v>735</v>
      </c>
    </row>
    <row r="126" spans="1:14" x14ac:dyDescent="0.2">
      <c r="A126" s="204" t="s">
        <v>892</v>
      </c>
      <c r="B126" s="1">
        <v>46141</v>
      </c>
      <c r="C126" s="204" t="s">
        <v>9</v>
      </c>
      <c r="D126" s="204" t="s">
        <v>10</v>
      </c>
      <c r="E126" s="204" t="s">
        <v>11</v>
      </c>
      <c r="F126" s="204" t="s">
        <v>12</v>
      </c>
      <c r="G126" s="204" t="s">
        <v>786</v>
      </c>
      <c r="H126" s="204" t="s">
        <v>513</v>
      </c>
      <c r="I126" s="204" t="s">
        <v>15</v>
      </c>
      <c r="J126" t="s">
        <v>1293</v>
      </c>
      <c r="K126" t="s">
        <v>734</v>
      </c>
      <c r="L126" t="s">
        <v>730</v>
      </c>
      <c r="M126" s="12">
        <v>2026</v>
      </c>
      <c r="N126" t="s">
        <v>734</v>
      </c>
    </row>
    <row r="127" spans="1:14" x14ac:dyDescent="0.2">
      <c r="A127" s="204" t="s">
        <v>316</v>
      </c>
      <c r="B127" s="1">
        <v>46141</v>
      </c>
      <c r="C127" s="204" t="s">
        <v>181</v>
      </c>
      <c r="D127" s="204" t="s">
        <v>10</v>
      </c>
      <c r="E127" s="204" t="s">
        <v>182</v>
      </c>
      <c r="F127" s="204" t="s">
        <v>223</v>
      </c>
      <c r="G127" s="204" t="s">
        <v>69</v>
      </c>
      <c r="H127" s="204" t="s">
        <v>371</v>
      </c>
      <c r="I127" s="204" t="s">
        <v>278</v>
      </c>
      <c r="J127" t="s">
        <v>1293</v>
      </c>
      <c r="K127" t="s">
        <v>734</v>
      </c>
      <c r="L127" t="s">
        <v>730</v>
      </c>
      <c r="M127" s="12">
        <v>2026</v>
      </c>
      <c r="N127" t="s">
        <v>734</v>
      </c>
    </row>
    <row r="128" spans="1:14" x14ac:dyDescent="0.2">
      <c r="A128" s="204" t="s">
        <v>893</v>
      </c>
      <c r="B128" s="1">
        <v>46140</v>
      </c>
      <c r="C128" s="204" t="s">
        <v>475</v>
      </c>
      <c r="D128" s="204" t="s">
        <v>10</v>
      </c>
      <c r="E128" s="204" t="s">
        <v>155</v>
      </c>
      <c r="F128" s="204" t="s">
        <v>894</v>
      </c>
      <c r="G128" s="204" t="s">
        <v>24</v>
      </c>
      <c r="H128" s="204" t="s">
        <v>895</v>
      </c>
      <c r="I128" s="204" t="s">
        <v>15</v>
      </c>
      <c r="J128" t="s">
        <v>1293</v>
      </c>
      <c r="K128" t="s">
        <v>734</v>
      </c>
      <c r="L128" t="s">
        <v>730</v>
      </c>
      <c r="M128" s="12">
        <v>2026</v>
      </c>
      <c r="N128" t="s">
        <v>734</v>
      </c>
    </row>
    <row r="129" spans="1:14" x14ac:dyDescent="0.2">
      <c r="A129" s="204" t="s">
        <v>887</v>
      </c>
      <c r="B129" s="1">
        <v>46136</v>
      </c>
      <c r="C129" s="204" t="s">
        <v>9</v>
      </c>
      <c r="D129" s="204" t="s">
        <v>10</v>
      </c>
      <c r="E129" s="204" t="s">
        <v>11</v>
      </c>
      <c r="F129" s="204" t="s">
        <v>888</v>
      </c>
      <c r="G129" s="204" t="s">
        <v>24</v>
      </c>
      <c r="H129" s="204" t="s">
        <v>889</v>
      </c>
      <c r="I129" s="204" t="s">
        <v>15</v>
      </c>
      <c r="J129" t="s">
        <v>1293</v>
      </c>
      <c r="K129" t="s">
        <v>734</v>
      </c>
      <c r="L129" t="s">
        <v>730</v>
      </c>
      <c r="M129" s="12">
        <v>2026</v>
      </c>
      <c r="N129" t="s">
        <v>734</v>
      </c>
    </row>
    <row r="130" spans="1:14" x14ac:dyDescent="0.2">
      <c r="A130" s="204" t="s">
        <v>782</v>
      </c>
      <c r="B130" s="1">
        <v>46136</v>
      </c>
      <c r="C130" s="204" t="s">
        <v>181</v>
      </c>
      <c r="D130" s="204" t="s">
        <v>10</v>
      </c>
      <c r="E130" s="204" t="s">
        <v>182</v>
      </c>
      <c r="F130" s="204" t="s">
        <v>890</v>
      </c>
      <c r="G130" s="204" t="s">
        <v>69</v>
      </c>
      <c r="H130" s="204" t="s">
        <v>747</v>
      </c>
      <c r="I130" s="204" t="s">
        <v>15</v>
      </c>
      <c r="J130" t="s">
        <v>1293</v>
      </c>
      <c r="K130" t="s">
        <v>734</v>
      </c>
      <c r="L130" t="s">
        <v>730</v>
      </c>
      <c r="M130" s="12">
        <v>2026</v>
      </c>
      <c r="N130" t="s">
        <v>734</v>
      </c>
    </row>
    <row r="131" spans="1:14" x14ac:dyDescent="0.2">
      <c r="A131" s="204" t="s">
        <v>701</v>
      </c>
      <c r="B131" s="1">
        <v>46136</v>
      </c>
      <c r="C131" s="204" t="s">
        <v>181</v>
      </c>
      <c r="D131" s="204" t="s">
        <v>10</v>
      </c>
      <c r="E131" s="204" t="s">
        <v>182</v>
      </c>
      <c r="F131" s="204" t="s">
        <v>43</v>
      </c>
      <c r="G131" s="204" t="s">
        <v>665</v>
      </c>
      <c r="H131" s="204" t="s">
        <v>891</v>
      </c>
      <c r="I131" s="204" t="s">
        <v>15</v>
      </c>
      <c r="J131" t="s">
        <v>1293</v>
      </c>
      <c r="K131" t="s">
        <v>734</v>
      </c>
      <c r="L131" t="s">
        <v>730</v>
      </c>
      <c r="M131" s="12">
        <v>2026</v>
      </c>
      <c r="N131" t="s">
        <v>734</v>
      </c>
    </row>
    <row r="132" spans="1:14" x14ac:dyDescent="0.2">
      <c r="A132" s="204" t="s">
        <v>882</v>
      </c>
      <c r="B132" s="1">
        <v>46135</v>
      </c>
      <c r="C132" s="204" t="s">
        <v>9</v>
      </c>
      <c r="D132" s="204" t="s">
        <v>10</v>
      </c>
      <c r="E132" s="204" t="s">
        <v>11</v>
      </c>
      <c r="F132" s="204" t="s">
        <v>883</v>
      </c>
      <c r="G132" s="204" t="s">
        <v>69</v>
      </c>
      <c r="H132" s="204" t="s">
        <v>847</v>
      </c>
      <c r="I132" s="204" t="s">
        <v>15</v>
      </c>
      <c r="J132" t="s">
        <v>1293</v>
      </c>
      <c r="K132" t="s">
        <v>734</v>
      </c>
      <c r="L132" t="s">
        <v>730</v>
      </c>
      <c r="M132" s="12">
        <v>2026</v>
      </c>
      <c r="N132" t="s">
        <v>734</v>
      </c>
    </row>
    <row r="133" spans="1:14" x14ac:dyDescent="0.2">
      <c r="A133" s="204" t="s">
        <v>884</v>
      </c>
      <c r="B133" s="1">
        <v>46135</v>
      </c>
      <c r="C133" s="204" t="s">
        <v>261</v>
      </c>
      <c r="D133" s="204" t="s">
        <v>10</v>
      </c>
      <c r="E133" s="204" t="s">
        <v>126</v>
      </c>
      <c r="F133" s="204" t="s">
        <v>43</v>
      </c>
      <c r="G133" s="204" t="s">
        <v>151</v>
      </c>
      <c r="H133" s="204" t="s">
        <v>885</v>
      </c>
      <c r="I133" s="204" t="s">
        <v>15</v>
      </c>
      <c r="J133" t="s">
        <v>1293</v>
      </c>
      <c r="K133" t="s">
        <v>734</v>
      </c>
      <c r="L133" t="s">
        <v>730</v>
      </c>
      <c r="M133" s="12">
        <v>2026</v>
      </c>
      <c r="N133" t="s">
        <v>734</v>
      </c>
    </row>
    <row r="134" spans="1:14" x14ac:dyDescent="0.2">
      <c r="A134" s="204" t="s">
        <v>805</v>
      </c>
      <c r="B134" s="1">
        <v>46135</v>
      </c>
      <c r="C134" s="204" t="s">
        <v>136</v>
      </c>
      <c r="D134" s="204" t="s">
        <v>10</v>
      </c>
      <c r="E134" s="204" t="s">
        <v>31</v>
      </c>
      <c r="F134" s="204" t="s">
        <v>806</v>
      </c>
      <c r="G134" s="204" t="s">
        <v>24</v>
      </c>
      <c r="H134" s="204" t="s">
        <v>886</v>
      </c>
      <c r="I134" s="204" t="s">
        <v>15</v>
      </c>
      <c r="J134" t="s">
        <v>1293</v>
      </c>
      <c r="K134" t="s">
        <v>734</v>
      </c>
      <c r="L134" t="s">
        <v>730</v>
      </c>
      <c r="M134" s="12">
        <v>2026</v>
      </c>
      <c r="N134" t="s">
        <v>734</v>
      </c>
    </row>
    <row r="135" spans="1:14" x14ac:dyDescent="0.2">
      <c r="A135" s="204" t="s">
        <v>874</v>
      </c>
      <c r="B135" s="1">
        <v>46134</v>
      </c>
      <c r="C135" s="204" t="s">
        <v>136</v>
      </c>
      <c r="D135" s="204" t="s">
        <v>10</v>
      </c>
      <c r="E135" s="204" t="s">
        <v>43</v>
      </c>
      <c r="F135" s="204" t="s">
        <v>43</v>
      </c>
      <c r="G135" s="204" t="s">
        <v>334</v>
      </c>
      <c r="H135" s="204" t="s">
        <v>255</v>
      </c>
      <c r="I135" s="204" t="s">
        <v>15</v>
      </c>
      <c r="J135" t="s">
        <v>1293</v>
      </c>
      <c r="K135" t="s">
        <v>734</v>
      </c>
      <c r="L135" t="s">
        <v>730</v>
      </c>
      <c r="M135" s="12">
        <v>2026</v>
      </c>
      <c r="N135" t="s">
        <v>734</v>
      </c>
    </row>
    <row r="136" spans="1:14" x14ac:dyDescent="0.2">
      <c r="A136" s="204" t="s">
        <v>688</v>
      </c>
      <c r="B136" s="1">
        <v>46134</v>
      </c>
      <c r="C136" s="204" t="s">
        <v>136</v>
      </c>
      <c r="D136" s="204" t="s">
        <v>10</v>
      </c>
      <c r="E136" s="204" t="s">
        <v>31</v>
      </c>
      <c r="F136" s="204" t="s">
        <v>43</v>
      </c>
      <c r="G136" s="204" t="s">
        <v>875</v>
      </c>
      <c r="H136" s="204" t="s">
        <v>567</v>
      </c>
      <c r="I136" s="204" t="s">
        <v>15</v>
      </c>
      <c r="J136" t="s">
        <v>1293</v>
      </c>
      <c r="K136" t="s">
        <v>734</v>
      </c>
      <c r="L136" t="s">
        <v>730</v>
      </c>
      <c r="M136" s="12">
        <v>2026</v>
      </c>
      <c r="N136" t="s">
        <v>734</v>
      </c>
    </row>
    <row r="137" spans="1:14" x14ac:dyDescent="0.2">
      <c r="A137" s="204" t="s">
        <v>876</v>
      </c>
      <c r="B137" s="1">
        <v>46134</v>
      </c>
      <c r="C137" s="204" t="s">
        <v>61</v>
      </c>
      <c r="D137" s="204" t="s">
        <v>17</v>
      </c>
      <c r="E137" s="204" t="s">
        <v>83</v>
      </c>
      <c r="F137" s="204" t="s">
        <v>877</v>
      </c>
      <c r="G137" s="204" t="s">
        <v>69</v>
      </c>
      <c r="H137" s="204" t="s">
        <v>878</v>
      </c>
      <c r="I137" s="204" t="s">
        <v>15</v>
      </c>
      <c r="J137" t="s">
        <v>1293</v>
      </c>
      <c r="K137" t="s">
        <v>734</v>
      </c>
      <c r="L137" t="s">
        <v>730</v>
      </c>
      <c r="M137" s="12">
        <v>2026</v>
      </c>
      <c r="N137" t="s">
        <v>734</v>
      </c>
    </row>
    <row r="138" spans="1:14" x14ac:dyDescent="0.2">
      <c r="A138" s="204" t="s">
        <v>879</v>
      </c>
      <c r="B138" s="1">
        <v>46134</v>
      </c>
      <c r="C138" s="204" t="s">
        <v>9</v>
      </c>
      <c r="D138" s="204" t="s">
        <v>10</v>
      </c>
      <c r="E138" s="204" t="s">
        <v>11</v>
      </c>
      <c r="F138" s="204" t="s">
        <v>169</v>
      </c>
      <c r="G138" s="204" t="s">
        <v>69</v>
      </c>
      <c r="H138" s="204" t="s">
        <v>75</v>
      </c>
      <c r="I138" s="204" t="s">
        <v>15</v>
      </c>
      <c r="J138" t="s">
        <v>1293</v>
      </c>
      <c r="K138" t="s">
        <v>734</v>
      </c>
      <c r="L138" t="s">
        <v>730</v>
      </c>
      <c r="M138" s="12">
        <v>2026</v>
      </c>
      <c r="N138" t="s">
        <v>734</v>
      </c>
    </row>
    <row r="139" spans="1:14" x14ac:dyDescent="0.2">
      <c r="A139" s="204" t="s">
        <v>880</v>
      </c>
      <c r="B139" s="1">
        <v>46134</v>
      </c>
      <c r="C139" s="204" t="s">
        <v>620</v>
      </c>
      <c r="D139" s="204" t="s">
        <v>17</v>
      </c>
      <c r="E139" s="204" t="s">
        <v>18</v>
      </c>
      <c r="F139" s="204" t="s">
        <v>881</v>
      </c>
      <c r="G139" s="204" t="s">
        <v>24</v>
      </c>
      <c r="H139" s="204" t="s">
        <v>221</v>
      </c>
      <c r="I139" s="204" t="s">
        <v>15</v>
      </c>
      <c r="J139" t="s">
        <v>1293</v>
      </c>
      <c r="K139" t="s">
        <v>734</v>
      </c>
      <c r="L139" t="s">
        <v>730</v>
      </c>
      <c r="M139" s="12">
        <v>2026</v>
      </c>
      <c r="N139" t="s">
        <v>734</v>
      </c>
    </row>
    <row r="140" spans="1:14" x14ac:dyDescent="0.2">
      <c r="A140" s="204" t="s">
        <v>909</v>
      </c>
      <c r="B140" s="1">
        <v>46134</v>
      </c>
      <c r="C140" s="204" t="s">
        <v>136</v>
      </c>
      <c r="D140" s="204" t="s">
        <v>10</v>
      </c>
      <c r="E140" s="204" t="s">
        <v>31</v>
      </c>
      <c r="F140" s="204" t="s">
        <v>910</v>
      </c>
      <c r="G140" s="204" t="s">
        <v>24</v>
      </c>
      <c r="H140" s="204" t="s">
        <v>156</v>
      </c>
      <c r="I140" s="204" t="s">
        <v>15</v>
      </c>
      <c r="J140" t="s">
        <v>1293</v>
      </c>
      <c r="K140" t="s">
        <v>734</v>
      </c>
      <c r="L140" t="s">
        <v>730</v>
      </c>
      <c r="M140" s="12">
        <v>2026</v>
      </c>
      <c r="N140" t="s">
        <v>734</v>
      </c>
    </row>
    <row r="141" spans="1:14" x14ac:dyDescent="0.2">
      <c r="A141" s="204" t="s">
        <v>710</v>
      </c>
      <c r="B141" s="1">
        <v>46133</v>
      </c>
      <c r="C141" s="204" t="s">
        <v>264</v>
      </c>
      <c r="D141" s="204" t="s">
        <v>17</v>
      </c>
      <c r="E141" s="204" t="s">
        <v>96</v>
      </c>
      <c r="F141" s="204" t="s">
        <v>872</v>
      </c>
      <c r="G141" s="204" t="s">
        <v>69</v>
      </c>
      <c r="H141" s="204" t="s">
        <v>513</v>
      </c>
      <c r="I141" s="204" t="s">
        <v>15</v>
      </c>
      <c r="J141" t="s">
        <v>1293</v>
      </c>
      <c r="K141" t="s">
        <v>734</v>
      </c>
      <c r="L141" t="s">
        <v>730</v>
      </c>
      <c r="M141" s="12">
        <v>2026</v>
      </c>
      <c r="N141" t="s">
        <v>734</v>
      </c>
    </row>
    <row r="142" spans="1:14" x14ac:dyDescent="0.2">
      <c r="A142" s="204" t="s">
        <v>873</v>
      </c>
      <c r="B142" s="1">
        <v>46133</v>
      </c>
      <c r="C142" s="204" t="s">
        <v>46</v>
      </c>
      <c r="D142" s="204" t="s">
        <v>10</v>
      </c>
      <c r="E142" s="204" t="s">
        <v>47</v>
      </c>
      <c r="F142" s="204" t="s">
        <v>723</v>
      </c>
      <c r="G142" s="204" t="s">
        <v>69</v>
      </c>
      <c r="H142" s="204" t="s">
        <v>747</v>
      </c>
      <c r="I142" s="204" t="s">
        <v>15</v>
      </c>
      <c r="J142" t="s">
        <v>1293</v>
      </c>
      <c r="K142" t="s">
        <v>734</v>
      </c>
      <c r="L142" t="s">
        <v>730</v>
      </c>
      <c r="M142" s="12">
        <v>2026</v>
      </c>
      <c r="N142" t="s">
        <v>734</v>
      </c>
    </row>
    <row r="143" spans="1:14" x14ac:dyDescent="0.2">
      <c r="A143" s="204" t="s">
        <v>46</v>
      </c>
      <c r="B143" s="1">
        <v>46129</v>
      </c>
      <c r="C143" s="204" t="s">
        <v>46</v>
      </c>
      <c r="D143" s="204" t="s">
        <v>10</v>
      </c>
      <c r="E143" s="204" t="s">
        <v>47</v>
      </c>
      <c r="F143" s="204" t="s">
        <v>162</v>
      </c>
      <c r="G143" s="204" t="s">
        <v>24</v>
      </c>
      <c r="H143" s="204" t="s">
        <v>221</v>
      </c>
      <c r="I143" s="204" t="s">
        <v>15</v>
      </c>
      <c r="J143" t="s">
        <v>1293</v>
      </c>
      <c r="K143" t="s">
        <v>734</v>
      </c>
      <c r="L143" t="s">
        <v>730</v>
      </c>
      <c r="M143" s="12">
        <v>2026</v>
      </c>
      <c r="N143" t="s">
        <v>734</v>
      </c>
    </row>
    <row r="144" spans="1:14" x14ac:dyDescent="0.2">
      <c r="A144" s="204" t="s">
        <v>867</v>
      </c>
      <c r="B144" s="1">
        <v>46129</v>
      </c>
      <c r="C144" s="204" t="s">
        <v>181</v>
      </c>
      <c r="D144" s="204" t="s">
        <v>10</v>
      </c>
      <c r="E144" s="204" t="s">
        <v>182</v>
      </c>
      <c r="F144" s="204" t="s">
        <v>868</v>
      </c>
      <c r="G144" s="204" t="s">
        <v>967</v>
      </c>
      <c r="H144" s="204" t="s">
        <v>869</v>
      </c>
      <c r="I144" s="204" t="s">
        <v>15</v>
      </c>
      <c r="J144" t="s">
        <v>1293</v>
      </c>
      <c r="K144" t="s">
        <v>734</v>
      </c>
      <c r="L144" t="s">
        <v>730</v>
      </c>
      <c r="M144" s="12">
        <v>2026</v>
      </c>
      <c r="N144" t="s">
        <v>734</v>
      </c>
    </row>
    <row r="145" spans="1:14" x14ac:dyDescent="0.2">
      <c r="A145" s="204" t="s">
        <v>870</v>
      </c>
      <c r="B145" s="1">
        <v>46129</v>
      </c>
      <c r="C145" s="204" t="s">
        <v>620</v>
      </c>
      <c r="D145" s="204" t="s">
        <v>17</v>
      </c>
      <c r="E145" s="204" t="s">
        <v>18</v>
      </c>
      <c r="F145" s="204" t="s">
        <v>871</v>
      </c>
      <c r="G145" s="204" t="s">
        <v>24</v>
      </c>
      <c r="H145" s="204" t="s">
        <v>75</v>
      </c>
      <c r="I145" s="204" t="s">
        <v>15</v>
      </c>
      <c r="J145" t="s">
        <v>1293</v>
      </c>
      <c r="K145" t="s">
        <v>734</v>
      </c>
      <c r="L145" t="s">
        <v>730</v>
      </c>
      <c r="M145" s="12">
        <v>2026</v>
      </c>
      <c r="N145" t="s">
        <v>734</v>
      </c>
    </row>
    <row r="146" spans="1:14" x14ac:dyDescent="0.2">
      <c r="A146" s="204" t="s">
        <v>521</v>
      </c>
      <c r="B146" s="1">
        <v>46128</v>
      </c>
      <c r="C146" s="204" t="s">
        <v>136</v>
      </c>
      <c r="D146" s="204" t="s">
        <v>10</v>
      </c>
      <c r="E146" s="204" t="s">
        <v>31</v>
      </c>
      <c r="F146" s="204" t="s">
        <v>861</v>
      </c>
      <c r="G146" s="204" t="s">
        <v>24</v>
      </c>
      <c r="H146" s="204" t="s">
        <v>866</v>
      </c>
      <c r="I146" s="204" t="s">
        <v>15</v>
      </c>
      <c r="J146" t="s">
        <v>1293</v>
      </c>
      <c r="K146" t="s">
        <v>734</v>
      </c>
      <c r="L146" t="s">
        <v>730</v>
      </c>
      <c r="M146" s="12">
        <v>2026</v>
      </c>
      <c r="N146" t="s">
        <v>734</v>
      </c>
    </row>
    <row r="147" spans="1:14" x14ac:dyDescent="0.2">
      <c r="A147" s="204" t="s">
        <v>863</v>
      </c>
      <c r="B147" s="1">
        <v>46127</v>
      </c>
      <c r="C147" s="204" t="s">
        <v>9</v>
      </c>
      <c r="D147" s="204" t="s">
        <v>10</v>
      </c>
      <c r="E147" s="204" t="s">
        <v>11</v>
      </c>
      <c r="F147" s="204" t="s">
        <v>280</v>
      </c>
      <c r="G147" s="204" t="s">
        <v>967</v>
      </c>
      <c r="H147" s="204" t="s">
        <v>507</v>
      </c>
      <c r="I147" s="204" t="s">
        <v>15</v>
      </c>
      <c r="J147" t="s">
        <v>1293</v>
      </c>
      <c r="K147" t="s">
        <v>734</v>
      </c>
      <c r="L147" t="s">
        <v>730</v>
      </c>
      <c r="M147" s="12">
        <v>2026</v>
      </c>
      <c r="N147" t="s">
        <v>734</v>
      </c>
    </row>
    <row r="148" spans="1:14" x14ac:dyDescent="0.2">
      <c r="A148" s="204" t="s">
        <v>856</v>
      </c>
      <c r="B148" s="1">
        <v>46126</v>
      </c>
      <c r="C148" s="204" t="s">
        <v>181</v>
      </c>
      <c r="D148" s="204" t="s">
        <v>10</v>
      </c>
      <c r="E148" s="204" t="s">
        <v>182</v>
      </c>
      <c r="F148" s="204" t="s">
        <v>223</v>
      </c>
      <c r="G148" s="204" t="s">
        <v>24</v>
      </c>
      <c r="H148" s="204" t="s">
        <v>118</v>
      </c>
      <c r="I148" s="204" t="s">
        <v>15</v>
      </c>
      <c r="J148" t="s">
        <v>1293</v>
      </c>
      <c r="K148" t="s">
        <v>734</v>
      </c>
      <c r="L148" t="s">
        <v>730</v>
      </c>
      <c r="M148" s="12">
        <v>2026</v>
      </c>
      <c r="N148" t="s">
        <v>734</v>
      </c>
    </row>
    <row r="149" spans="1:14" x14ac:dyDescent="0.2">
      <c r="A149" s="204" t="s">
        <v>859</v>
      </c>
      <c r="B149" s="1">
        <v>46126</v>
      </c>
      <c r="C149" s="204" t="s">
        <v>261</v>
      </c>
      <c r="D149" s="204" t="s">
        <v>10</v>
      </c>
      <c r="E149" s="204" t="s">
        <v>126</v>
      </c>
      <c r="F149" s="204" t="s">
        <v>138</v>
      </c>
      <c r="G149" s="204" t="s">
        <v>69</v>
      </c>
      <c r="H149" s="204" t="s">
        <v>335</v>
      </c>
      <c r="I149" s="204" t="s">
        <v>15</v>
      </c>
      <c r="J149" t="s">
        <v>1293</v>
      </c>
      <c r="K149" t="s">
        <v>734</v>
      </c>
      <c r="L149" t="s">
        <v>730</v>
      </c>
      <c r="M149" s="12">
        <v>2026</v>
      </c>
      <c r="N149" t="s">
        <v>734</v>
      </c>
    </row>
    <row r="150" spans="1:14" x14ac:dyDescent="0.2">
      <c r="A150" s="204" t="s">
        <v>356</v>
      </c>
      <c r="B150" s="1">
        <v>46126</v>
      </c>
      <c r="C150" s="204" t="s">
        <v>264</v>
      </c>
      <c r="D150" s="204" t="s">
        <v>17</v>
      </c>
      <c r="E150" s="204" t="s">
        <v>62</v>
      </c>
      <c r="F150" s="204" t="s">
        <v>860</v>
      </c>
      <c r="G150" s="204" t="s">
        <v>393</v>
      </c>
      <c r="H150" s="204" t="s">
        <v>592</v>
      </c>
      <c r="I150" s="204" t="s">
        <v>15</v>
      </c>
      <c r="J150" t="s">
        <v>1293</v>
      </c>
      <c r="K150" t="s">
        <v>734</v>
      </c>
      <c r="L150" t="s">
        <v>730</v>
      </c>
      <c r="M150" s="12">
        <v>2026</v>
      </c>
      <c r="N150" t="s">
        <v>734</v>
      </c>
    </row>
    <row r="151" spans="1:14" x14ac:dyDescent="0.2">
      <c r="A151" s="204" t="s">
        <v>587</v>
      </c>
      <c r="B151" s="1">
        <v>46126</v>
      </c>
      <c r="C151" s="204" t="s">
        <v>136</v>
      </c>
      <c r="D151" s="204" t="s">
        <v>10</v>
      </c>
      <c r="E151" s="204" t="s">
        <v>31</v>
      </c>
      <c r="F151" s="204" t="s">
        <v>861</v>
      </c>
      <c r="G151" s="204" t="s">
        <v>665</v>
      </c>
      <c r="H151" s="204" t="s">
        <v>465</v>
      </c>
      <c r="I151" s="204" t="s">
        <v>278</v>
      </c>
      <c r="J151" t="s">
        <v>1293</v>
      </c>
      <c r="K151" t="s">
        <v>734</v>
      </c>
      <c r="L151" t="s">
        <v>730</v>
      </c>
      <c r="M151" s="12">
        <v>2026</v>
      </c>
      <c r="N151" t="s">
        <v>734</v>
      </c>
    </row>
    <row r="152" spans="1:14" x14ac:dyDescent="0.2">
      <c r="A152" s="204" t="s">
        <v>862</v>
      </c>
      <c r="B152" s="1">
        <v>46126</v>
      </c>
      <c r="C152" s="204" t="s">
        <v>9</v>
      </c>
      <c r="D152" s="204" t="s">
        <v>10</v>
      </c>
      <c r="E152" s="204" t="s">
        <v>11</v>
      </c>
      <c r="F152" s="204" t="s">
        <v>169</v>
      </c>
      <c r="G152" s="204" t="s">
        <v>69</v>
      </c>
      <c r="H152" s="204" t="s">
        <v>75</v>
      </c>
      <c r="I152" s="204" t="s">
        <v>15</v>
      </c>
      <c r="J152" t="s">
        <v>1293</v>
      </c>
      <c r="K152" t="s">
        <v>734</v>
      </c>
      <c r="L152" t="s">
        <v>730</v>
      </c>
      <c r="M152" s="12">
        <v>2026</v>
      </c>
      <c r="N152" t="s">
        <v>734</v>
      </c>
    </row>
    <row r="153" spans="1:14" x14ac:dyDescent="0.2">
      <c r="A153" s="204" t="s">
        <v>849</v>
      </c>
      <c r="B153" s="1">
        <v>46122</v>
      </c>
      <c r="C153" s="204" t="s">
        <v>136</v>
      </c>
      <c r="D153" s="204" t="s">
        <v>10</v>
      </c>
      <c r="E153" s="204" t="s">
        <v>31</v>
      </c>
      <c r="F153" s="204" t="s">
        <v>253</v>
      </c>
      <c r="G153" s="204" t="s">
        <v>151</v>
      </c>
      <c r="H153" s="204" t="s">
        <v>850</v>
      </c>
      <c r="I153" s="204" t="s">
        <v>15</v>
      </c>
      <c r="J153" t="s">
        <v>1293</v>
      </c>
      <c r="K153" t="s">
        <v>734</v>
      </c>
      <c r="L153" t="s">
        <v>730</v>
      </c>
      <c r="M153" s="12">
        <v>2026</v>
      </c>
      <c r="N153" t="s">
        <v>734</v>
      </c>
    </row>
    <row r="154" spans="1:14" x14ac:dyDescent="0.2">
      <c r="A154" s="204" t="s">
        <v>505</v>
      </c>
      <c r="B154" s="1">
        <v>46122</v>
      </c>
      <c r="C154" s="204" t="s">
        <v>55</v>
      </c>
      <c r="D154" s="204" t="s">
        <v>17</v>
      </c>
      <c r="E154" s="204" t="s">
        <v>56</v>
      </c>
      <c r="F154" s="204" t="s">
        <v>851</v>
      </c>
      <c r="G154" s="204" t="s">
        <v>372</v>
      </c>
      <c r="H154" s="204" t="s">
        <v>852</v>
      </c>
      <c r="I154" s="204" t="s">
        <v>15</v>
      </c>
      <c r="J154" t="s">
        <v>1293</v>
      </c>
      <c r="K154" t="s">
        <v>734</v>
      </c>
      <c r="L154" t="s">
        <v>730</v>
      </c>
      <c r="M154" s="12">
        <v>2026</v>
      </c>
      <c r="N154" t="s">
        <v>734</v>
      </c>
    </row>
    <row r="155" spans="1:14" x14ac:dyDescent="0.2">
      <c r="A155" s="204" t="s">
        <v>853</v>
      </c>
      <c r="B155" s="1">
        <v>46122</v>
      </c>
      <c r="C155" s="204" t="s">
        <v>657</v>
      </c>
      <c r="D155" s="204" t="s">
        <v>17</v>
      </c>
      <c r="E155" s="204" t="s">
        <v>114</v>
      </c>
      <c r="F155" s="204" t="s">
        <v>854</v>
      </c>
      <c r="G155" s="204" t="s">
        <v>855</v>
      </c>
      <c r="H155" s="204" t="s">
        <v>490</v>
      </c>
      <c r="I155" s="204" t="s">
        <v>15</v>
      </c>
      <c r="J155" t="s">
        <v>1293</v>
      </c>
      <c r="K155" t="s">
        <v>734</v>
      </c>
      <c r="L155" t="s">
        <v>730</v>
      </c>
      <c r="M155" s="12">
        <v>2026</v>
      </c>
      <c r="N155" t="s">
        <v>734</v>
      </c>
    </row>
    <row r="156" spans="1:14" x14ac:dyDescent="0.2">
      <c r="A156" s="204" t="s">
        <v>782</v>
      </c>
      <c r="B156" s="1">
        <v>46121</v>
      </c>
      <c r="C156" s="204" t="s">
        <v>181</v>
      </c>
      <c r="D156" s="204" t="s">
        <v>10</v>
      </c>
      <c r="E156" s="204" t="s">
        <v>182</v>
      </c>
      <c r="F156" s="204" t="s">
        <v>848</v>
      </c>
      <c r="G156" s="204" t="s">
        <v>28</v>
      </c>
      <c r="H156" s="204" t="s">
        <v>335</v>
      </c>
      <c r="I156" s="204" t="s">
        <v>15</v>
      </c>
      <c r="J156" t="s">
        <v>1293</v>
      </c>
      <c r="K156" t="s">
        <v>734</v>
      </c>
      <c r="L156" t="s">
        <v>730</v>
      </c>
      <c r="M156" s="12">
        <v>2026</v>
      </c>
      <c r="N156" t="s">
        <v>734</v>
      </c>
    </row>
    <row r="157" spans="1:14" x14ac:dyDescent="0.2">
      <c r="A157" s="204" t="s">
        <v>552</v>
      </c>
      <c r="B157" s="1">
        <v>46121</v>
      </c>
      <c r="C157" s="204" t="s">
        <v>55</v>
      </c>
      <c r="D157" s="204" t="s">
        <v>17</v>
      </c>
      <c r="E157" s="204" t="s">
        <v>56</v>
      </c>
      <c r="F157" s="204" t="s">
        <v>706</v>
      </c>
      <c r="G157" s="204" t="s">
        <v>967</v>
      </c>
      <c r="H157" s="204" t="s">
        <v>507</v>
      </c>
      <c r="I157" s="204" t="s">
        <v>15</v>
      </c>
      <c r="J157" t="s">
        <v>1293</v>
      </c>
      <c r="K157" t="s">
        <v>734</v>
      </c>
      <c r="L157" t="s">
        <v>730</v>
      </c>
      <c r="M157" s="12">
        <v>2026</v>
      </c>
      <c r="N157" t="s">
        <v>734</v>
      </c>
    </row>
    <row r="158" spans="1:14" x14ac:dyDescent="0.2">
      <c r="A158" s="204" t="s">
        <v>473</v>
      </c>
      <c r="B158" s="1">
        <v>46121</v>
      </c>
      <c r="C158" s="204" t="s">
        <v>264</v>
      </c>
      <c r="D158" s="204" t="s">
        <v>17</v>
      </c>
      <c r="E158" s="204" t="s">
        <v>96</v>
      </c>
      <c r="F158" s="204" t="s">
        <v>529</v>
      </c>
      <c r="G158" s="204" t="s">
        <v>184</v>
      </c>
      <c r="H158" s="204" t="s">
        <v>633</v>
      </c>
      <c r="I158" s="204" t="s">
        <v>15</v>
      </c>
      <c r="J158" t="s">
        <v>1293</v>
      </c>
      <c r="K158" t="s">
        <v>734</v>
      </c>
      <c r="L158" t="s">
        <v>730</v>
      </c>
      <c r="M158" s="12">
        <v>2026</v>
      </c>
      <c r="N158" t="s">
        <v>734</v>
      </c>
    </row>
    <row r="159" spans="1:14" x14ac:dyDescent="0.2">
      <c r="A159" s="204" t="s">
        <v>864</v>
      </c>
      <c r="B159" s="1">
        <v>46121</v>
      </c>
      <c r="C159" s="204" t="s">
        <v>46</v>
      </c>
      <c r="D159" s="204" t="s">
        <v>10</v>
      </c>
      <c r="E159" s="204" t="s">
        <v>47</v>
      </c>
      <c r="F159" s="204" t="s">
        <v>716</v>
      </c>
      <c r="G159" s="204" t="s">
        <v>24</v>
      </c>
      <c r="H159" s="204" t="s">
        <v>865</v>
      </c>
      <c r="I159" s="204" t="s">
        <v>15</v>
      </c>
      <c r="J159" t="s">
        <v>1293</v>
      </c>
      <c r="K159" t="s">
        <v>734</v>
      </c>
      <c r="L159" t="s">
        <v>730</v>
      </c>
      <c r="M159" s="12">
        <v>2026</v>
      </c>
      <c r="N159" t="s">
        <v>734</v>
      </c>
    </row>
    <row r="160" spans="1:14" ht="28.5" x14ac:dyDescent="0.2">
      <c r="A160" s="204" t="s">
        <v>782</v>
      </c>
      <c r="B160" s="1">
        <v>46121</v>
      </c>
      <c r="C160" s="204" t="s">
        <v>46</v>
      </c>
      <c r="D160" s="204" t="s">
        <v>10</v>
      </c>
      <c r="E160" s="204" t="s">
        <v>182</v>
      </c>
      <c r="F160" s="204" t="s">
        <v>223</v>
      </c>
      <c r="G160" s="204" t="s">
        <v>24</v>
      </c>
      <c r="H160" s="216" t="s">
        <v>249</v>
      </c>
      <c r="I160" s="204" t="s">
        <v>15</v>
      </c>
      <c r="J160" t="s">
        <v>1293</v>
      </c>
      <c r="K160" t="s">
        <v>734</v>
      </c>
      <c r="L160" t="s">
        <v>730</v>
      </c>
      <c r="M160" s="12">
        <v>2026</v>
      </c>
      <c r="N160" t="s">
        <v>734</v>
      </c>
    </row>
    <row r="161" spans="1:14" x14ac:dyDescent="0.2">
      <c r="A161" s="204" t="s">
        <v>839</v>
      </c>
      <c r="B161" s="1">
        <v>46120</v>
      </c>
      <c r="C161" s="204" t="s">
        <v>71</v>
      </c>
      <c r="D161" s="204" t="s">
        <v>17</v>
      </c>
      <c r="E161" s="204" t="s">
        <v>72</v>
      </c>
      <c r="F161" s="204" t="s">
        <v>840</v>
      </c>
      <c r="G161" s="204" t="s">
        <v>835</v>
      </c>
      <c r="H161" s="204" t="s">
        <v>841</v>
      </c>
      <c r="I161" s="204" t="s">
        <v>15</v>
      </c>
      <c r="J161" t="s">
        <v>1293</v>
      </c>
      <c r="K161" t="s">
        <v>734</v>
      </c>
      <c r="L161" t="s">
        <v>730</v>
      </c>
      <c r="M161" s="12">
        <v>2026</v>
      </c>
      <c r="N161" t="s">
        <v>734</v>
      </c>
    </row>
    <row r="162" spans="1:14" x14ac:dyDescent="0.2">
      <c r="A162" s="204" t="s">
        <v>842</v>
      </c>
      <c r="B162" s="1">
        <v>46120</v>
      </c>
      <c r="C162" s="204" t="s">
        <v>1294</v>
      </c>
      <c r="D162" s="204" t="s">
        <v>36</v>
      </c>
      <c r="E162" s="204" t="s">
        <v>843</v>
      </c>
      <c r="F162" s="204" t="s">
        <v>844</v>
      </c>
      <c r="G162" s="204" t="s">
        <v>58</v>
      </c>
      <c r="H162" s="204" t="s">
        <v>747</v>
      </c>
      <c r="I162" s="204" t="s">
        <v>15</v>
      </c>
      <c r="J162" t="s">
        <v>1293</v>
      </c>
      <c r="K162" t="s">
        <v>734</v>
      </c>
      <c r="L162" t="s">
        <v>730</v>
      </c>
      <c r="M162" s="12">
        <v>2026</v>
      </c>
      <c r="N162" t="s">
        <v>734</v>
      </c>
    </row>
    <row r="163" spans="1:14" x14ac:dyDescent="0.2">
      <c r="A163" s="204" t="s">
        <v>845</v>
      </c>
      <c r="B163" s="1">
        <v>46120</v>
      </c>
      <c r="C163" s="204" t="s">
        <v>261</v>
      </c>
      <c r="D163" s="204" t="s">
        <v>10</v>
      </c>
      <c r="E163" s="204" t="s">
        <v>126</v>
      </c>
      <c r="F163" s="204" t="s">
        <v>572</v>
      </c>
      <c r="G163" s="204" t="s">
        <v>69</v>
      </c>
      <c r="H163" s="204" t="s">
        <v>513</v>
      </c>
      <c r="I163" s="204" t="s">
        <v>15</v>
      </c>
      <c r="J163" t="s">
        <v>1293</v>
      </c>
      <c r="K163" t="s">
        <v>734</v>
      </c>
      <c r="L163" t="s">
        <v>730</v>
      </c>
      <c r="M163" s="12">
        <v>2026</v>
      </c>
      <c r="N163" t="s">
        <v>734</v>
      </c>
    </row>
    <row r="164" spans="1:14" x14ac:dyDescent="0.2">
      <c r="A164" s="204" t="s">
        <v>846</v>
      </c>
      <c r="B164" s="1">
        <v>46120</v>
      </c>
      <c r="C164" s="204" t="s">
        <v>475</v>
      </c>
      <c r="D164" s="204" t="s">
        <v>10</v>
      </c>
      <c r="E164" s="204" t="s">
        <v>155</v>
      </c>
      <c r="F164" s="204" t="s">
        <v>32</v>
      </c>
      <c r="G164" s="204" t="s">
        <v>786</v>
      </c>
      <c r="H164" s="204" t="s">
        <v>847</v>
      </c>
      <c r="I164" s="204" t="s">
        <v>15</v>
      </c>
      <c r="J164" t="s">
        <v>1293</v>
      </c>
      <c r="K164" t="s">
        <v>734</v>
      </c>
      <c r="L164" t="s">
        <v>730</v>
      </c>
      <c r="M164" s="12">
        <v>2026</v>
      </c>
      <c r="N164" t="s">
        <v>734</v>
      </c>
    </row>
    <row r="165" spans="1:14" x14ac:dyDescent="0.2">
      <c r="A165" s="204" t="s">
        <v>857</v>
      </c>
      <c r="B165" s="1">
        <v>46120</v>
      </c>
      <c r="C165" s="204" t="s">
        <v>261</v>
      </c>
      <c r="D165" s="204" t="s">
        <v>10</v>
      </c>
      <c r="E165" s="204" t="s">
        <v>126</v>
      </c>
      <c r="F165" s="204" t="s">
        <v>1295</v>
      </c>
      <c r="G165" s="204" t="s">
        <v>184</v>
      </c>
      <c r="H165" s="204" t="s">
        <v>858</v>
      </c>
      <c r="I165" s="204" t="s">
        <v>15</v>
      </c>
      <c r="J165" t="s">
        <v>1293</v>
      </c>
      <c r="K165" t="s">
        <v>734</v>
      </c>
      <c r="L165" t="s">
        <v>730</v>
      </c>
      <c r="M165" s="12">
        <v>2026</v>
      </c>
      <c r="N165" t="s">
        <v>734</v>
      </c>
    </row>
    <row r="166" spans="1:14" x14ac:dyDescent="0.2">
      <c r="A166" s="204" t="s">
        <v>833</v>
      </c>
      <c r="B166" s="1">
        <v>46119</v>
      </c>
      <c r="C166" s="204" t="s">
        <v>16</v>
      </c>
      <c r="D166" s="204" t="s">
        <v>323</v>
      </c>
      <c r="E166" s="204" t="s">
        <v>323</v>
      </c>
      <c r="F166" s="204" t="s">
        <v>834</v>
      </c>
      <c r="G166" s="204" t="s">
        <v>835</v>
      </c>
      <c r="H166" s="204" t="s">
        <v>59</v>
      </c>
      <c r="I166" s="204" t="s">
        <v>278</v>
      </c>
      <c r="J166" t="s">
        <v>1293</v>
      </c>
      <c r="K166" t="s">
        <v>734</v>
      </c>
      <c r="L166" t="s">
        <v>730</v>
      </c>
      <c r="M166" s="12">
        <v>2026</v>
      </c>
      <c r="N166" t="s">
        <v>734</v>
      </c>
    </row>
    <row r="167" spans="1:14" x14ac:dyDescent="0.2">
      <c r="A167" s="204" t="s">
        <v>836</v>
      </c>
      <c r="B167" s="1">
        <v>46119</v>
      </c>
      <c r="C167" s="204" t="s">
        <v>475</v>
      </c>
      <c r="D167" s="204" t="s">
        <v>10</v>
      </c>
      <c r="E167" s="204" t="s">
        <v>155</v>
      </c>
      <c r="F167" s="204" t="s">
        <v>837</v>
      </c>
      <c r="G167" s="204" t="s">
        <v>835</v>
      </c>
      <c r="H167" s="204" t="s">
        <v>838</v>
      </c>
      <c r="I167" s="204" t="s">
        <v>278</v>
      </c>
      <c r="J167" t="s">
        <v>1293</v>
      </c>
      <c r="K167" t="s">
        <v>734</v>
      </c>
      <c r="L167" t="s">
        <v>730</v>
      </c>
      <c r="M167" s="12">
        <v>2026</v>
      </c>
      <c r="N167" t="s">
        <v>734</v>
      </c>
    </row>
    <row r="168" spans="1:14" x14ac:dyDescent="0.2">
      <c r="A168" s="204" t="s">
        <v>81</v>
      </c>
      <c r="B168" s="1">
        <v>46115</v>
      </c>
      <c r="C168" s="204" t="s">
        <v>61</v>
      </c>
      <c r="D168" s="204" t="s">
        <v>17</v>
      </c>
      <c r="E168" s="204" t="s">
        <v>83</v>
      </c>
      <c r="F168" s="204" t="s">
        <v>826</v>
      </c>
      <c r="G168" s="204" t="s">
        <v>69</v>
      </c>
      <c r="H168" s="204" t="s">
        <v>371</v>
      </c>
      <c r="I168" s="204" t="s">
        <v>76</v>
      </c>
      <c r="J168" t="s">
        <v>1293</v>
      </c>
      <c r="K168" t="s">
        <v>734</v>
      </c>
      <c r="L168" t="s">
        <v>731</v>
      </c>
      <c r="M168" s="12">
        <v>2026</v>
      </c>
      <c r="N168" t="s">
        <v>734</v>
      </c>
    </row>
    <row r="169" spans="1:14" x14ac:dyDescent="0.2">
      <c r="A169" s="204" t="s">
        <v>827</v>
      </c>
      <c r="B169" s="1">
        <v>46115</v>
      </c>
      <c r="C169" s="204" t="s">
        <v>181</v>
      </c>
      <c r="D169" s="204" t="s">
        <v>10</v>
      </c>
      <c r="E169" s="204" t="s">
        <v>182</v>
      </c>
      <c r="F169" s="204" t="s">
        <v>164</v>
      </c>
      <c r="G169" s="204" t="s">
        <v>24</v>
      </c>
      <c r="H169" s="204" t="s">
        <v>828</v>
      </c>
      <c r="I169" s="204" t="s">
        <v>15</v>
      </c>
      <c r="J169" t="s">
        <v>1293</v>
      </c>
      <c r="K169" t="s">
        <v>734</v>
      </c>
      <c r="L169" t="s">
        <v>730</v>
      </c>
      <c r="M169" s="12">
        <v>2026</v>
      </c>
      <c r="N169" t="s">
        <v>734</v>
      </c>
    </row>
    <row r="170" spans="1:14" x14ac:dyDescent="0.2">
      <c r="A170" s="204" t="s">
        <v>799</v>
      </c>
      <c r="B170" s="1">
        <v>46115</v>
      </c>
      <c r="C170" s="204" t="s">
        <v>46</v>
      </c>
      <c r="D170" s="204" t="s">
        <v>10</v>
      </c>
      <c r="E170" s="204" t="s">
        <v>47</v>
      </c>
      <c r="F170" s="204" t="s">
        <v>800</v>
      </c>
      <c r="G170" s="204" t="s">
        <v>24</v>
      </c>
      <c r="H170" s="204" t="s">
        <v>832</v>
      </c>
      <c r="I170" s="204" t="s">
        <v>15</v>
      </c>
      <c r="J170" t="s">
        <v>1293</v>
      </c>
      <c r="K170" t="s">
        <v>734</v>
      </c>
      <c r="L170" t="s">
        <v>730</v>
      </c>
      <c r="M170" s="12">
        <v>2026</v>
      </c>
      <c r="N170" t="s">
        <v>734</v>
      </c>
    </row>
    <row r="171" spans="1:14" x14ac:dyDescent="0.2">
      <c r="A171" s="204" t="s">
        <v>799</v>
      </c>
      <c r="B171" s="1">
        <v>46114</v>
      </c>
      <c r="C171" s="204" t="s">
        <v>46</v>
      </c>
      <c r="D171" s="204" t="s">
        <v>10</v>
      </c>
      <c r="E171" s="204" t="s">
        <v>47</v>
      </c>
      <c r="F171" s="204" t="s">
        <v>800</v>
      </c>
      <c r="G171" s="204" t="s">
        <v>665</v>
      </c>
      <c r="H171" s="204" t="s">
        <v>825</v>
      </c>
      <c r="I171" s="204" t="s">
        <v>15</v>
      </c>
      <c r="J171" t="s">
        <v>1293</v>
      </c>
      <c r="K171" t="s">
        <v>734</v>
      </c>
      <c r="L171" t="s">
        <v>730</v>
      </c>
      <c r="M171" s="12">
        <v>2026</v>
      </c>
      <c r="N171" t="s">
        <v>734</v>
      </c>
    </row>
    <row r="172" spans="1:14" x14ac:dyDescent="0.2">
      <c r="A172" s="204" t="s">
        <v>925</v>
      </c>
      <c r="B172" s="1">
        <v>46113</v>
      </c>
      <c r="C172" s="204" t="s">
        <v>475</v>
      </c>
      <c r="D172" s="204" t="s">
        <v>10</v>
      </c>
      <c r="E172" s="204" t="s">
        <v>155</v>
      </c>
      <c r="F172" s="204" t="s">
        <v>638</v>
      </c>
      <c r="G172" s="204" t="s">
        <v>926</v>
      </c>
      <c r="H172" s="204" t="s">
        <v>43</v>
      </c>
      <c r="I172" s="204" t="s">
        <v>278</v>
      </c>
      <c r="J172" t="s">
        <v>1293</v>
      </c>
      <c r="K172" t="s">
        <v>734</v>
      </c>
      <c r="L172" t="s">
        <v>730</v>
      </c>
      <c r="M172" s="12">
        <v>2026</v>
      </c>
      <c r="N172" t="s">
        <v>734</v>
      </c>
    </row>
    <row r="173" spans="1:14" x14ac:dyDescent="0.2">
      <c r="A173" s="204" t="s">
        <v>811</v>
      </c>
      <c r="B173" s="1">
        <v>46113</v>
      </c>
      <c r="C173" s="204" t="s">
        <v>46</v>
      </c>
      <c r="D173" s="204" t="s">
        <v>10</v>
      </c>
      <c r="E173" s="204" t="s">
        <v>47</v>
      </c>
      <c r="F173" s="204" t="s">
        <v>723</v>
      </c>
      <c r="G173" s="204" t="s">
        <v>24</v>
      </c>
      <c r="H173" s="204" t="s">
        <v>824</v>
      </c>
      <c r="I173" s="204" t="s">
        <v>15</v>
      </c>
      <c r="J173" t="s">
        <v>1293</v>
      </c>
      <c r="K173" t="s">
        <v>734</v>
      </c>
      <c r="L173" t="s">
        <v>730</v>
      </c>
      <c r="M173" s="12">
        <v>2026</v>
      </c>
      <c r="N173" t="s">
        <v>734</v>
      </c>
    </row>
    <row r="174" spans="1:14" x14ac:dyDescent="0.2">
      <c r="A174" s="204" t="s">
        <v>250</v>
      </c>
      <c r="B174" s="1">
        <v>46112</v>
      </c>
      <c r="C174" s="204" t="s">
        <v>261</v>
      </c>
      <c r="D174" s="204" t="s">
        <v>10</v>
      </c>
      <c r="E174" s="204" t="s">
        <v>126</v>
      </c>
      <c r="F174" s="204" t="s">
        <v>823</v>
      </c>
      <c r="G174" s="204" t="s">
        <v>69</v>
      </c>
      <c r="H174" s="204" t="s">
        <v>747</v>
      </c>
      <c r="I174" s="204" t="s">
        <v>15</v>
      </c>
      <c r="J174" t="s">
        <v>1293</v>
      </c>
      <c r="K174" t="s">
        <v>733</v>
      </c>
      <c r="L174" t="s">
        <v>730</v>
      </c>
      <c r="M174" s="12">
        <v>2026</v>
      </c>
      <c r="N174" t="s">
        <v>733</v>
      </c>
    </row>
    <row r="175" spans="1:14" x14ac:dyDescent="0.2">
      <c r="A175" s="204" t="s">
        <v>302</v>
      </c>
      <c r="B175" s="1">
        <v>46112</v>
      </c>
      <c r="C175" s="204" t="s">
        <v>829</v>
      </c>
      <c r="D175" s="204" t="s">
        <v>305</v>
      </c>
      <c r="E175" s="204" t="s">
        <v>305</v>
      </c>
      <c r="F175" s="204" t="s">
        <v>830</v>
      </c>
      <c r="G175" s="204" t="s">
        <v>24</v>
      </c>
      <c r="H175" s="204" t="s">
        <v>831</v>
      </c>
      <c r="I175" s="204" t="s">
        <v>15</v>
      </c>
      <c r="J175" t="s">
        <v>1293</v>
      </c>
      <c r="K175" t="s">
        <v>733</v>
      </c>
      <c r="L175" t="s">
        <v>730</v>
      </c>
      <c r="M175" s="12">
        <v>2026</v>
      </c>
      <c r="N175" t="s">
        <v>733</v>
      </c>
    </row>
    <row r="176" spans="1:14" x14ac:dyDescent="0.2">
      <c r="A176" s="204" t="s">
        <v>500</v>
      </c>
      <c r="B176" s="1">
        <v>46111</v>
      </c>
      <c r="C176" s="204" t="s">
        <v>620</v>
      </c>
      <c r="D176" s="204" t="s">
        <v>17</v>
      </c>
      <c r="E176" s="204" t="s">
        <v>18</v>
      </c>
      <c r="F176" s="204" t="s">
        <v>822</v>
      </c>
      <c r="G176" s="204" t="s">
        <v>24</v>
      </c>
      <c r="H176" s="204" t="s">
        <v>124</v>
      </c>
      <c r="I176" s="204" t="s">
        <v>15</v>
      </c>
      <c r="J176" t="s">
        <v>1293</v>
      </c>
      <c r="K176" t="s">
        <v>733</v>
      </c>
      <c r="L176" t="s">
        <v>730</v>
      </c>
      <c r="M176" s="12">
        <v>2026</v>
      </c>
      <c r="N176" t="s">
        <v>733</v>
      </c>
    </row>
    <row r="177" spans="1:14" x14ac:dyDescent="0.2">
      <c r="A177" s="204" t="s">
        <v>819</v>
      </c>
      <c r="B177" s="1">
        <v>46108</v>
      </c>
      <c r="C177" s="204" t="s">
        <v>264</v>
      </c>
      <c r="D177" s="204" t="s">
        <v>17</v>
      </c>
      <c r="E177" s="204" t="s">
        <v>62</v>
      </c>
      <c r="F177" s="204" t="s">
        <v>820</v>
      </c>
      <c r="G177" s="204" t="s">
        <v>58</v>
      </c>
      <c r="H177" s="204" t="s">
        <v>775</v>
      </c>
      <c r="I177" s="204" t="s">
        <v>15</v>
      </c>
      <c r="J177" t="s">
        <v>1293</v>
      </c>
      <c r="K177" t="s">
        <v>733</v>
      </c>
      <c r="L177" t="s">
        <v>730</v>
      </c>
      <c r="M177" s="12">
        <v>2026</v>
      </c>
      <c r="N177" t="s">
        <v>733</v>
      </c>
    </row>
    <row r="178" spans="1:14" x14ac:dyDescent="0.2">
      <c r="A178" s="204" t="s">
        <v>821</v>
      </c>
      <c r="B178" s="1">
        <v>46108</v>
      </c>
      <c r="C178" s="204" t="s">
        <v>181</v>
      </c>
      <c r="D178" s="204" t="s">
        <v>10</v>
      </c>
      <c r="E178" s="204" t="s">
        <v>182</v>
      </c>
      <c r="F178" s="204" t="s">
        <v>223</v>
      </c>
      <c r="G178" s="204" t="s">
        <v>24</v>
      </c>
      <c r="H178" s="204" t="s">
        <v>221</v>
      </c>
      <c r="I178" s="204" t="s">
        <v>15</v>
      </c>
      <c r="J178" t="s">
        <v>1293</v>
      </c>
      <c r="K178" t="s">
        <v>733</v>
      </c>
      <c r="L178" t="s">
        <v>730</v>
      </c>
      <c r="M178" s="12">
        <v>2026</v>
      </c>
      <c r="N178" t="s">
        <v>733</v>
      </c>
    </row>
    <row r="179" spans="1:14" x14ac:dyDescent="0.2">
      <c r="A179" s="204" t="s">
        <v>99</v>
      </c>
      <c r="B179" s="1">
        <v>46105</v>
      </c>
      <c r="C179" s="204" t="s">
        <v>620</v>
      </c>
      <c r="D179" s="204" t="s">
        <v>17</v>
      </c>
      <c r="E179" s="204" t="s">
        <v>18</v>
      </c>
      <c r="F179" s="204" t="s">
        <v>816</v>
      </c>
      <c r="G179" s="204" t="s">
        <v>24</v>
      </c>
      <c r="H179" s="204" t="s">
        <v>591</v>
      </c>
      <c r="I179" s="204" t="s">
        <v>15</v>
      </c>
      <c r="J179" t="s">
        <v>1293</v>
      </c>
      <c r="K179" t="s">
        <v>733</v>
      </c>
      <c r="L179" t="s">
        <v>730</v>
      </c>
      <c r="M179" s="12">
        <v>2026</v>
      </c>
      <c r="N179" t="s">
        <v>733</v>
      </c>
    </row>
    <row r="180" spans="1:14" x14ac:dyDescent="0.2">
      <c r="A180" s="204" t="s">
        <v>817</v>
      </c>
      <c r="B180" s="1">
        <v>46104</v>
      </c>
      <c r="C180" s="204" t="s">
        <v>9</v>
      </c>
      <c r="D180" s="204" t="s">
        <v>10</v>
      </c>
      <c r="E180" s="204" t="s">
        <v>11</v>
      </c>
      <c r="F180" s="204" t="s">
        <v>818</v>
      </c>
      <c r="G180" s="204" t="s">
        <v>24</v>
      </c>
      <c r="H180" s="204" t="s">
        <v>221</v>
      </c>
      <c r="I180" s="204" t="s">
        <v>15</v>
      </c>
      <c r="J180" t="s">
        <v>1293</v>
      </c>
      <c r="K180" t="s">
        <v>733</v>
      </c>
      <c r="L180" t="s">
        <v>730</v>
      </c>
      <c r="M180" s="12">
        <v>2026</v>
      </c>
      <c r="N180" t="s">
        <v>733</v>
      </c>
    </row>
    <row r="181" spans="1:14" x14ac:dyDescent="0.2">
      <c r="A181" s="204" t="s">
        <v>811</v>
      </c>
      <c r="B181" s="1">
        <v>46101</v>
      </c>
      <c r="C181" s="204" t="s">
        <v>46</v>
      </c>
      <c r="D181" s="204" t="s">
        <v>10</v>
      </c>
      <c r="E181" s="204" t="s">
        <v>47</v>
      </c>
      <c r="F181" s="204" t="s">
        <v>723</v>
      </c>
      <c r="G181" s="204" t="s">
        <v>812</v>
      </c>
      <c r="H181" s="204" t="s">
        <v>813</v>
      </c>
      <c r="I181" s="204" t="s">
        <v>15</v>
      </c>
      <c r="J181" t="s">
        <v>1293</v>
      </c>
      <c r="K181" t="s">
        <v>733</v>
      </c>
      <c r="L181" t="s">
        <v>730</v>
      </c>
      <c r="M181" s="12">
        <v>2026</v>
      </c>
      <c r="N181" t="s">
        <v>733</v>
      </c>
    </row>
    <row r="182" spans="1:14" x14ac:dyDescent="0.2">
      <c r="A182" s="204" t="s">
        <v>239</v>
      </c>
      <c r="B182" s="1">
        <v>46101</v>
      </c>
      <c r="C182" s="204" t="s">
        <v>475</v>
      </c>
      <c r="D182" s="204" t="s">
        <v>10</v>
      </c>
      <c r="E182" s="204" t="s">
        <v>155</v>
      </c>
      <c r="F182" s="204" t="s">
        <v>594</v>
      </c>
      <c r="G182" s="204" t="s">
        <v>151</v>
      </c>
      <c r="H182" s="204" t="s">
        <v>490</v>
      </c>
      <c r="I182" s="204" t="s">
        <v>15</v>
      </c>
      <c r="J182" t="s">
        <v>1293</v>
      </c>
      <c r="K182" t="s">
        <v>733</v>
      </c>
      <c r="L182" t="s">
        <v>730</v>
      </c>
      <c r="M182" s="12">
        <v>2026</v>
      </c>
      <c r="N182" t="s">
        <v>733</v>
      </c>
    </row>
    <row r="183" spans="1:14" x14ac:dyDescent="0.2">
      <c r="A183" s="204" t="s">
        <v>814</v>
      </c>
      <c r="B183" s="1">
        <v>46101</v>
      </c>
      <c r="C183" s="204" t="s">
        <v>620</v>
      </c>
      <c r="D183" s="204" t="s">
        <v>17</v>
      </c>
      <c r="E183" s="204" t="s">
        <v>96</v>
      </c>
      <c r="F183" s="204" t="s">
        <v>529</v>
      </c>
      <c r="G183" s="204" t="s">
        <v>184</v>
      </c>
      <c r="H183" s="204" t="s">
        <v>815</v>
      </c>
      <c r="I183" s="204" t="s">
        <v>15</v>
      </c>
      <c r="J183" t="s">
        <v>1293</v>
      </c>
      <c r="K183" t="s">
        <v>733</v>
      </c>
      <c r="L183" t="s">
        <v>730</v>
      </c>
      <c r="M183" s="12">
        <v>2026</v>
      </c>
      <c r="N183" t="s">
        <v>733</v>
      </c>
    </row>
    <row r="184" spans="1:14" x14ac:dyDescent="0.2">
      <c r="A184" s="204" t="s">
        <v>698</v>
      </c>
      <c r="B184" s="1">
        <v>46100</v>
      </c>
      <c r="C184" s="204" t="s">
        <v>475</v>
      </c>
      <c r="D184" s="204" t="s">
        <v>10</v>
      </c>
      <c r="E184" s="204" t="s">
        <v>155</v>
      </c>
      <c r="F184" s="204" t="s">
        <v>808</v>
      </c>
      <c r="G184" s="204" t="s">
        <v>967</v>
      </c>
      <c r="H184" s="204" t="s">
        <v>677</v>
      </c>
      <c r="I184" s="204" t="s">
        <v>15</v>
      </c>
      <c r="J184" t="s">
        <v>1293</v>
      </c>
      <c r="K184" t="s">
        <v>733</v>
      </c>
      <c r="L184" t="s">
        <v>730</v>
      </c>
      <c r="M184" s="12">
        <v>2026</v>
      </c>
      <c r="N184" t="s">
        <v>733</v>
      </c>
    </row>
    <row r="185" spans="1:14" x14ac:dyDescent="0.2">
      <c r="A185" s="204" t="s">
        <v>670</v>
      </c>
      <c r="B185" s="1">
        <v>46100</v>
      </c>
      <c r="C185" s="204" t="s">
        <v>261</v>
      </c>
      <c r="D185" s="204" t="s">
        <v>10</v>
      </c>
      <c r="E185" s="204" t="s">
        <v>126</v>
      </c>
      <c r="F185" s="204" t="s">
        <v>138</v>
      </c>
      <c r="G185" s="204" t="s">
        <v>69</v>
      </c>
      <c r="H185" s="204" t="s">
        <v>460</v>
      </c>
      <c r="I185" s="204" t="s">
        <v>15</v>
      </c>
      <c r="J185" t="s">
        <v>1293</v>
      </c>
      <c r="K185" t="s">
        <v>733</v>
      </c>
      <c r="L185" t="s">
        <v>730</v>
      </c>
      <c r="M185" s="12">
        <v>2026</v>
      </c>
      <c r="N185" t="s">
        <v>733</v>
      </c>
    </row>
    <row r="186" spans="1:14" x14ac:dyDescent="0.2">
      <c r="A186" s="204" t="s">
        <v>809</v>
      </c>
      <c r="B186" s="1">
        <v>46100</v>
      </c>
      <c r="C186" s="204" t="s">
        <v>663</v>
      </c>
      <c r="D186" s="204" t="s">
        <v>17</v>
      </c>
      <c r="E186" s="204" t="s">
        <v>171</v>
      </c>
      <c r="F186" s="204" t="s">
        <v>703</v>
      </c>
      <c r="G186" s="204" t="s">
        <v>967</v>
      </c>
      <c r="H186" s="204" t="s">
        <v>677</v>
      </c>
      <c r="I186" s="204" t="s">
        <v>15</v>
      </c>
      <c r="J186" t="s">
        <v>1293</v>
      </c>
      <c r="K186" t="s">
        <v>733</v>
      </c>
      <c r="L186" t="s">
        <v>730</v>
      </c>
      <c r="M186" s="12">
        <v>2026</v>
      </c>
      <c r="N186" t="s">
        <v>733</v>
      </c>
    </row>
    <row r="187" spans="1:14" x14ac:dyDescent="0.2">
      <c r="A187" s="204" t="s">
        <v>702</v>
      </c>
      <c r="B187" s="1">
        <v>46100</v>
      </c>
      <c r="C187" s="204" t="s">
        <v>663</v>
      </c>
      <c r="D187" s="204" t="s">
        <v>17</v>
      </c>
      <c r="E187" s="204" t="s">
        <v>171</v>
      </c>
      <c r="F187" s="204" t="s">
        <v>703</v>
      </c>
      <c r="G187" s="204" t="s">
        <v>372</v>
      </c>
      <c r="H187" s="204" t="s">
        <v>609</v>
      </c>
      <c r="I187" s="204" t="s">
        <v>15</v>
      </c>
      <c r="J187" t="s">
        <v>1293</v>
      </c>
      <c r="K187" t="s">
        <v>733</v>
      </c>
      <c r="L187" t="s">
        <v>730</v>
      </c>
      <c r="M187" s="12">
        <v>2026</v>
      </c>
      <c r="N187" t="s">
        <v>733</v>
      </c>
    </row>
    <row r="188" spans="1:14" x14ac:dyDescent="0.2">
      <c r="A188" s="204" t="s">
        <v>810</v>
      </c>
      <c r="B188" s="1">
        <v>46100</v>
      </c>
      <c r="C188" s="204" t="s">
        <v>620</v>
      </c>
      <c r="D188" s="204" t="s">
        <v>17</v>
      </c>
      <c r="E188" s="204" t="s">
        <v>96</v>
      </c>
      <c r="F188" s="204" t="s">
        <v>529</v>
      </c>
      <c r="G188" s="204" t="s">
        <v>184</v>
      </c>
      <c r="H188" s="204" t="s">
        <v>14</v>
      </c>
      <c r="I188" s="204" t="s">
        <v>15</v>
      </c>
      <c r="J188" t="s">
        <v>1293</v>
      </c>
      <c r="K188" t="s">
        <v>733</v>
      </c>
      <c r="L188" t="s">
        <v>730</v>
      </c>
      <c r="M188" s="12">
        <v>2026</v>
      </c>
      <c r="N188" t="s">
        <v>733</v>
      </c>
    </row>
    <row r="189" spans="1:14" x14ac:dyDescent="0.2">
      <c r="A189" s="204" t="s">
        <v>805</v>
      </c>
      <c r="B189" s="1">
        <v>46098</v>
      </c>
      <c r="C189" s="204" t="s">
        <v>136</v>
      </c>
      <c r="D189" s="204" t="s">
        <v>10</v>
      </c>
      <c r="E189" s="204" t="s">
        <v>31</v>
      </c>
      <c r="F189" s="204" t="s">
        <v>806</v>
      </c>
      <c r="G189" s="204" t="s">
        <v>807</v>
      </c>
      <c r="H189" s="204" t="s">
        <v>747</v>
      </c>
      <c r="I189" s="204" t="s">
        <v>15</v>
      </c>
      <c r="J189" t="s">
        <v>1293</v>
      </c>
      <c r="K189" t="s">
        <v>733</v>
      </c>
      <c r="L189" t="s">
        <v>730</v>
      </c>
      <c r="M189" s="12">
        <v>2026</v>
      </c>
      <c r="N189" t="s">
        <v>733</v>
      </c>
    </row>
    <row r="190" spans="1:14" x14ac:dyDescent="0.2">
      <c r="A190" s="204" t="s">
        <v>771</v>
      </c>
      <c r="B190" s="1">
        <v>46094</v>
      </c>
      <c r="C190" s="204" t="s">
        <v>475</v>
      </c>
      <c r="D190" s="204" t="s">
        <v>10</v>
      </c>
      <c r="E190" s="204" t="s">
        <v>155</v>
      </c>
      <c r="F190" s="204" t="s">
        <v>262</v>
      </c>
      <c r="G190" s="204" t="s">
        <v>786</v>
      </c>
      <c r="H190" s="204" t="s">
        <v>249</v>
      </c>
      <c r="I190" s="204" t="s">
        <v>278</v>
      </c>
      <c r="J190" t="s">
        <v>1293</v>
      </c>
      <c r="K190" t="s">
        <v>733</v>
      </c>
      <c r="L190" t="s">
        <v>730</v>
      </c>
      <c r="M190" s="12">
        <v>2026</v>
      </c>
      <c r="N190" t="s">
        <v>733</v>
      </c>
    </row>
    <row r="191" spans="1:14" x14ac:dyDescent="0.2">
      <c r="A191" s="204" t="s">
        <v>802</v>
      </c>
      <c r="B191" s="1">
        <v>46092</v>
      </c>
      <c r="C191" s="204" t="s">
        <v>576</v>
      </c>
      <c r="D191" s="204" t="s">
        <v>305</v>
      </c>
      <c r="E191" s="204" t="s">
        <v>305</v>
      </c>
      <c r="F191" s="204" t="s">
        <v>803</v>
      </c>
      <c r="G191" s="204" t="s">
        <v>151</v>
      </c>
      <c r="H191" s="204" t="s">
        <v>804</v>
      </c>
      <c r="I191" s="204" t="s">
        <v>15</v>
      </c>
      <c r="J191" t="s">
        <v>1293</v>
      </c>
      <c r="K191" t="s">
        <v>733</v>
      </c>
      <c r="L191" t="s">
        <v>730</v>
      </c>
      <c r="M191" s="12">
        <v>2026</v>
      </c>
      <c r="N191" t="s">
        <v>733</v>
      </c>
    </row>
    <row r="192" spans="1:14" x14ac:dyDescent="0.2">
      <c r="A192" s="204" t="s">
        <v>799</v>
      </c>
      <c r="B192" s="1">
        <v>46091</v>
      </c>
      <c r="C192" s="204" t="s">
        <v>46</v>
      </c>
      <c r="D192" s="204" t="s">
        <v>10</v>
      </c>
      <c r="E192" s="204" t="s">
        <v>126</v>
      </c>
      <c r="F192" s="204" t="s">
        <v>800</v>
      </c>
      <c r="G192" s="204" t="s">
        <v>793</v>
      </c>
      <c r="H192" s="204" t="s">
        <v>801</v>
      </c>
      <c r="I192" s="204" t="s">
        <v>15</v>
      </c>
      <c r="J192" t="s">
        <v>1293</v>
      </c>
      <c r="K192" t="s">
        <v>733</v>
      </c>
      <c r="L192" t="s">
        <v>730</v>
      </c>
      <c r="M192" s="12">
        <v>2026</v>
      </c>
      <c r="N192" t="s">
        <v>733</v>
      </c>
    </row>
    <row r="193" spans="1:14" x14ac:dyDescent="0.2">
      <c r="A193" s="204" t="s">
        <v>606</v>
      </c>
      <c r="B193" s="1">
        <v>46087</v>
      </c>
      <c r="C193" s="204" t="s">
        <v>620</v>
      </c>
      <c r="D193" s="204" t="s">
        <v>17</v>
      </c>
      <c r="E193" s="204" t="s">
        <v>62</v>
      </c>
      <c r="F193" s="204" t="s">
        <v>429</v>
      </c>
      <c r="G193" s="204" t="s">
        <v>334</v>
      </c>
      <c r="H193" s="204" t="s">
        <v>14</v>
      </c>
      <c r="I193" s="204" t="s">
        <v>15</v>
      </c>
      <c r="J193" t="s">
        <v>1293</v>
      </c>
      <c r="K193" t="s">
        <v>733</v>
      </c>
      <c r="L193" t="s">
        <v>730</v>
      </c>
      <c r="M193" s="12">
        <v>2026</v>
      </c>
      <c r="N193" t="s">
        <v>733</v>
      </c>
    </row>
    <row r="194" spans="1:14" x14ac:dyDescent="0.2">
      <c r="A194" s="204" t="s">
        <v>795</v>
      </c>
      <c r="B194" s="1">
        <v>46087</v>
      </c>
      <c r="C194" s="204" t="s">
        <v>181</v>
      </c>
      <c r="D194" s="204" t="s">
        <v>10</v>
      </c>
      <c r="E194" s="204" t="s">
        <v>182</v>
      </c>
      <c r="F194" s="204" t="s">
        <v>377</v>
      </c>
      <c r="G194" s="204" t="s">
        <v>24</v>
      </c>
      <c r="H194" s="204" t="s">
        <v>124</v>
      </c>
      <c r="I194" s="204" t="s">
        <v>15</v>
      </c>
      <c r="J194" t="s">
        <v>1293</v>
      </c>
      <c r="K194" t="s">
        <v>733</v>
      </c>
      <c r="L194" t="s">
        <v>730</v>
      </c>
      <c r="M194" s="12">
        <v>2026</v>
      </c>
      <c r="N194" t="s">
        <v>733</v>
      </c>
    </row>
    <row r="195" spans="1:14" x14ac:dyDescent="0.2">
      <c r="A195" s="204" t="s">
        <v>662</v>
      </c>
      <c r="B195" s="1">
        <v>46087</v>
      </c>
      <c r="C195" s="204" t="s">
        <v>663</v>
      </c>
      <c r="D195" s="204" t="s">
        <v>726</v>
      </c>
      <c r="E195" s="204" t="s">
        <v>171</v>
      </c>
      <c r="F195" s="204" t="s">
        <v>172</v>
      </c>
      <c r="G195" s="204" t="s">
        <v>967</v>
      </c>
      <c r="H195" s="204" t="s">
        <v>507</v>
      </c>
      <c r="I195" s="204" t="s">
        <v>15</v>
      </c>
      <c r="J195" t="s">
        <v>1293</v>
      </c>
      <c r="K195" t="s">
        <v>733</v>
      </c>
      <c r="L195" t="s">
        <v>730</v>
      </c>
      <c r="M195" s="12">
        <v>2026</v>
      </c>
      <c r="N195" t="s">
        <v>733</v>
      </c>
    </row>
    <row r="196" spans="1:14" x14ac:dyDescent="0.2">
      <c r="A196" s="204" t="s">
        <v>796</v>
      </c>
      <c r="B196" s="1">
        <v>46087</v>
      </c>
      <c r="C196" s="204" t="s">
        <v>620</v>
      </c>
      <c r="D196" s="204" t="s">
        <v>17</v>
      </c>
      <c r="E196" s="204" t="s">
        <v>62</v>
      </c>
      <c r="F196" s="204" t="s">
        <v>797</v>
      </c>
      <c r="G196" s="204" t="s">
        <v>24</v>
      </c>
      <c r="H196" s="204" t="s">
        <v>798</v>
      </c>
      <c r="I196" s="204" t="s">
        <v>15</v>
      </c>
      <c r="J196" t="s">
        <v>1293</v>
      </c>
      <c r="K196" t="s">
        <v>733</v>
      </c>
      <c r="L196" t="s">
        <v>730</v>
      </c>
      <c r="M196" s="12">
        <v>2026</v>
      </c>
      <c r="N196" t="s">
        <v>733</v>
      </c>
    </row>
    <row r="197" spans="1:14" x14ac:dyDescent="0.2">
      <c r="A197" s="204" t="s">
        <v>415</v>
      </c>
      <c r="B197" s="1">
        <v>46086</v>
      </c>
      <c r="C197" s="204" t="s">
        <v>261</v>
      </c>
      <c r="D197" s="204" t="s">
        <v>10</v>
      </c>
      <c r="E197" s="204" t="s">
        <v>126</v>
      </c>
      <c r="F197" s="204" t="s">
        <v>138</v>
      </c>
      <c r="G197" s="204" t="s">
        <v>24</v>
      </c>
      <c r="H197" s="204" t="s">
        <v>277</v>
      </c>
      <c r="I197" s="204" t="s">
        <v>15</v>
      </c>
      <c r="J197" t="s">
        <v>1293</v>
      </c>
      <c r="K197" t="s">
        <v>733</v>
      </c>
      <c r="L197" t="s">
        <v>730</v>
      </c>
      <c r="M197" s="12">
        <v>2026</v>
      </c>
      <c r="N197" t="s">
        <v>733</v>
      </c>
    </row>
    <row r="198" spans="1:14" x14ac:dyDescent="0.2">
      <c r="A198" s="204" t="s">
        <v>136</v>
      </c>
      <c r="B198" s="1">
        <v>46086</v>
      </c>
      <c r="C198" s="204" t="s">
        <v>792</v>
      </c>
      <c r="D198" s="204" t="s">
        <v>10</v>
      </c>
      <c r="E198" s="204" t="s">
        <v>31</v>
      </c>
      <c r="F198" s="204" t="s">
        <v>2</v>
      </c>
      <c r="G198" s="204" t="s">
        <v>793</v>
      </c>
      <c r="H198" s="204" t="s">
        <v>794</v>
      </c>
      <c r="I198" s="204" t="s">
        <v>15</v>
      </c>
      <c r="J198" t="s">
        <v>1293</v>
      </c>
      <c r="K198" t="s">
        <v>733</v>
      </c>
      <c r="L198" t="s">
        <v>730</v>
      </c>
      <c r="M198" s="12">
        <v>2026</v>
      </c>
      <c r="N198" t="s">
        <v>733</v>
      </c>
    </row>
    <row r="199" spans="1:14" x14ac:dyDescent="0.2">
      <c r="A199" s="204" t="s">
        <v>785</v>
      </c>
      <c r="B199" s="1">
        <v>46085</v>
      </c>
      <c r="C199" s="204" t="s">
        <v>475</v>
      </c>
      <c r="D199" s="204" t="s">
        <v>10</v>
      </c>
      <c r="E199" s="204" t="s">
        <v>155</v>
      </c>
      <c r="F199" s="204" t="s">
        <v>486</v>
      </c>
      <c r="G199" s="204" t="s">
        <v>786</v>
      </c>
      <c r="H199" s="204" t="s">
        <v>775</v>
      </c>
      <c r="I199" s="204" t="s">
        <v>15</v>
      </c>
      <c r="J199" t="s">
        <v>1293</v>
      </c>
      <c r="K199" t="s">
        <v>733</v>
      </c>
      <c r="L199" t="s">
        <v>730</v>
      </c>
      <c r="M199" s="12">
        <v>2026</v>
      </c>
      <c r="N199" t="s">
        <v>733</v>
      </c>
    </row>
    <row r="200" spans="1:14" x14ac:dyDescent="0.2">
      <c r="A200" s="204" t="s">
        <v>787</v>
      </c>
      <c r="B200" s="1">
        <v>46085</v>
      </c>
      <c r="C200" s="204" t="s">
        <v>264</v>
      </c>
      <c r="D200" s="204" t="s">
        <v>17</v>
      </c>
      <c r="E200" s="204" t="s">
        <v>72</v>
      </c>
      <c r="F200" s="204" t="s">
        <v>788</v>
      </c>
      <c r="G200" s="204" t="s">
        <v>58</v>
      </c>
      <c r="H200" s="204" t="s">
        <v>405</v>
      </c>
      <c r="I200" s="204" t="s">
        <v>15</v>
      </c>
      <c r="J200" t="s">
        <v>1293</v>
      </c>
      <c r="K200" t="s">
        <v>733</v>
      </c>
      <c r="L200" t="s">
        <v>730</v>
      </c>
      <c r="M200" s="12">
        <v>2026</v>
      </c>
      <c r="N200" t="s">
        <v>733</v>
      </c>
    </row>
    <row r="201" spans="1:14" x14ac:dyDescent="0.2">
      <c r="A201" s="204" t="s">
        <v>789</v>
      </c>
      <c r="B201" s="1">
        <v>46085</v>
      </c>
      <c r="C201" s="204" t="s">
        <v>663</v>
      </c>
      <c r="D201" s="204" t="s">
        <v>726</v>
      </c>
      <c r="E201" s="204" t="s">
        <v>171</v>
      </c>
      <c r="F201" s="204" t="s">
        <v>172</v>
      </c>
      <c r="G201" s="204" t="s">
        <v>334</v>
      </c>
      <c r="H201" s="204" t="s">
        <v>775</v>
      </c>
      <c r="I201" s="204" t="s">
        <v>76</v>
      </c>
      <c r="J201" t="s">
        <v>1293</v>
      </c>
      <c r="K201" t="s">
        <v>733</v>
      </c>
      <c r="L201" t="s">
        <v>731</v>
      </c>
      <c r="M201" s="12">
        <v>2026</v>
      </c>
      <c r="N201" t="s">
        <v>733</v>
      </c>
    </row>
    <row r="202" spans="1:14" x14ac:dyDescent="0.2">
      <c r="A202" s="204" t="s">
        <v>790</v>
      </c>
      <c r="B202" s="1">
        <v>46085</v>
      </c>
      <c r="C202" s="204" t="s">
        <v>657</v>
      </c>
      <c r="D202" s="204" t="s">
        <v>17</v>
      </c>
      <c r="E202" s="204" t="s">
        <v>114</v>
      </c>
      <c r="F202" s="204" t="s">
        <v>687</v>
      </c>
      <c r="G202" s="204" t="s">
        <v>24</v>
      </c>
      <c r="H202" s="204" t="s">
        <v>791</v>
      </c>
      <c r="I202" s="204" t="s">
        <v>15</v>
      </c>
      <c r="J202" t="s">
        <v>1293</v>
      </c>
      <c r="K202" t="s">
        <v>733</v>
      </c>
      <c r="L202" t="s">
        <v>730</v>
      </c>
      <c r="M202" s="12">
        <v>2026</v>
      </c>
      <c r="N202" t="s">
        <v>733</v>
      </c>
    </row>
    <row r="203" spans="1:14" x14ac:dyDescent="0.2">
      <c r="A203" s="204" t="s">
        <v>129</v>
      </c>
      <c r="B203" s="1">
        <v>46084</v>
      </c>
      <c r="C203" s="204" t="s">
        <v>9</v>
      </c>
      <c r="D203" s="204" t="s">
        <v>10</v>
      </c>
      <c r="E203" s="204" t="s">
        <v>11</v>
      </c>
      <c r="F203" s="204" t="s">
        <v>68</v>
      </c>
      <c r="G203" s="204" t="s">
        <v>24</v>
      </c>
      <c r="H203" s="204" t="s">
        <v>784</v>
      </c>
      <c r="I203" s="204" t="s">
        <v>15</v>
      </c>
      <c r="J203" t="s">
        <v>1293</v>
      </c>
      <c r="K203" t="s">
        <v>733</v>
      </c>
      <c r="L203" t="s">
        <v>730</v>
      </c>
      <c r="M203" s="12">
        <v>2026</v>
      </c>
      <c r="N203" t="s">
        <v>733</v>
      </c>
    </row>
    <row r="204" spans="1:14" x14ac:dyDescent="0.2">
      <c r="A204" s="204" t="s">
        <v>780</v>
      </c>
      <c r="B204" s="1">
        <v>46083</v>
      </c>
      <c r="C204" s="204" t="s">
        <v>71</v>
      </c>
      <c r="D204" s="204" t="s">
        <v>17</v>
      </c>
      <c r="E204" s="204" t="s">
        <v>18</v>
      </c>
      <c r="F204" s="204" t="s">
        <v>781</v>
      </c>
      <c r="G204" s="204" t="s">
        <v>24</v>
      </c>
      <c r="H204" s="204" t="s">
        <v>255</v>
      </c>
      <c r="I204" s="204" t="s">
        <v>15</v>
      </c>
      <c r="J204" t="s">
        <v>1293</v>
      </c>
      <c r="K204" t="s">
        <v>733</v>
      </c>
      <c r="L204" t="s">
        <v>730</v>
      </c>
      <c r="M204" s="12">
        <v>2026</v>
      </c>
      <c r="N204" t="s">
        <v>733</v>
      </c>
    </row>
    <row r="205" spans="1:14" x14ac:dyDescent="0.2">
      <c r="A205" s="204" t="s">
        <v>771</v>
      </c>
      <c r="B205" s="1">
        <v>46080</v>
      </c>
      <c r="C205" s="204" t="s">
        <v>475</v>
      </c>
      <c r="D205" s="204" t="s">
        <v>10</v>
      </c>
      <c r="E205" s="204" t="s">
        <v>155</v>
      </c>
      <c r="F205" s="204" t="s">
        <v>262</v>
      </c>
      <c r="G205" s="204" t="s">
        <v>24</v>
      </c>
      <c r="H205" s="204" t="s">
        <v>718</v>
      </c>
      <c r="I205" s="204" t="s">
        <v>15</v>
      </c>
      <c r="J205" t="s">
        <v>1293</v>
      </c>
      <c r="K205" t="s">
        <v>732</v>
      </c>
      <c r="L205" t="s">
        <v>730</v>
      </c>
      <c r="M205" s="12">
        <v>2026</v>
      </c>
      <c r="N205" t="s">
        <v>732</v>
      </c>
    </row>
    <row r="206" spans="1:14" x14ac:dyDescent="0.2">
      <c r="A206" s="204" t="s">
        <v>772</v>
      </c>
      <c r="B206" s="1">
        <v>46080</v>
      </c>
      <c r="C206" s="204" t="s">
        <v>136</v>
      </c>
      <c r="D206" s="204" t="s">
        <v>10</v>
      </c>
      <c r="E206" s="204" t="s">
        <v>31</v>
      </c>
      <c r="F206" s="204" t="s">
        <v>582</v>
      </c>
      <c r="G206" s="204" t="s">
        <v>151</v>
      </c>
      <c r="H206" s="204" t="s">
        <v>773</v>
      </c>
      <c r="I206" s="204" t="s">
        <v>15</v>
      </c>
      <c r="J206" t="s">
        <v>1293</v>
      </c>
      <c r="K206" t="s">
        <v>732</v>
      </c>
      <c r="L206" t="s">
        <v>730</v>
      </c>
      <c r="M206" s="12">
        <v>2026</v>
      </c>
      <c r="N206" t="s">
        <v>732</v>
      </c>
    </row>
    <row r="207" spans="1:14" x14ac:dyDescent="0.2">
      <c r="A207" s="204" t="s">
        <v>782</v>
      </c>
      <c r="B207" s="1">
        <v>46080</v>
      </c>
      <c r="C207" s="204" t="s">
        <v>181</v>
      </c>
      <c r="D207" s="204" t="s">
        <v>10</v>
      </c>
      <c r="E207" s="204" t="s">
        <v>182</v>
      </c>
      <c r="F207" s="204" t="s">
        <v>223</v>
      </c>
      <c r="G207" s="204" t="s">
        <v>24</v>
      </c>
      <c r="H207" s="204" t="s">
        <v>249</v>
      </c>
      <c r="I207" s="204" t="s">
        <v>15</v>
      </c>
      <c r="J207" t="s">
        <v>1293</v>
      </c>
      <c r="K207" t="s">
        <v>732</v>
      </c>
      <c r="L207" t="s">
        <v>730</v>
      </c>
      <c r="M207" s="12">
        <v>2026</v>
      </c>
      <c r="N207" t="s">
        <v>732</v>
      </c>
    </row>
    <row r="208" spans="1:14" x14ac:dyDescent="0.2">
      <c r="A208" s="204" t="s">
        <v>659</v>
      </c>
      <c r="B208" s="1">
        <v>46079</v>
      </c>
      <c r="C208" s="204" t="s">
        <v>71</v>
      </c>
      <c r="D208" s="204" t="s">
        <v>17</v>
      </c>
      <c r="E208" s="204" t="s">
        <v>18</v>
      </c>
      <c r="F208" s="204" t="s">
        <v>660</v>
      </c>
      <c r="G208" s="204" t="s">
        <v>24</v>
      </c>
      <c r="H208" s="204" t="s">
        <v>779</v>
      </c>
      <c r="I208" s="204" t="s">
        <v>15</v>
      </c>
      <c r="J208" t="s">
        <v>1293</v>
      </c>
      <c r="K208" t="s">
        <v>732</v>
      </c>
      <c r="L208" t="s">
        <v>730</v>
      </c>
      <c r="M208" s="12">
        <v>2026</v>
      </c>
      <c r="N208" t="s">
        <v>732</v>
      </c>
    </row>
    <row r="209" spans="1:14" x14ac:dyDescent="0.2">
      <c r="A209" s="204" t="s">
        <v>769</v>
      </c>
      <c r="B209" s="1">
        <v>46079</v>
      </c>
      <c r="C209" s="204" t="s">
        <v>264</v>
      </c>
      <c r="D209" s="204" t="s">
        <v>17</v>
      </c>
      <c r="E209" s="204" t="s">
        <v>72</v>
      </c>
      <c r="F209" s="204" t="s">
        <v>715</v>
      </c>
      <c r="G209" s="204" t="s">
        <v>755</v>
      </c>
      <c r="H209" s="204" t="s">
        <v>770</v>
      </c>
      <c r="I209" s="204" t="s">
        <v>278</v>
      </c>
      <c r="J209" t="s">
        <v>1293</v>
      </c>
      <c r="K209" t="s">
        <v>732</v>
      </c>
      <c r="L209" t="s">
        <v>730</v>
      </c>
      <c r="M209" s="12">
        <v>2026</v>
      </c>
      <c r="N209" t="s">
        <v>732</v>
      </c>
    </row>
    <row r="210" spans="1:14" x14ac:dyDescent="0.2">
      <c r="A210" s="204" t="s">
        <v>441</v>
      </c>
      <c r="B210" s="1">
        <v>46078</v>
      </c>
      <c r="C210" s="204" t="s">
        <v>264</v>
      </c>
      <c r="D210" s="204" t="s">
        <v>17</v>
      </c>
      <c r="E210" s="204" t="s">
        <v>72</v>
      </c>
      <c r="F210" s="204" t="s">
        <v>73</v>
      </c>
      <c r="G210" s="204" t="s">
        <v>665</v>
      </c>
      <c r="H210" s="204" t="s">
        <v>142</v>
      </c>
      <c r="I210" s="204" t="s">
        <v>15</v>
      </c>
      <c r="J210" t="s">
        <v>1293</v>
      </c>
      <c r="K210" t="s">
        <v>732</v>
      </c>
      <c r="L210" t="s">
        <v>730</v>
      </c>
      <c r="M210" s="12">
        <v>2026</v>
      </c>
      <c r="N210" t="s">
        <v>732</v>
      </c>
    </row>
    <row r="211" spans="1:14" x14ac:dyDescent="0.2">
      <c r="A211" s="204" t="s">
        <v>765</v>
      </c>
      <c r="B211" s="1">
        <v>46078</v>
      </c>
      <c r="C211" s="204" t="s">
        <v>264</v>
      </c>
      <c r="D211" s="204" t="s">
        <v>17</v>
      </c>
      <c r="E211" s="204" t="s">
        <v>72</v>
      </c>
      <c r="F211" s="204" t="s">
        <v>766</v>
      </c>
      <c r="G211" s="204" t="s">
        <v>184</v>
      </c>
      <c r="H211" s="204" t="s">
        <v>768</v>
      </c>
      <c r="I211" s="204" t="s">
        <v>15</v>
      </c>
      <c r="J211" t="s">
        <v>1293</v>
      </c>
      <c r="K211" t="s">
        <v>732</v>
      </c>
      <c r="L211" t="s">
        <v>730</v>
      </c>
      <c r="M211" s="12">
        <v>2026</v>
      </c>
      <c r="N211" t="s">
        <v>732</v>
      </c>
    </row>
    <row r="212" spans="1:14" x14ac:dyDescent="0.2">
      <c r="A212" s="204" t="s">
        <v>924</v>
      </c>
      <c r="B212" s="1">
        <v>46078</v>
      </c>
      <c r="C212" s="204" t="s">
        <v>475</v>
      </c>
      <c r="D212" s="204" t="s">
        <v>10</v>
      </c>
      <c r="E212" s="204" t="s">
        <v>155</v>
      </c>
      <c r="F212" s="204" t="s">
        <v>43</v>
      </c>
      <c r="G212" s="204" t="s">
        <v>24</v>
      </c>
      <c r="H212" s="204" t="s">
        <v>43</v>
      </c>
      <c r="I212" s="204" t="s">
        <v>278</v>
      </c>
      <c r="J212" t="s">
        <v>1293</v>
      </c>
      <c r="K212" t="s">
        <v>732</v>
      </c>
      <c r="L212" t="s">
        <v>730</v>
      </c>
      <c r="M212" s="12">
        <v>2026</v>
      </c>
      <c r="N212" t="s">
        <v>732</v>
      </c>
    </row>
    <row r="213" spans="1:14" x14ac:dyDescent="0.2">
      <c r="A213" s="204" t="s">
        <v>763</v>
      </c>
      <c r="B213" s="1">
        <v>46077</v>
      </c>
      <c r="C213" s="204" t="s">
        <v>264</v>
      </c>
      <c r="D213" s="204" t="s">
        <v>17</v>
      </c>
      <c r="E213" s="204" t="s">
        <v>72</v>
      </c>
      <c r="F213" s="204" t="s">
        <v>650</v>
      </c>
      <c r="G213" s="204" t="s">
        <v>393</v>
      </c>
      <c r="H213" s="204" t="s">
        <v>59</v>
      </c>
      <c r="I213" s="204" t="s">
        <v>15</v>
      </c>
      <c r="J213" t="s">
        <v>1293</v>
      </c>
      <c r="K213" t="s">
        <v>732</v>
      </c>
      <c r="L213" t="s">
        <v>730</v>
      </c>
      <c r="M213" s="12">
        <v>2026</v>
      </c>
      <c r="N213" t="s">
        <v>732</v>
      </c>
    </row>
    <row r="214" spans="1:14" x14ac:dyDescent="0.2">
      <c r="A214" s="204" t="s">
        <v>499</v>
      </c>
      <c r="B214" s="1">
        <v>46076</v>
      </c>
      <c r="C214" s="204" t="s">
        <v>261</v>
      </c>
      <c r="D214" s="204" t="s">
        <v>10</v>
      </c>
      <c r="E214" s="204" t="s">
        <v>126</v>
      </c>
      <c r="F214" s="204" t="s">
        <v>638</v>
      </c>
      <c r="G214" s="204" t="s">
        <v>69</v>
      </c>
      <c r="H214" s="204" t="s">
        <v>777</v>
      </c>
      <c r="I214" s="204" t="s">
        <v>15</v>
      </c>
      <c r="J214" t="s">
        <v>1293</v>
      </c>
      <c r="K214" t="s">
        <v>732</v>
      </c>
      <c r="L214" t="s">
        <v>730</v>
      </c>
      <c r="M214" s="12">
        <v>2026</v>
      </c>
      <c r="N214" t="s">
        <v>732</v>
      </c>
    </row>
    <row r="215" spans="1:14" x14ac:dyDescent="0.2">
      <c r="A215" s="204" t="s">
        <v>544</v>
      </c>
      <c r="B215" s="1">
        <v>46076</v>
      </c>
      <c r="C215" s="204" t="s">
        <v>475</v>
      </c>
      <c r="D215" s="204" t="s">
        <v>10</v>
      </c>
      <c r="E215" s="204" t="s">
        <v>155</v>
      </c>
      <c r="F215" s="204" t="s">
        <v>751</v>
      </c>
      <c r="G215" s="204" t="s">
        <v>24</v>
      </c>
      <c r="H215" s="204" t="s">
        <v>752</v>
      </c>
      <c r="I215" s="204" t="s">
        <v>15</v>
      </c>
      <c r="J215" t="s">
        <v>1293</v>
      </c>
      <c r="K215" t="s">
        <v>732</v>
      </c>
      <c r="L215" t="s">
        <v>730</v>
      </c>
      <c r="M215" s="12">
        <v>2026</v>
      </c>
      <c r="N215" t="s">
        <v>732</v>
      </c>
    </row>
    <row r="216" spans="1:14" x14ac:dyDescent="0.2">
      <c r="A216" s="204" t="s">
        <v>16</v>
      </c>
      <c r="B216" s="1">
        <v>46076</v>
      </c>
      <c r="C216" s="204" t="s">
        <v>753</v>
      </c>
      <c r="D216" s="204" t="s">
        <v>323</v>
      </c>
      <c r="E216" s="204" t="s">
        <v>323</v>
      </c>
      <c r="F216" s="204" t="s">
        <v>754</v>
      </c>
      <c r="G216" s="204" t="s">
        <v>755</v>
      </c>
      <c r="H216" s="204" t="s">
        <v>756</v>
      </c>
      <c r="I216" s="204" t="s">
        <v>15</v>
      </c>
      <c r="J216" t="s">
        <v>1293</v>
      </c>
      <c r="K216" t="s">
        <v>732</v>
      </c>
      <c r="L216" t="s">
        <v>730</v>
      </c>
      <c r="M216" s="12">
        <v>2026</v>
      </c>
      <c r="N216" t="s">
        <v>732</v>
      </c>
    </row>
    <row r="217" spans="1:14" x14ac:dyDescent="0.2">
      <c r="A217" s="204" t="s">
        <v>757</v>
      </c>
      <c r="B217" s="1">
        <v>46076</v>
      </c>
      <c r="C217" s="204" t="s">
        <v>16</v>
      </c>
      <c r="D217" s="204" t="s">
        <v>323</v>
      </c>
      <c r="E217" s="204" t="s">
        <v>323</v>
      </c>
      <c r="F217" s="204" t="s">
        <v>758</v>
      </c>
      <c r="G217" s="204" t="s">
        <v>755</v>
      </c>
      <c r="H217" s="204" t="s">
        <v>756</v>
      </c>
      <c r="I217" s="204" t="s">
        <v>15</v>
      </c>
      <c r="J217" t="s">
        <v>1293</v>
      </c>
      <c r="K217" t="s">
        <v>732</v>
      </c>
      <c r="L217" t="s">
        <v>730</v>
      </c>
      <c r="M217" s="12">
        <v>2026</v>
      </c>
      <c r="N217" t="s">
        <v>732</v>
      </c>
    </row>
    <row r="218" spans="1:14" x14ac:dyDescent="0.2">
      <c r="A218" s="204" t="s">
        <v>759</v>
      </c>
      <c r="B218" s="1">
        <v>46076</v>
      </c>
      <c r="C218" s="204" t="s">
        <v>16</v>
      </c>
      <c r="D218" s="204" t="s">
        <v>323</v>
      </c>
      <c r="E218" s="204" t="s">
        <v>323</v>
      </c>
      <c r="F218" s="204" t="s">
        <v>758</v>
      </c>
      <c r="G218" s="204" t="s">
        <v>755</v>
      </c>
      <c r="H218" s="204" t="s">
        <v>778</v>
      </c>
      <c r="I218" s="204" t="s">
        <v>15</v>
      </c>
      <c r="J218" t="s">
        <v>1293</v>
      </c>
      <c r="K218" t="s">
        <v>732</v>
      </c>
      <c r="L218" t="s">
        <v>730</v>
      </c>
      <c r="M218" s="12">
        <v>2026</v>
      </c>
      <c r="N218" t="s">
        <v>732</v>
      </c>
    </row>
    <row r="219" spans="1:14" x14ac:dyDescent="0.2">
      <c r="A219" s="204" t="s">
        <v>760</v>
      </c>
      <c r="B219" s="1">
        <v>46076</v>
      </c>
      <c r="C219" s="204" t="s">
        <v>16</v>
      </c>
      <c r="D219" s="204" t="s">
        <v>323</v>
      </c>
      <c r="E219" s="204" t="s">
        <v>323</v>
      </c>
      <c r="F219" s="204" t="s">
        <v>758</v>
      </c>
      <c r="G219" s="204" t="s">
        <v>755</v>
      </c>
      <c r="H219" s="204" t="s">
        <v>756</v>
      </c>
      <c r="I219" s="204" t="s">
        <v>278</v>
      </c>
      <c r="J219" t="s">
        <v>1293</v>
      </c>
      <c r="K219" t="s">
        <v>732</v>
      </c>
      <c r="L219" t="s">
        <v>730</v>
      </c>
      <c r="M219" s="12">
        <v>2026</v>
      </c>
      <c r="N219" t="s">
        <v>732</v>
      </c>
    </row>
    <row r="220" spans="1:14" x14ac:dyDescent="0.2">
      <c r="A220" s="204" t="s">
        <v>761</v>
      </c>
      <c r="B220" s="1">
        <v>46076</v>
      </c>
      <c r="C220" s="204" t="s">
        <v>16</v>
      </c>
      <c r="D220" s="204" t="s">
        <v>323</v>
      </c>
      <c r="E220" s="204" t="s">
        <v>323</v>
      </c>
      <c r="F220" s="204" t="s">
        <v>762</v>
      </c>
      <c r="G220" s="204" t="s">
        <v>755</v>
      </c>
      <c r="H220" s="204" t="s">
        <v>756</v>
      </c>
      <c r="I220" s="204" t="s">
        <v>278</v>
      </c>
      <c r="J220" t="s">
        <v>1293</v>
      </c>
      <c r="K220" t="s">
        <v>732</v>
      </c>
      <c r="L220" t="s">
        <v>730</v>
      </c>
      <c r="M220" s="12">
        <v>2026</v>
      </c>
      <c r="N220" t="s">
        <v>732</v>
      </c>
    </row>
    <row r="221" spans="1:14" x14ac:dyDescent="0.2">
      <c r="A221" s="204" t="s">
        <v>356</v>
      </c>
      <c r="B221" s="1">
        <v>46073</v>
      </c>
      <c r="C221" s="204" t="s">
        <v>620</v>
      </c>
      <c r="D221" s="204" t="s">
        <v>17</v>
      </c>
      <c r="E221" s="204" t="s">
        <v>62</v>
      </c>
      <c r="F221" s="204" t="s">
        <v>746</v>
      </c>
      <c r="G221" s="204" t="s">
        <v>665</v>
      </c>
      <c r="H221" s="204" t="s">
        <v>747</v>
      </c>
      <c r="I221" s="204" t="s">
        <v>15</v>
      </c>
      <c r="J221" t="s">
        <v>1293</v>
      </c>
      <c r="K221" t="s">
        <v>732</v>
      </c>
      <c r="L221" t="s">
        <v>730</v>
      </c>
      <c r="M221" s="12">
        <v>2026</v>
      </c>
      <c r="N221" t="s">
        <v>732</v>
      </c>
    </row>
    <row r="222" spans="1:14" x14ac:dyDescent="0.2">
      <c r="A222" s="204" t="s">
        <v>707</v>
      </c>
      <c r="B222" s="1">
        <v>46072</v>
      </c>
      <c r="C222" s="204" t="s">
        <v>71</v>
      </c>
      <c r="D222" s="204" t="s">
        <v>17</v>
      </c>
      <c r="E222" s="204" t="s">
        <v>18</v>
      </c>
      <c r="F222" s="204" t="s">
        <v>708</v>
      </c>
      <c r="G222" s="204" t="s">
        <v>24</v>
      </c>
      <c r="H222" s="204" t="s">
        <v>709</v>
      </c>
      <c r="I222" s="204" t="s">
        <v>15</v>
      </c>
      <c r="J222" t="s">
        <v>1293</v>
      </c>
      <c r="K222" t="s">
        <v>732</v>
      </c>
      <c r="L222" t="s">
        <v>730</v>
      </c>
      <c r="M222" s="12">
        <v>2026</v>
      </c>
      <c r="N222" t="s">
        <v>732</v>
      </c>
    </row>
    <row r="223" spans="1:14" x14ac:dyDescent="0.2">
      <c r="A223" s="204" t="s">
        <v>710</v>
      </c>
      <c r="B223" s="1">
        <v>46072</v>
      </c>
      <c r="C223" s="204" t="s">
        <v>620</v>
      </c>
      <c r="D223" s="204" t="s">
        <v>17</v>
      </c>
      <c r="E223" s="204" t="s">
        <v>96</v>
      </c>
      <c r="F223" s="204" t="s">
        <v>711</v>
      </c>
      <c r="G223" s="204" t="s">
        <v>712</v>
      </c>
      <c r="H223" s="204" t="s">
        <v>249</v>
      </c>
      <c r="I223" s="204" t="s">
        <v>15</v>
      </c>
      <c r="J223" t="s">
        <v>1293</v>
      </c>
      <c r="K223" t="s">
        <v>732</v>
      </c>
      <c r="L223" t="s">
        <v>730</v>
      </c>
      <c r="M223" s="12">
        <v>2026</v>
      </c>
      <c r="N223" t="s">
        <v>732</v>
      </c>
    </row>
    <row r="224" spans="1:14" x14ac:dyDescent="0.2">
      <c r="A224" s="204" t="s">
        <v>701</v>
      </c>
      <c r="B224" s="1">
        <v>46071</v>
      </c>
      <c r="C224" s="204" t="s">
        <v>181</v>
      </c>
      <c r="D224" s="204" t="s">
        <v>10</v>
      </c>
      <c r="E224" s="204" t="s">
        <v>182</v>
      </c>
      <c r="F224" s="204" t="s">
        <v>377</v>
      </c>
      <c r="G224" s="204" t="s">
        <v>24</v>
      </c>
      <c r="H224" s="204" t="s">
        <v>124</v>
      </c>
      <c r="I224" s="204" t="s">
        <v>15</v>
      </c>
      <c r="J224" t="s">
        <v>1293</v>
      </c>
      <c r="K224" t="s">
        <v>732</v>
      </c>
      <c r="L224" t="s">
        <v>730</v>
      </c>
      <c r="M224" s="12">
        <v>2026</v>
      </c>
      <c r="N224" t="s">
        <v>732</v>
      </c>
    </row>
    <row r="225" spans="1:14" x14ac:dyDescent="0.2">
      <c r="A225" s="204" t="s">
        <v>702</v>
      </c>
      <c r="B225" s="1">
        <v>46071</v>
      </c>
      <c r="C225" s="204" t="s">
        <v>663</v>
      </c>
      <c r="D225" s="204" t="s">
        <v>726</v>
      </c>
      <c r="E225" s="204" t="s">
        <v>171</v>
      </c>
      <c r="F225" s="204" t="s">
        <v>703</v>
      </c>
      <c r="G225" s="204" t="s">
        <v>372</v>
      </c>
      <c r="H225" s="204" t="s">
        <v>490</v>
      </c>
      <c r="I225" s="204" t="s">
        <v>15</v>
      </c>
      <c r="J225" t="s">
        <v>1293</v>
      </c>
      <c r="K225" t="s">
        <v>732</v>
      </c>
      <c r="L225" t="s">
        <v>730</v>
      </c>
      <c r="M225" s="12">
        <v>2026</v>
      </c>
      <c r="N225" t="s">
        <v>732</v>
      </c>
    </row>
    <row r="226" spans="1:14" x14ac:dyDescent="0.2">
      <c r="A226" s="204" t="s">
        <v>704</v>
      </c>
      <c r="B226" s="1">
        <v>46071</v>
      </c>
      <c r="C226" s="204" t="s">
        <v>657</v>
      </c>
      <c r="D226" s="204" t="s">
        <v>17</v>
      </c>
      <c r="E226" s="204" t="s">
        <v>191</v>
      </c>
      <c r="F226" s="204" t="s">
        <v>705</v>
      </c>
      <c r="G226" s="204" t="s">
        <v>184</v>
      </c>
      <c r="H226" s="204" t="s">
        <v>142</v>
      </c>
      <c r="I226" s="204" t="s">
        <v>15</v>
      </c>
      <c r="J226" t="s">
        <v>1293</v>
      </c>
      <c r="K226" t="s">
        <v>732</v>
      </c>
      <c r="L226" t="s">
        <v>730</v>
      </c>
      <c r="M226" s="12">
        <v>2026</v>
      </c>
      <c r="N226" t="s">
        <v>732</v>
      </c>
    </row>
    <row r="227" spans="1:14" x14ac:dyDescent="0.2">
      <c r="A227" s="204" t="s">
        <v>552</v>
      </c>
      <c r="B227" s="1">
        <v>46071</v>
      </c>
      <c r="C227" s="204" t="s">
        <v>55</v>
      </c>
      <c r="D227" s="204" t="s">
        <v>17</v>
      </c>
      <c r="E227" s="204" t="s">
        <v>56</v>
      </c>
      <c r="F227" s="204" t="s">
        <v>706</v>
      </c>
      <c r="G227" s="204" t="s">
        <v>372</v>
      </c>
      <c r="H227" s="204" t="s">
        <v>75</v>
      </c>
      <c r="I227" s="204" t="s">
        <v>15</v>
      </c>
      <c r="J227" t="s">
        <v>1293</v>
      </c>
      <c r="K227" t="s">
        <v>732</v>
      </c>
      <c r="L227" t="s">
        <v>730</v>
      </c>
      <c r="M227" s="12">
        <v>2026</v>
      </c>
      <c r="N227" t="s">
        <v>732</v>
      </c>
    </row>
    <row r="228" spans="1:14" x14ac:dyDescent="0.2">
      <c r="A228" s="204" t="s">
        <v>54</v>
      </c>
      <c r="B228" s="1">
        <v>46070</v>
      </c>
      <c r="C228" s="204" t="s">
        <v>663</v>
      </c>
      <c r="D228" s="204" t="s">
        <v>726</v>
      </c>
      <c r="E228" s="204" t="s">
        <v>171</v>
      </c>
      <c r="F228" s="204" t="s">
        <v>783</v>
      </c>
      <c r="G228" s="204" t="s">
        <v>372</v>
      </c>
      <c r="H228" s="204" t="s">
        <v>465</v>
      </c>
      <c r="I228" s="204" t="s">
        <v>15</v>
      </c>
      <c r="J228" t="s">
        <v>1293</v>
      </c>
      <c r="K228" t="s">
        <v>732</v>
      </c>
      <c r="L228" t="s">
        <v>730</v>
      </c>
      <c r="M228" s="12">
        <v>2026</v>
      </c>
      <c r="N228" t="s">
        <v>732</v>
      </c>
    </row>
    <row r="229" spans="1:14" x14ac:dyDescent="0.2">
      <c r="A229" s="204" t="s">
        <v>764</v>
      </c>
      <c r="B229" s="1">
        <v>46070</v>
      </c>
      <c r="C229" s="204" t="s">
        <v>547</v>
      </c>
      <c r="D229" s="204" t="s">
        <v>10</v>
      </c>
      <c r="E229" s="204" t="s">
        <v>673</v>
      </c>
      <c r="F229" s="204" t="s">
        <v>627</v>
      </c>
      <c r="G229" s="204" t="s">
        <v>184</v>
      </c>
      <c r="H229" s="204" t="s">
        <v>465</v>
      </c>
      <c r="I229" s="204" t="s">
        <v>15</v>
      </c>
      <c r="J229" t="s">
        <v>1293</v>
      </c>
      <c r="K229" t="s">
        <v>732</v>
      </c>
      <c r="L229" t="s">
        <v>730</v>
      </c>
      <c r="M229" s="12">
        <v>2026</v>
      </c>
      <c r="N229" t="s">
        <v>732</v>
      </c>
    </row>
    <row r="230" spans="1:14" x14ac:dyDescent="0.2">
      <c r="A230" s="204" t="s">
        <v>88</v>
      </c>
      <c r="B230" s="1">
        <v>46069</v>
      </c>
      <c r="C230" s="204" t="s">
        <v>71</v>
      </c>
      <c r="D230" s="204" t="s">
        <v>17</v>
      </c>
      <c r="E230" s="204" t="s">
        <v>18</v>
      </c>
      <c r="F230" s="204" t="s">
        <v>923</v>
      </c>
      <c r="G230" s="204" t="s">
        <v>1042</v>
      </c>
      <c r="H230" s="204" t="s">
        <v>43</v>
      </c>
      <c r="I230" s="204" t="s">
        <v>278</v>
      </c>
      <c r="J230" t="s">
        <v>1293</v>
      </c>
      <c r="K230" t="s">
        <v>732</v>
      </c>
      <c r="L230" t="s">
        <v>730</v>
      </c>
      <c r="M230" s="12">
        <v>2026</v>
      </c>
      <c r="N230" t="s">
        <v>732</v>
      </c>
    </row>
    <row r="231" spans="1:14" x14ac:dyDescent="0.2">
      <c r="A231" s="204" t="s">
        <v>698</v>
      </c>
      <c r="B231" s="1">
        <v>46066</v>
      </c>
      <c r="C231" s="204" t="s">
        <v>475</v>
      </c>
      <c r="D231" s="204" t="s">
        <v>10</v>
      </c>
      <c r="E231" s="204" t="s">
        <v>155</v>
      </c>
      <c r="F231" s="204" t="s">
        <v>723</v>
      </c>
      <c r="G231" s="204" t="s">
        <v>24</v>
      </c>
      <c r="H231" s="204" t="s">
        <v>407</v>
      </c>
      <c r="I231" s="204" t="s">
        <v>15</v>
      </c>
      <c r="J231" t="s">
        <v>1293</v>
      </c>
      <c r="K231" t="s">
        <v>732</v>
      </c>
      <c r="L231" t="s">
        <v>730</v>
      </c>
      <c r="M231" s="12">
        <v>2026</v>
      </c>
      <c r="N231" t="s">
        <v>732</v>
      </c>
    </row>
    <row r="232" spans="1:14" x14ac:dyDescent="0.2">
      <c r="A232" s="204" t="s">
        <v>724</v>
      </c>
      <c r="B232" s="1">
        <v>46066</v>
      </c>
      <c r="C232" s="204" t="s">
        <v>620</v>
      </c>
      <c r="D232" s="204" t="s">
        <v>17</v>
      </c>
      <c r="E232" s="204" t="s">
        <v>96</v>
      </c>
      <c r="F232" s="204" t="s">
        <v>725</v>
      </c>
      <c r="G232" s="204" t="s">
        <v>58</v>
      </c>
      <c r="H232" s="204" t="s">
        <v>59</v>
      </c>
      <c r="I232" s="204" t="s">
        <v>15</v>
      </c>
      <c r="J232" t="s">
        <v>1293</v>
      </c>
      <c r="K232" t="s">
        <v>732</v>
      </c>
      <c r="L232" t="s">
        <v>730</v>
      </c>
      <c r="M232" s="12">
        <v>2026</v>
      </c>
      <c r="N232" t="s">
        <v>732</v>
      </c>
    </row>
    <row r="233" spans="1:14" x14ac:dyDescent="0.2">
      <c r="A233" s="204" t="s">
        <v>649</v>
      </c>
      <c r="B233" s="1">
        <v>46066</v>
      </c>
      <c r="C233" s="204" t="s">
        <v>264</v>
      </c>
      <c r="D233" s="204" t="s">
        <v>17</v>
      </c>
      <c r="E233" s="204" t="s">
        <v>72</v>
      </c>
      <c r="F233" s="204" t="s">
        <v>319</v>
      </c>
      <c r="G233" s="204" t="s">
        <v>24</v>
      </c>
      <c r="H233" s="204" t="s">
        <v>124</v>
      </c>
      <c r="I233" s="204" t="s">
        <v>15</v>
      </c>
      <c r="J233" t="s">
        <v>1293</v>
      </c>
      <c r="K233" t="s">
        <v>732</v>
      </c>
      <c r="L233" t="s">
        <v>730</v>
      </c>
      <c r="M233" s="12">
        <v>2026</v>
      </c>
      <c r="N233" t="s">
        <v>732</v>
      </c>
    </row>
    <row r="234" spans="1:14" x14ac:dyDescent="0.2">
      <c r="A234" s="204" t="s">
        <v>77</v>
      </c>
      <c r="B234" s="1">
        <v>46065</v>
      </c>
      <c r="C234" s="204" t="s">
        <v>78</v>
      </c>
      <c r="D234" s="204" t="s">
        <v>10</v>
      </c>
      <c r="E234" s="204" t="s">
        <v>109</v>
      </c>
      <c r="F234" s="204" t="s">
        <v>695</v>
      </c>
      <c r="G234" s="204" t="s">
        <v>967</v>
      </c>
      <c r="H234" s="204" t="s">
        <v>677</v>
      </c>
      <c r="I234" s="204" t="s">
        <v>15</v>
      </c>
      <c r="J234" t="s">
        <v>1293</v>
      </c>
      <c r="K234" t="s">
        <v>732</v>
      </c>
      <c r="L234" t="s">
        <v>730</v>
      </c>
      <c r="M234" s="12">
        <v>2026</v>
      </c>
      <c r="N234" t="s">
        <v>732</v>
      </c>
    </row>
    <row r="235" spans="1:14" x14ac:dyDescent="0.2">
      <c r="A235" s="204" t="s">
        <v>697</v>
      </c>
      <c r="B235" s="1">
        <v>46065</v>
      </c>
      <c r="C235" s="204" t="s">
        <v>40</v>
      </c>
      <c r="D235" s="204" t="s">
        <v>41</v>
      </c>
      <c r="E235" s="204" t="s">
        <v>41</v>
      </c>
      <c r="F235" s="204" t="s">
        <v>364</v>
      </c>
      <c r="G235" s="204" t="s">
        <v>24</v>
      </c>
      <c r="H235" s="204" t="s">
        <v>722</v>
      </c>
      <c r="I235" s="204" t="s">
        <v>15</v>
      </c>
      <c r="J235" t="s">
        <v>1293</v>
      </c>
      <c r="K235" t="s">
        <v>732</v>
      </c>
      <c r="L235" t="s">
        <v>730</v>
      </c>
      <c r="M235" s="12">
        <v>2026</v>
      </c>
      <c r="N235" t="s">
        <v>732</v>
      </c>
    </row>
    <row r="236" spans="1:14" x14ac:dyDescent="0.2">
      <c r="A236" s="204" t="s">
        <v>691</v>
      </c>
      <c r="B236" s="1">
        <v>46063</v>
      </c>
      <c r="C236" s="204" t="s">
        <v>644</v>
      </c>
      <c r="D236" s="204" t="s">
        <v>305</v>
      </c>
      <c r="E236" s="204" t="s">
        <v>305</v>
      </c>
      <c r="F236" s="204" t="s">
        <v>714</v>
      </c>
      <c r="G236" s="204" t="s">
        <v>58</v>
      </c>
      <c r="H236" s="204" t="s">
        <v>255</v>
      </c>
      <c r="I236" s="204" t="s">
        <v>15</v>
      </c>
      <c r="J236" t="s">
        <v>1293</v>
      </c>
      <c r="K236" t="s">
        <v>732</v>
      </c>
      <c r="L236" t="s">
        <v>730</v>
      </c>
      <c r="M236" s="12">
        <v>2026</v>
      </c>
      <c r="N236" t="s">
        <v>732</v>
      </c>
    </row>
    <row r="237" spans="1:14" x14ac:dyDescent="0.2">
      <c r="A237" s="204" t="s">
        <v>672</v>
      </c>
      <c r="B237" s="1">
        <v>46063</v>
      </c>
      <c r="C237" s="204" t="s">
        <v>547</v>
      </c>
      <c r="D237" s="204" t="s">
        <v>10</v>
      </c>
      <c r="E237" s="204" t="s">
        <v>673</v>
      </c>
      <c r="F237" s="204" t="s">
        <v>674</v>
      </c>
      <c r="G237" s="204" t="s">
        <v>69</v>
      </c>
      <c r="H237" s="204" t="s">
        <v>221</v>
      </c>
      <c r="I237" s="204" t="s">
        <v>15</v>
      </c>
      <c r="J237" t="s">
        <v>1293</v>
      </c>
      <c r="K237" t="s">
        <v>732</v>
      </c>
      <c r="L237" t="s">
        <v>730</v>
      </c>
      <c r="M237" s="12">
        <v>2026</v>
      </c>
      <c r="N237" t="s">
        <v>732</v>
      </c>
    </row>
    <row r="238" spans="1:14" x14ac:dyDescent="0.2">
      <c r="A238" s="204" t="s">
        <v>699</v>
      </c>
      <c r="B238" s="1">
        <v>46063</v>
      </c>
      <c r="C238" s="204" t="s">
        <v>71</v>
      </c>
      <c r="D238" s="204" t="s">
        <v>17</v>
      </c>
      <c r="E238" s="204" t="s">
        <v>56</v>
      </c>
      <c r="F238" s="204" t="s">
        <v>700</v>
      </c>
      <c r="G238" s="204" t="s">
        <v>24</v>
      </c>
      <c r="H238" s="204" t="s">
        <v>185</v>
      </c>
      <c r="I238" s="204" t="s">
        <v>15</v>
      </c>
      <c r="J238" t="s">
        <v>1293</v>
      </c>
      <c r="K238" t="s">
        <v>732</v>
      </c>
      <c r="L238" t="s">
        <v>730</v>
      </c>
      <c r="M238" s="12">
        <v>2026</v>
      </c>
      <c r="N238" t="s">
        <v>732</v>
      </c>
    </row>
    <row r="239" spans="1:14" x14ac:dyDescent="0.2">
      <c r="A239" s="204" t="s">
        <v>686</v>
      </c>
      <c r="B239" s="1">
        <v>46059</v>
      </c>
      <c r="C239" s="204" t="s">
        <v>657</v>
      </c>
      <c r="D239" s="204" t="s">
        <v>17</v>
      </c>
      <c r="E239" s="204" t="s">
        <v>114</v>
      </c>
      <c r="F239" s="204" t="s">
        <v>687</v>
      </c>
      <c r="G239" s="204" t="s">
        <v>24</v>
      </c>
      <c r="H239" s="204" t="s">
        <v>59</v>
      </c>
      <c r="I239" s="204" t="s">
        <v>15</v>
      </c>
      <c r="J239" t="s">
        <v>1293</v>
      </c>
      <c r="K239" t="s">
        <v>732</v>
      </c>
      <c r="L239" t="s">
        <v>730</v>
      </c>
      <c r="M239" s="12">
        <v>2026</v>
      </c>
      <c r="N239" t="s">
        <v>732</v>
      </c>
    </row>
    <row r="240" spans="1:14" x14ac:dyDescent="0.2">
      <c r="A240" s="204" t="s">
        <v>688</v>
      </c>
      <c r="B240" s="1">
        <v>46059</v>
      </c>
      <c r="C240" s="204" t="s">
        <v>136</v>
      </c>
      <c r="D240" s="204" t="s">
        <v>10</v>
      </c>
      <c r="E240" s="204" t="s">
        <v>31</v>
      </c>
      <c r="F240" s="204" t="s">
        <v>242</v>
      </c>
      <c r="G240" s="204" t="s">
        <v>719</v>
      </c>
      <c r="H240" s="204" t="s">
        <v>720</v>
      </c>
      <c r="I240" s="204" t="s">
        <v>15</v>
      </c>
      <c r="J240" t="s">
        <v>1293</v>
      </c>
      <c r="K240" t="s">
        <v>732</v>
      </c>
      <c r="L240" t="s">
        <v>730</v>
      </c>
      <c r="M240" s="12">
        <v>2026</v>
      </c>
      <c r="N240" t="s">
        <v>732</v>
      </c>
    </row>
    <row r="241" spans="1:14" x14ac:dyDescent="0.2">
      <c r="A241" s="204" t="s">
        <v>689</v>
      </c>
      <c r="B241" s="1">
        <v>46059</v>
      </c>
      <c r="C241" s="204" t="s">
        <v>136</v>
      </c>
      <c r="D241" s="204" t="s">
        <v>10</v>
      </c>
      <c r="E241" s="204" t="s">
        <v>31</v>
      </c>
      <c r="F241" s="204" t="s">
        <v>641</v>
      </c>
      <c r="G241" s="204" t="s">
        <v>28</v>
      </c>
      <c r="H241" s="204" t="s">
        <v>221</v>
      </c>
      <c r="I241" s="204" t="s">
        <v>15</v>
      </c>
      <c r="J241" t="s">
        <v>1293</v>
      </c>
      <c r="K241" t="s">
        <v>732</v>
      </c>
      <c r="L241" t="s">
        <v>730</v>
      </c>
      <c r="M241" s="12">
        <v>2026</v>
      </c>
      <c r="N241" t="s">
        <v>732</v>
      </c>
    </row>
    <row r="242" spans="1:14" x14ac:dyDescent="0.2">
      <c r="A242" s="204" t="s">
        <v>500</v>
      </c>
      <c r="B242" s="1">
        <v>46059</v>
      </c>
      <c r="C242" s="204" t="s">
        <v>71</v>
      </c>
      <c r="D242" s="204" t="s">
        <v>17</v>
      </c>
      <c r="E242" s="204" t="s">
        <v>18</v>
      </c>
      <c r="F242" s="204" t="s">
        <v>690</v>
      </c>
      <c r="G242" s="204" t="s">
        <v>24</v>
      </c>
      <c r="H242" s="204" t="s">
        <v>249</v>
      </c>
      <c r="I242" s="204" t="s">
        <v>15</v>
      </c>
      <c r="J242" t="s">
        <v>1293</v>
      </c>
      <c r="K242" t="s">
        <v>732</v>
      </c>
      <c r="L242" t="s">
        <v>730</v>
      </c>
      <c r="M242" s="12">
        <v>2026</v>
      </c>
      <c r="N242" t="s">
        <v>732</v>
      </c>
    </row>
    <row r="243" spans="1:14" x14ac:dyDescent="0.2">
      <c r="A243" s="204" t="s">
        <v>684</v>
      </c>
      <c r="B243" s="1">
        <v>46058</v>
      </c>
      <c r="C243" s="204" t="s">
        <v>55</v>
      </c>
      <c r="D243" s="204" t="s">
        <v>17</v>
      </c>
      <c r="E243" s="204" t="s">
        <v>56</v>
      </c>
      <c r="F243" s="204" t="s">
        <v>685</v>
      </c>
      <c r="G243" s="204" t="s">
        <v>24</v>
      </c>
      <c r="H243" s="204" t="s">
        <v>718</v>
      </c>
      <c r="I243" s="204" t="s">
        <v>15</v>
      </c>
      <c r="J243" t="s">
        <v>1293</v>
      </c>
      <c r="K243" t="s">
        <v>732</v>
      </c>
      <c r="L243" t="s">
        <v>730</v>
      </c>
      <c r="M243" s="12">
        <v>2026</v>
      </c>
      <c r="N243" t="s">
        <v>732</v>
      </c>
    </row>
    <row r="244" spans="1:14" x14ac:dyDescent="0.2">
      <c r="A244" s="204" t="s">
        <v>681</v>
      </c>
      <c r="B244" s="1">
        <v>46057</v>
      </c>
      <c r="C244" s="204" t="s">
        <v>629</v>
      </c>
      <c r="D244" s="204" t="s">
        <v>305</v>
      </c>
      <c r="E244" s="204" t="s">
        <v>682</v>
      </c>
      <c r="F244" s="204" t="s">
        <v>683</v>
      </c>
      <c r="G244" s="204" t="s">
        <v>665</v>
      </c>
      <c r="H244" s="204" t="s">
        <v>513</v>
      </c>
      <c r="I244" s="204" t="s">
        <v>15</v>
      </c>
      <c r="J244" t="s">
        <v>1293</v>
      </c>
      <c r="K244" t="s">
        <v>732</v>
      </c>
      <c r="L244" t="s">
        <v>730</v>
      </c>
      <c r="M244" s="12">
        <v>2026</v>
      </c>
      <c r="N244" t="s">
        <v>732</v>
      </c>
    </row>
    <row r="245" spans="1:14" x14ac:dyDescent="0.2">
      <c r="A245" s="204" t="s">
        <v>686</v>
      </c>
      <c r="B245" s="1">
        <v>46057</v>
      </c>
      <c r="C245" s="204" t="s">
        <v>657</v>
      </c>
      <c r="D245" s="204" t="s">
        <v>17</v>
      </c>
      <c r="E245" s="204" t="s">
        <v>114</v>
      </c>
      <c r="F245" s="204" t="s">
        <v>687</v>
      </c>
      <c r="G245" s="204" t="s">
        <v>24</v>
      </c>
      <c r="H245" s="204" t="s">
        <v>513</v>
      </c>
      <c r="I245" s="204" t="s">
        <v>15</v>
      </c>
      <c r="J245" t="s">
        <v>1293</v>
      </c>
      <c r="K245" t="s">
        <v>732</v>
      </c>
      <c r="L245" t="s">
        <v>730</v>
      </c>
      <c r="M245" s="12">
        <v>2026</v>
      </c>
      <c r="N245" t="s">
        <v>732</v>
      </c>
    </row>
    <row r="246" spans="1:14" x14ac:dyDescent="0.2">
      <c r="A246" s="204" t="s">
        <v>692</v>
      </c>
      <c r="B246" s="1">
        <v>46057</v>
      </c>
      <c r="C246" s="204" t="s">
        <v>46</v>
      </c>
      <c r="D246" s="204" t="s">
        <v>10</v>
      </c>
      <c r="E246" s="204" t="s">
        <v>182</v>
      </c>
      <c r="F246" s="204" t="s">
        <v>693</v>
      </c>
      <c r="G246" s="204" t="s">
        <v>24</v>
      </c>
      <c r="H246" s="204" t="s">
        <v>694</v>
      </c>
      <c r="I246" s="204" t="s">
        <v>15</v>
      </c>
      <c r="J246" t="s">
        <v>1293</v>
      </c>
      <c r="K246" t="s">
        <v>732</v>
      </c>
      <c r="L246" t="s">
        <v>730</v>
      </c>
      <c r="M246" s="12">
        <v>2026</v>
      </c>
      <c r="N246" t="s">
        <v>732</v>
      </c>
    </row>
    <row r="247" spans="1:14" x14ac:dyDescent="0.2">
      <c r="A247" s="204" t="s">
        <v>678</v>
      </c>
      <c r="B247" s="1">
        <v>46055</v>
      </c>
      <c r="C247" s="204" t="s">
        <v>244</v>
      </c>
      <c r="D247" s="204" t="s">
        <v>246</v>
      </c>
      <c r="E247" s="204" t="s">
        <v>246</v>
      </c>
      <c r="F247" s="204" t="s">
        <v>246</v>
      </c>
      <c r="G247" s="204" t="s">
        <v>679</v>
      </c>
      <c r="H247" s="204" t="s">
        <v>145</v>
      </c>
      <c r="I247" s="204" t="s">
        <v>278</v>
      </c>
      <c r="J247" t="s">
        <v>1293</v>
      </c>
      <c r="K247" t="s">
        <v>732</v>
      </c>
      <c r="L247" t="s">
        <v>730</v>
      </c>
      <c r="M247" s="12">
        <v>2026</v>
      </c>
      <c r="N247" t="s">
        <v>732</v>
      </c>
    </row>
    <row r="248" spans="1:14" x14ac:dyDescent="0.2">
      <c r="A248" s="204" t="s">
        <v>680</v>
      </c>
      <c r="B248" s="1">
        <v>46055</v>
      </c>
      <c r="C248" s="204" t="s">
        <v>244</v>
      </c>
      <c r="D248" s="204" t="s">
        <v>246</v>
      </c>
      <c r="E248" s="204" t="s">
        <v>246</v>
      </c>
      <c r="F248" s="204" t="s">
        <v>246</v>
      </c>
      <c r="G248" s="204" t="s">
        <v>679</v>
      </c>
      <c r="H248" s="204" t="s">
        <v>145</v>
      </c>
      <c r="I248" s="204" t="s">
        <v>278</v>
      </c>
      <c r="J248" t="s">
        <v>1293</v>
      </c>
      <c r="K248" t="s">
        <v>732</v>
      </c>
      <c r="L248" t="s">
        <v>730</v>
      </c>
      <c r="M248" s="12">
        <v>2026</v>
      </c>
      <c r="N248" t="s">
        <v>732</v>
      </c>
    </row>
    <row r="249" spans="1:14" x14ac:dyDescent="0.2">
      <c r="A249" s="204" t="s">
        <v>649</v>
      </c>
      <c r="B249" s="1">
        <v>46050</v>
      </c>
      <c r="C249" s="204" t="s">
        <v>264</v>
      </c>
      <c r="D249" s="204" t="s">
        <v>17</v>
      </c>
      <c r="E249" s="204" t="s">
        <v>72</v>
      </c>
      <c r="F249" s="204" t="s">
        <v>319</v>
      </c>
      <c r="G249" s="204" t="s">
        <v>151</v>
      </c>
      <c r="H249" s="204" t="s">
        <v>676</v>
      </c>
      <c r="I249" s="204" t="s">
        <v>15</v>
      </c>
      <c r="J249" t="s">
        <v>1293</v>
      </c>
      <c r="K249" t="s">
        <v>729</v>
      </c>
      <c r="L249" t="s">
        <v>730</v>
      </c>
      <c r="M249" s="12">
        <v>2026</v>
      </c>
      <c r="N249" t="s">
        <v>729</v>
      </c>
    </row>
    <row r="250" spans="1:14" x14ac:dyDescent="0.2">
      <c r="A250" s="204" t="s">
        <v>384</v>
      </c>
      <c r="B250" s="1">
        <v>46050</v>
      </c>
      <c r="C250" s="204" t="s">
        <v>78</v>
      </c>
      <c r="D250" s="204" t="s">
        <v>10</v>
      </c>
      <c r="E250" s="204" t="s">
        <v>109</v>
      </c>
      <c r="F250" s="204" t="s">
        <v>110</v>
      </c>
      <c r="G250" s="204" t="s">
        <v>967</v>
      </c>
      <c r="H250" s="204" t="s">
        <v>158</v>
      </c>
      <c r="I250" s="204" t="s">
        <v>15</v>
      </c>
      <c r="J250" t="s">
        <v>1293</v>
      </c>
      <c r="K250" t="s">
        <v>729</v>
      </c>
      <c r="L250" t="s">
        <v>730</v>
      </c>
      <c r="M250" s="12">
        <v>2026</v>
      </c>
      <c r="N250" t="s">
        <v>729</v>
      </c>
    </row>
    <row r="251" spans="1:14" x14ac:dyDescent="0.2">
      <c r="A251" s="204" t="s">
        <v>672</v>
      </c>
      <c r="B251" s="1">
        <v>46049</v>
      </c>
      <c r="C251" s="204" t="s">
        <v>547</v>
      </c>
      <c r="D251" s="204" t="s">
        <v>10</v>
      </c>
      <c r="E251" s="204" t="s">
        <v>673</v>
      </c>
      <c r="F251" s="204" t="s">
        <v>674</v>
      </c>
      <c r="G251" s="204" t="s">
        <v>151</v>
      </c>
      <c r="H251" s="204" t="s">
        <v>43</v>
      </c>
      <c r="I251" s="204" t="s">
        <v>278</v>
      </c>
      <c r="J251" t="s">
        <v>1293</v>
      </c>
      <c r="K251" t="s">
        <v>729</v>
      </c>
      <c r="L251" t="s">
        <v>730</v>
      </c>
      <c r="M251" s="12">
        <v>2026</v>
      </c>
      <c r="N251" t="s">
        <v>729</v>
      </c>
    </row>
    <row r="252" spans="1:14" x14ac:dyDescent="0.2">
      <c r="A252" s="204" t="s">
        <v>675</v>
      </c>
      <c r="B252" s="1">
        <v>46049</v>
      </c>
      <c r="C252" s="204" t="s">
        <v>475</v>
      </c>
      <c r="D252" s="204" t="s">
        <v>10</v>
      </c>
      <c r="E252" s="204" t="s">
        <v>155</v>
      </c>
      <c r="F252" s="204" t="s">
        <v>340</v>
      </c>
      <c r="G252" s="204" t="s">
        <v>24</v>
      </c>
      <c r="H252" s="204" t="s">
        <v>124</v>
      </c>
      <c r="I252" s="204" t="s">
        <v>15</v>
      </c>
      <c r="J252" t="s">
        <v>1293</v>
      </c>
      <c r="K252" t="s">
        <v>729</v>
      </c>
      <c r="L252" t="s">
        <v>730</v>
      </c>
      <c r="M252" s="12">
        <v>2026</v>
      </c>
      <c r="N252" t="s">
        <v>729</v>
      </c>
    </row>
    <row r="253" spans="1:14" x14ac:dyDescent="0.2">
      <c r="A253" s="204" t="s">
        <v>670</v>
      </c>
      <c r="B253" s="1">
        <v>46048</v>
      </c>
      <c r="C253" s="204" t="s">
        <v>261</v>
      </c>
      <c r="D253" s="204" t="s">
        <v>10</v>
      </c>
      <c r="E253" s="204" t="s">
        <v>126</v>
      </c>
      <c r="F253" s="204" t="s">
        <v>138</v>
      </c>
      <c r="G253" s="204" t="s">
        <v>24</v>
      </c>
      <c r="H253" s="204" t="s">
        <v>718</v>
      </c>
      <c r="I253" s="204" t="s">
        <v>15</v>
      </c>
      <c r="J253" t="s">
        <v>1293</v>
      </c>
      <c r="K253" t="s">
        <v>729</v>
      </c>
      <c r="L253" t="s">
        <v>730</v>
      </c>
      <c r="M253" s="12">
        <v>2026</v>
      </c>
      <c r="N253" t="s">
        <v>729</v>
      </c>
    </row>
    <row r="254" spans="1:14" x14ac:dyDescent="0.2">
      <c r="A254" s="204" t="s">
        <v>671</v>
      </c>
      <c r="B254" s="1">
        <v>46048</v>
      </c>
      <c r="C254" s="204" t="s">
        <v>9</v>
      </c>
      <c r="D254" s="204" t="s">
        <v>10</v>
      </c>
      <c r="E254" s="204" t="s">
        <v>11</v>
      </c>
      <c r="F254" s="204" t="s">
        <v>424</v>
      </c>
      <c r="G254" s="204" t="s">
        <v>28</v>
      </c>
      <c r="H254" s="204" t="s">
        <v>776</v>
      </c>
      <c r="I254" s="204" t="s">
        <v>15</v>
      </c>
      <c r="J254" t="s">
        <v>1293</v>
      </c>
      <c r="K254" t="s">
        <v>729</v>
      </c>
      <c r="L254" t="s">
        <v>730</v>
      </c>
      <c r="M254" s="12">
        <v>2026</v>
      </c>
      <c r="N254" t="s">
        <v>729</v>
      </c>
    </row>
    <row r="255" spans="1:14" x14ac:dyDescent="0.2">
      <c r="A255" s="204" t="s">
        <v>666</v>
      </c>
      <c r="B255" s="1">
        <v>46045</v>
      </c>
      <c r="C255" s="204" t="s">
        <v>71</v>
      </c>
      <c r="D255" s="204" t="s">
        <v>17</v>
      </c>
      <c r="E255" s="204" t="s">
        <v>18</v>
      </c>
      <c r="F255" s="204" t="s">
        <v>716</v>
      </c>
      <c r="G255" s="204" t="s">
        <v>24</v>
      </c>
      <c r="H255" s="204" t="s">
        <v>87</v>
      </c>
      <c r="I255" s="204" t="s">
        <v>15</v>
      </c>
      <c r="J255" t="s">
        <v>1293</v>
      </c>
      <c r="K255" t="s">
        <v>729</v>
      </c>
      <c r="L255" t="s">
        <v>730</v>
      </c>
      <c r="M255" s="12">
        <v>2026</v>
      </c>
      <c r="N255" t="s">
        <v>729</v>
      </c>
    </row>
    <row r="256" spans="1:14" x14ac:dyDescent="0.2">
      <c r="A256" s="204" t="s">
        <v>667</v>
      </c>
      <c r="B256" s="1">
        <v>46045</v>
      </c>
      <c r="C256" s="204" t="s">
        <v>71</v>
      </c>
      <c r="D256" s="204" t="s">
        <v>17</v>
      </c>
      <c r="E256" s="204" t="s">
        <v>18</v>
      </c>
      <c r="F256" s="204" t="s">
        <v>668</v>
      </c>
      <c r="G256" s="204" t="s">
        <v>184</v>
      </c>
      <c r="H256" s="204" t="s">
        <v>717</v>
      </c>
      <c r="I256" s="204" t="s">
        <v>15</v>
      </c>
      <c r="J256" t="s">
        <v>1293</v>
      </c>
      <c r="K256" t="s">
        <v>729</v>
      </c>
      <c r="L256" t="s">
        <v>730</v>
      </c>
      <c r="M256" s="12">
        <v>2026</v>
      </c>
      <c r="N256" t="s">
        <v>729</v>
      </c>
    </row>
    <row r="257" spans="1:14" x14ac:dyDescent="0.2">
      <c r="A257" s="204" t="s">
        <v>555</v>
      </c>
      <c r="B257" s="1">
        <v>46044</v>
      </c>
      <c r="C257" s="204" t="s">
        <v>261</v>
      </c>
      <c r="D257" s="204" t="s">
        <v>10</v>
      </c>
      <c r="E257" s="204" t="s">
        <v>126</v>
      </c>
      <c r="F257" s="204" t="s">
        <v>715</v>
      </c>
      <c r="G257" s="204" t="s">
        <v>24</v>
      </c>
      <c r="H257" s="204" t="s">
        <v>124</v>
      </c>
      <c r="I257" s="204" t="s">
        <v>15</v>
      </c>
      <c r="J257" t="s">
        <v>1293</v>
      </c>
      <c r="K257" t="s">
        <v>729</v>
      </c>
      <c r="L257" t="s">
        <v>730</v>
      </c>
      <c r="M257" s="12">
        <v>2026</v>
      </c>
      <c r="N257" t="s">
        <v>729</v>
      </c>
    </row>
    <row r="258" spans="1:14" x14ac:dyDescent="0.2">
      <c r="A258" s="204" t="s">
        <v>662</v>
      </c>
      <c r="B258" s="1">
        <v>46044</v>
      </c>
      <c r="C258" s="204" t="s">
        <v>663</v>
      </c>
      <c r="D258" s="204" t="s">
        <v>17</v>
      </c>
      <c r="E258" s="204" t="s">
        <v>171</v>
      </c>
      <c r="F258" s="204" t="s">
        <v>664</v>
      </c>
      <c r="G258" s="204" t="s">
        <v>665</v>
      </c>
      <c r="H258" s="204" t="s">
        <v>405</v>
      </c>
      <c r="I258" s="204" t="s">
        <v>15</v>
      </c>
      <c r="J258" t="s">
        <v>1293</v>
      </c>
      <c r="K258" t="s">
        <v>729</v>
      </c>
      <c r="L258" t="s">
        <v>730</v>
      </c>
      <c r="M258" s="12">
        <v>2026</v>
      </c>
      <c r="N258" t="s">
        <v>729</v>
      </c>
    </row>
    <row r="259" spans="1:14" x14ac:dyDescent="0.2">
      <c r="A259" s="204" t="s">
        <v>669</v>
      </c>
      <c r="B259" s="1">
        <v>46044</v>
      </c>
      <c r="C259" s="204" t="s">
        <v>264</v>
      </c>
      <c r="D259" s="204" t="s">
        <v>17</v>
      </c>
      <c r="E259" s="204" t="s">
        <v>72</v>
      </c>
      <c r="F259" s="204" t="s">
        <v>638</v>
      </c>
      <c r="G259" s="204" t="s">
        <v>24</v>
      </c>
      <c r="H259" s="204" t="s">
        <v>718</v>
      </c>
      <c r="I259" s="204" t="s">
        <v>15</v>
      </c>
      <c r="J259" t="s">
        <v>1293</v>
      </c>
      <c r="K259" t="s">
        <v>729</v>
      </c>
      <c r="L259" t="s">
        <v>730</v>
      </c>
      <c r="M259" s="12">
        <v>2026</v>
      </c>
      <c r="N259" t="s">
        <v>729</v>
      </c>
    </row>
    <row r="260" spans="1:14" x14ac:dyDescent="0.2">
      <c r="A260" s="204" t="s">
        <v>721</v>
      </c>
      <c r="B260" s="1">
        <v>46044</v>
      </c>
      <c r="C260" s="204" t="s">
        <v>475</v>
      </c>
      <c r="D260" s="204" t="s">
        <v>10</v>
      </c>
      <c r="E260" s="204" t="s">
        <v>155</v>
      </c>
      <c r="F260" s="204" t="s">
        <v>696</v>
      </c>
      <c r="G260" s="204" t="s">
        <v>24</v>
      </c>
      <c r="H260" s="204" t="s">
        <v>718</v>
      </c>
      <c r="I260" s="204" t="s">
        <v>15</v>
      </c>
      <c r="J260" t="s">
        <v>1293</v>
      </c>
      <c r="K260" t="s">
        <v>729</v>
      </c>
      <c r="L260" t="s">
        <v>730</v>
      </c>
      <c r="M260" s="12">
        <v>2026</v>
      </c>
      <c r="N260" t="s">
        <v>729</v>
      </c>
    </row>
    <row r="261" spans="1:14" x14ac:dyDescent="0.2">
      <c r="A261" s="204" t="s">
        <v>654</v>
      </c>
      <c r="B261" s="1">
        <v>46043</v>
      </c>
      <c r="C261" s="204" t="s">
        <v>261</v>
      </c>
      <c r="D261" s="204" t="s">
        <v>10</v>
      </c>
      <c r="E261" s="204" t="s">
        <v>126</v>
      </c>
      <c r="F261" s="204" t="s">
        <v>655</v>
      </c>
      <c r="G261" s="204" t="s">
        <v>24</v>
      </c>
      <c r="H261" s="204" t="s">
        <v>87</v>
      </c>
      <c r="I261" s="204" t="s">
        <v>15</v>
      </c>
      <c r="J261" t="s">
        <v>1293</v>
      </c>
      <c r="K261" t="s">
        <v>729</v>
      </c>
      <c r="L261" t="s">
        <v>730</v>
      </c>
      <c r="M261" s="12">
        <v>2026</v>
      </c>
      <c r="N261" t="s">
        <v>729</v>
      </c>
    </row>
    <row r="262" spans="1:14" x14ac:dyDescent="0.2">
      <c r="A262" s="204" t="s">
        <v>656</v>
      </c>
      <c r="B262" s="1">
        <v>46043</v>
      </c>
      <c r="C262" s="204" t="s">
        <v>657</v>
      </c>
      <c r="D262" s="204" t="s">
        <v>17</v>
      </c>
      <c r="E262" s="204" t="s">
        <v>191</v>
      </c>
      <c r="F262" s="204" t="s">
        <v>204</v>
      </c>
      <c r="G262" s="204" t="s">
        <v>967</v>
      </c>
      <c r="H262" s="204" t="s">
        <v>507</v>
      </c>
      <c r="I262" s="204" t="s">
        <v>15</v>
      </c>
      <c r="J262" t="s">
        <v>1293</v>
      </c>
      <c r="K262" t="s">
        <v>729</v>
      </c>
      <c r="L262" t="s">
        <v>730</v>
      </c>
      <c r="M262" s="12">
        <v>2026</v>
      </c>
      <c r="N262" t="s">
        <v>729</v>
      </c>
    </row>
    <row r="263" spans="1:14" x14ac:dyDescent="0.2">
      <c r="A263" s="204" t="s">
        <v>659</v>
      </c>
      <c r="B263" s="1">
        <v>46043</v>
      </c>
      <c r="C263" s="204" t="s">
        <v>71</v>
      </c>
      <c r="D263" s="204" t="s">
        <v>17</v>
      </c>
      <c r="E263" s="204" t="s">
        <v>18</v>
      </c>
      <c r="F263" s="204" t="s">
        <v>660</v>
      </c>
      <c r="G263" s="204" t="s">
        <v>24</v>
      </c>
      <c r="H263" s="204" t="s">
        <v>661</v>
      </c>
      <c r="I263" s="204" t="s">
        <v>15</v>
      </c>
      <c r="J263" t="s">
        <v>1293</v>
      </c>
      <c r="K263" t="s">
        <v>729</v>
      </c>
      <c r="L263" t="s">
        <v>730</v>
      </c>
      <c r="M263" s="12">
        <v>2026</v>
      </c>
      <c r="N263" t="s">
        <v>729</v>
      </c>
    </row>
    <row r="264" spans="1:14" x14ac:dyDescent="0.2">
      <c r="A264" s="204" t="s">
        <v>653</v>
      </c>
      <c r="B264" s="1">
        <v>46042</v>
      </c>
      <c r="C264" s="204" t="s">
        <v>261</v>
      </c>
      <c r="D264" s="204" t="s">
        <v>10</v>
      </c>
      <c r="E264" s="204" t="s">
        <v>126</v>
      </c>
      <c r="F264" s="204" t="s">
        <v>183</v>
      </c>
      <c r="G264" s="204" t="s">
        <v>24</v>
      </c>
      <c r="H264" s="204" t="s">
        <v>775</v>
      </c>
      <c r="I264" s="204" t="s">
        <v>15</v>
      </c>
      <c r="J264" t="s">
        <v>1293</v>
      </c>
      <c r="K264" t="s">
        <v>729</v>
      </c>
      <c r="L264" t="s">
        <v>730</v>
      </c>
      <c r="M264" s="12">
        <v>2026</v>
      </c>
      <c r="N264" t="s">
        <v>729</v>
      </c>
    </row>
    <row r="265" spans="1:14" x14ac:dyDescent="0.2">
      <c r="A265" s="204" t="s">
        <v>99</v>
      </c>
      <c r="B265" s="1">
        <v>46038</v>
      </c>
      <c r="C265" s="204" t="s">
        <v>71</v>
      </c>
      <c r="D265" s="204" t="s">
        <v>17</v>
      </c>
      <c r="E265" s="204" t="s">
        <v>72</v>
      </c>
      <c r="F265" s="204" t="s">
        <v>648</v>
      </c>
      <c r="G265" s="204" t="s">
        <v>184</v>
      </c>
      <c r="H265" s="204" t="s">
        <v>633</v>
      </c>
      <c r="I265" s="204" t="s">
        <v>278</v>
      </c>
      <c r="J265" t="s">
        <v>1293</v>
      </c>
      <c r="K265" t="s">
        <v>729</v>
      </c>
      <c r="L265" t="s">
        <v>730</v>
      </c>
      <c r="M265" s="12">
        <v>2026</v>
      </c>
      <c r="N265" t="s">
        <v>729</v>
      </c>
    </row>
    <row r="266" spans="1:14" x14ac:dyDescent="0.2">
      <c r="A266" s="204" t="s">
        <v>649</v>
      </c>
      <c r="B266" s="1">
        <v>46038</v>
      </c>
      <c r="C266" s="204" t="s">
        <v>264</v>
      </c>
      <c r="D266" s="204" t="s">
        <v>17</v>
      </c>
      <c r="E266" s="204" t="s">
        <v>72</v>
      </c>
      <c r="F266" s="204" t="s">
        <v>319</v>
      </c>
      <c r="G266" s="204" t="s">
        <v>393</v>
      </c>
      <c r="H266" s="204" t="s">
        <v>185</v>
      </c>
      <c r="I266" s="204" t="s">
        <v>15</v>
      </c>
      <c r="J266" t="s">
        <v>1293</v>
      </c>
      <c r="K266" t="s">
        <v>729</v>
      </c>
      <c r="L266" t="s">
        <v>730</v>
      </c>
      <c r="M266" s="12">
        <v>2026</v>
      </c>
      <c r="N266" t="s">
        <v>729</v>
      </c>
    </row>
    <row r="267" spans="1:14" x14ac:dyDescent="0.2">
      <c r="A267" s="204" t="s">
        <v>651</v>
      </c>
      <c r="B267" s="1">
        <v>46038</v>
      </c>
      <c r="C267" s="204" t="s">
        <v>78</v>
      </c>
      <c r="D267" s="204" t="s">
        <v>10</v>
      </c>
      <c r="E267" s="204" t="s">
        <v>109</v>
      </c>
      <c r="F267" s="204" t="s">
        <v>652</v>
      </c>
      <c r="G267" s="204" t="s">
        <v>69</v>
      </c>
      <c r="H267" s="204" t="s">
        <v>14</v>
      </c>
      <c r="I267" s="204" t="s">
        <v>15</v>
      </c>
      <c r="J267" t="s">
        <v>1293</v>
      </c>
      <c r="K267" t="s">
        <v>729</v>
      </c>
      <c r="L267" t="s">
        <v>730</v>
      </c>
      <c r="M267" s="12">
        <v>2026</v>
      </c>
      <c r="N267" t="s">
        <v>729</v>
      </c>
    </row>
    <row r="268" spans="1:14" x14ac:dyDescent="0.2">
      <c r="A268" s="204" t="s">
        <v>316</v>
      </c>
      <c r="B268" s="1">
        <v>46036</v>
      </c>
      <c r="C268" s="204" t="s">
        <v>181</v>
      </c>
      <c r="D268" s="204" t="s">
        <v>10</v>
      </c>
      <c r="E268" s="204" t="s">
        <v>182</v>
      </c>
      <c r="F268" s="204" t="s">
        <v>223</v>
      </c>
      <c r="G268" s="204" t="s">
        <v>24</v>
      </c>
      <c r="H268" s="204" t="s">
        <v>142</v>
      </c>
      <c r="I268" s="204" t="s">
        <v>15</v>
      </c>
      <c r="J268" t="s">
        <v>1293</v>
      </c>
      <c r="K268" t="s">
        <v>729</v>
      </c>
      <c r="L268" t="s">
        <v>730</v>
      </c>
      <c r="M268" s="12">
        <v>2026</v>
      </c>
      <c r="N268" t="s">
        <v>729</v>
      </c>
    </row>
    <row r="269" spans="1:14" x14ac:dyDescent="0.2">
      <c r="A269" s="204" t="s">
        <v>643</v>
      </c>
      <c r="B269" s="1">
        <v>46034</v>
      </c>
      <c r="C269" s="204" t="s">
        <v>644</v>
      </c>
      <c r="D269" s="204" t="s">
        <v>305</v>
      </c>
      <c r="E269" s="204" t="s">
        <v>305</v>
      </c>
      <c r="F269" s="204" t="s">
        <v>714</v>
      </c>
      <c r="G269" s="204" t="s">
        <v>645</v>
      </c>
      <c r="H269" s="204" t="s">
        <v>59</v>
      </c>
      <c r="I269" s="204" t="s">
        <v>15</v>
      </c>
      <c r="J269" t="s">
        <v>1293</v>
      </c>
      <c r="K269" t="s">
        <v>729</v>
      </c>
      <c r="L269" t="s">
        <v>730</v>
      </c>
      <c r="M269" s="12">
        <v>2026</v>
      </c>
      <c r="N269" t="s">
        <v>729</v>
      </c>
    </row>
    <row r="270" spans="1:14" x14ac:dyDescent="0.2">
      <c r="A270" s="204" t="s">
        <v>646</v>
      </c>
      <c r="B270" s="1">
        <v>46034</v>
      </c>
      <c r="C270" s="204" t="s">
        <v>46</v>
      </c>
      <c r="D270" s="204" t="s">
        <v>10</v>
      </c>
      <c r="E270" s="204" t="s">
        <v>47</v>
      </c>
      <c r="F270" s="204" t="s">
        <v>638</v>
      </c>
      <c r="G270" s="204" t="s">
        <v>69</v>
      </c>
      <c r="H270" s="204" t="s">
        <v>142</v>
      </c>
      <c r="I270" s="204" t="s">
        <v>15</v>
      </c>
      <c r="J270" t="s">
        <v>1293</v>
      </c>
      <c r="K270" t="s">
        <v>729</v>
      </c>
      <c r="L270" t="s">
        <v>730</v>
      </c>
      <c r="M270" s="12">
        <v>2026</v>
      </c>
      <c r="N270" t="s">
        <v>729</v>
      </c>
    </row>
    <row r="271" spans="1:14" x14ac:dyDescent="0.2">
      <c r="A271" s="204" t="s">
        <v>456</v>
      </c>
      <c r="B271" s="1">
        <v>46034</v>
      </c>
      <c r="C271" s="204" t="s">
        <v>40</v>
      </c>
      <c r="D271" s="204" t="s">
        <v>10</v>
      </c>
      <c r="E271" s="204" t="s">
        <v>41</v>
      </c>
      <c r="F271" s="204" t="s">
        <v>457</v>
      </c>
      <c r="G271" s="204" t="s">
        <v>58</v>
      </c>
      <c r="H271" s="204" t="s">
        <v>465</v>
      </c>
      <c r="I271" s="204" t="s">
        <v>15</v>
      </c>
      <c r="J271" t="s">
        <v>1293</v>
      </c>
      <c r="K271" t="s">
        <v>729</v>
      </c>
      <c r="L271" t="s">
        <v>730</v>
      </c>
      <c r="M271" s="12">
        <v>2026</v>
      </c>
      <c r="N271" t="s">
        <v>729</v>
      </c>
    </row>
    <row r="272" spans="1:14" x14ac:dyDescent="0.2">
      <c r="A272" s="204" t="s">
        <v>540</v>
      </c>
      <c r="B272" s="1">
        <v>46031</v>
      </c>
      <c r="C272" s="204" t="s">
        <v>78</v>
      </c>
      <c r="D272" s="204" t="s">
        <v>10</v>
      </c>
      <c r="E272" s="204" t="s">
        <v>109</v>
      </c>
      <c r="F272" s="204" t="s">
        <v>110</v>
      </c>
      <c r="G272" s="204" t="s">
        <v>24</v>
      </c>
      <c r="H272" s="204" t="s">
        <v>642</v>
      </c>
      <c r="I272" s="204" t="s">
        <v>15</v>
      </c>
      <c r="J272" t="s">
        <v>1293</v>
      </c>
      <c r="K272" t="s">
        <v>729</v>
      </c>
      <c r="L272" t="s">
        <v>730</v>
      </c>
      <c r="M272" s="12">
        <v>2026</v>
      </c>
      <c r="N272" t="s">
        <v>729</v>
      </c>
    </row>
    <row r="273" spans="1:14" x14ac:dyDescent="0.2">
      <c r="A273" s="204" t="s">
        <v>639</v>
      </c>
      <c r="B273" s="1">
        <v>46030</v>
      </c>
      <c r="C273" s="204" t="s">
        <v>261</v>
      </c>
      <c r="D273" s="204" t="s">
        <v>10</v>
      </c>
      <c r="E273" s="204" t="s">
        <v>126</v>
      </c>
      <c r="F273" s="204" t="s">
        <v>183</v>
      </c>
      <c r="G273" s="204" t="s">
        <v>24</v>
      </c>
      <c r="H273" s="204" t="s">
        <v>185</v>
      </c>
      <c r="I273" s="204" t="s">
        <v>15</v>
      </c>
      <c r="J273" t="s">
        <v>1293</v>
      </c>
      <c r="K273" t="s">
        <v>729</v>
      </c>
      <c r="L273" t="s">
        <v>730</v>
      </c>
      <c r="M273" s="12">
        <v>2026</v>
      </c>
      <c r="N273" t="s">
        <v>729</v>
      </c>
    </row>
    <row r="274" spans="1:14" x14ac:dyDescent="0.2">
      <c r="A274" s="204" t="s">
        <v>569</v>
      </c>
      <c r="B274" s="1">
        <v>46030</v>
      </c>
      <c r="C274" s="204" t="s">
        <v>78</v>
      </c>
      <c r="D274" s="204" t="s">
        <v>10</v>
      </c>
      <c r="E274" s="204" t="s">
        <v>109</v>
      </c>
      <c r="F274" s="204" t="s">
        <v>110</v>
      </c>
      <c r="G274" s="204" t="s">
        <v>24</v>
      </c>
      <c r="H274" s="204" t="s">
        <v>118</v>
      </c>
      <c r="I274" s="204" t="s">
        <v>15</v>
      </c>
      <c r="J274" t="s">
        <v>1293</v>
      </c>
      <c r="K274" t="s">
        <v>729</v>
      </c>
      <c r="L274" t="s">
        <v>730</v>
      </c>
      <c r="M274" s="12">
        <v>2026</v>
      </c>
      <c r="N274" t="s">
        <v>729</v>
      </c>
    </row>
    <row r="275" spans="1:14" x14ac:dyDescent="0.2">
      <c r="A275" s="204" t="s">
        <v>640</v>
      </c>
      <c r="B275" s="1">
        <v>46030</v>
      </c>
      <c r="C275" s="204" t="s">
        <v>261</v>
      </c>
      <c r="D275" s="204" t="s">
        <v>10</v>
      </c>
      <c r="E275" s="204" t="s">
        <v>126</v>
      </c>
      <c r="F275" s="204" t="s">
        <v>641</v>
      </c>
      <c r="G275" s="204" t="s">
        <v>58</v>
      </c>
      <c r="H275" s="204" t="s">
        <v>405</v>
      </c>
      <c r="I275" s="204" t="s">
        <v>76</v>
      </c>
      <c r="J275" t="s">
        <v>1293</v>
      </c>
      <c r="K275" t="s">
        <v>729</v>
      </c>
      <c r="L275" t="s">
        <v>731</v>
      </c>
      <c r="M275" s="12">
        <v>2026</v>
      </c>
      <c r="N275" t="s">
        <v>729</v>
      </c>
    </row>
    <row r="276" spans="1:14" x14ac:dyDescent="0.2">
      <c r="A276" s="204" t="s">
        <v>637</v>
      </c>
      <c r="B276" s="1">
        <v>46029</v>
      </c>
      <c r="C276" s="204" t="s">
        <v>55</v>
      </c>
      <c r="D276" s="204" t="s">
        <v>17</v>
      </c>
      <c r="E276" s="204" t="s">
        <v>56</v>
      </c>
      <c r="F276" s="204" t="s">
        <v>638</v>
      </c>
      <c r="G276" s="204" t="s">
        <v>24</v>
      </c>
      <c r="H276" s="204" t="s">
        <v>142</v>
      </c>
      <c r="I276" s="204" t="s">
        <v>15</v>
      </c>
      <c r="J276" t="s">
        <v>1293</v>
      </c>
      <c r="K276" t="s">
        <v>729</v>
      </c>
      <c r="L276" t="s">
        <v>730</v>
      </c>
      <c r="M276" s="12">
        <v>2026</v>
      </c>
      <c r="N276" t="s">
        <v>729</v>
      </c>
    </row>
    <row r="277" spans="1:14" x14ac:dyDescent="0.2">
      <c r="A277" s="204" t="s">
        <v>619</v>
      </c>
      <c r="B277" s="1">
        <v>46022</v>
      </c>
      <c r="C277" s="204" t="s">
        <v>620</v>
      </c>
      <c r="D277" s="204" t="s">
        <v>17</v>
      </c>
      <c r="E277" s="204" t="s">
        <v>96</v>
      </c>
      <c r="F277" s="204" t="s">
        <v>62</v>
      </c>
      <c r="G277" s="204" t="s">
        <v>271</v>
      </c>
      <c r="H277" s="204" t="s">
        <v>24</v>
      </c>
      <c r="I277" s="204" t="s">
        <v>278</v>
      </c>
      <c r="K277" t="s">
        <v>742</v>
      </c>
      <c r="L277" t="s">
        <v>730</v>
      </c>
      <c r="M277" s="12">
        <v>2025</v>
      </c>
      <c r="N277" t="s">
        <v>742</v>
      </c>
    </row>
    <row r="278" spans="1:14" x14ac:dyDescent="0.2">
      <c r="A278" s="204" t="s">
        <v>631</v>
      </c>
      <c r="B278" s="1">
        <v>46022</v>
      </c>
      <c r="C278" s="204" t="s">
        <v>620</v>
      </c>
      <c r="D278" s="204" t="s">
        <v>17</v>
      </c>
      <c r="E278" s="204" t="s">
        <v>96</v>
      </c>
      <c r="F278" s="204" t="s">
        <v>632</v>
      </c>
      <c r="G278" s="204" t="s">
        <v>58</v>
      </c>
      <c r="H278" s="204" t="s">
        <v>633</v>
      </c>
      <c r="I278" s="204" t="s">
        <v>15</v>
      </c>
      <c r="K278" t="s">
        <v>742</v>
      </c>
      <c r="L278" t="s">
        <v>730</v>
      </c>
      <c r="M278" s="12">
        <v>2025</v>
      </c>
      <c r="N278" t="s">
        <v>742</v>
      </c>
    </row>
    <row r="279" spans="1:14" x14ac:dyDescent="0.2">
      <c r="A279" s="204" t="s">
        <v>619</v>
      </c>
      <c r="B279" s="1">
        <v>46022</v>
      </c>
      <c r="C279" s="204" t="s">
        <v>620</v>
      </c>
      <c r="D279" s="204" t="s">
        <v>17</v>
      </c>
      <c r="E279" s="204" t="s">
        <v>96</v>
      </c>
      <c r="F279" s="204" t="s">
        <v>62</v>
      </c>
      <c r="G279" s="204" t="s">
        <v>271</v>
      </c>
      <c r="H279" s="204" t="s">
        <v>24</v>
      </c>
      <c r="I279" s="204" t="s">
        <v>15</v>
      </c>
      <c r="J279" t="s">
        <v>1293</v>
      </c>
      <c r="K279" t="s">
        <v>742</v>
      </c>
      <c r="L279" t="s">
        <v>730</v>
      </c>
      <c r="M279" s="12">
        <v>2025</v>
      </c>
      <c r="N279" t="s">
        <v>742</v>
      </c>
    </row>
    <row r="280" spans="1:14" x14ac:dyDescent="0.2">
      <c r="A280" s="204" t="s">
        <v>456</v>
      </c>
      <c r="B280" s="1">
        <v>46021</v>
      </c>
      <c r="C280" s="204" t="s">
        <v>40</v>
      </c>
      <c r="D280" s="204" t="s">
        <v>10</v>
      </c>
      <c r="E280" s="204" t="s">
        <v>41</v>
      </c>
      <c r="F280" s="204" t="s">
        <v>457</v>
      </c>
      <c r="G280" s="204" t="s">
        <v>69</v>
      </c>
      <c r="H280" s="204" t="s">
        <v>465</v>
      </c>
      <c r="I280" s="204" t="s">
        <v>15</v>
      </c>
      <c r="K280" t="s">
        <v>742</v>
      </c>
      <c r="L280" t="s">
        <v>730</v>
      </c>
      <c r="M280" s="12">
        <v>2025</v>
      </c>
      <c r="N280" t="s">
        <v>742</v>
      </c>
    </row>
    <row r="281" spans="1:14" x14ac:dyDescent="0.2">
      <c r="A281" s="204" t="s">
        <v>546</v>
      </c>
      <c r="B281" s="1">
        <v>46021</v>
      </c>
      <c r="C281" s="204" t="s">
        <v>547</v>
      </c>
      <c r="D281" s="204" t="s">
        <v>10</v>
      </c>
      <c r="E281" s="204" t="s">
        <v>343</v>
      </c>
      <c r="F281" s="204" t="s">
        <v>627</v>
      </c>
      <c r="G281" s="204" t="s">
        <v>97</v>
      </c>
      <c r="H281" s="204" t="s">
        <v>158</v>
      </c>
      <c r="I281" s="204" t="s">
        <v>15</v>
      </c>
      <c r="K281" t="s">
        <v>742</v>
      </c>
      <c r="L281" t="s">
        <v>730</v>
      </c>
      <c r="M281" s="12">
        <v>2025</v>
      </c>
      <c r="N281" t="s">
        <v>742</v>
      </c>
    </row>
    <row r="282" spans="1:14" x14ac:dyDescent="0.2">
      <c r="A282" s="204" t="s">
        <v>545</v>
      </c>
      <c r="B282" s="1">
        <v>46020</v>
      </c>
      <c r="C282" s="204" t="s">
        <v>261</v>
      </c>
      <c r="D282" s="204" t="s">
        <v>10</v>
      </c>
      <c r="E282" s="204" t="s">
        <v>126</v>
      </c>
      <c r="F282" s="204" t="s">
        <v>223</v>
      </c>
      <c r="G282" s="204" t="s">
        <v>24</v>
      </c>
      <c r="H282" s="204" t="s">
        <v>618</v>
      </c>
      <c r="I282" s="204" t="s">
        <v>15</v>
      </c>
      <c r="K282" t="s">
        <v>742</v>
      </c>
      <c r="L282" t="s">
        <v>730</v>
      </c>
      <c r="M282" s="12">
        <v>2025</v>
      </c>
      <c r="N282" t="s">
        <v>742</v>
      </c>
    </row>
    <row r="283" spans="1:14" x14ac:dyDescent="0.2">
      <c r="A283" s="204" t="s">
        <v>623</v>
      </c>
      <c r="B283" s="1">
        <v>46020</v>
      </c>
      <c r="C283" s="204" t="s">
        <v>9</v>
      </c>
      <c r="D283" s="204" t="s">
        <v>10</v>
      </c>
      <c r="E283" s="204" t="s">
        <v>11</v>
      </c>
      <c r="F283" s="204" t="s">
        <v>624</v>
      </c>
      <c r="G283" s="204" t="s">
        <v>287</v>
      </c>
      <c r="H283" s="204" t="s">
        <v>455</v>
      </c>
      <c r="I283" s="204" t="s">
        <v>15</v>
      </c>
      <c r="K283" t="s">
        <v>742</v>
      </c>
      <c r="L283" t="s">
        <v>730</v>
      </c>
      <c r="M283" s="12">
        <v>2025</v>
      </c>
      <c r="N283" t="s">
        <v>742</v>
      </c>
    </row>
    <row r="284" spans="1:14" x14ac:dyDescent="0.2">
      <c r="A284" s="204" t="s">
        <v>421</v>
      </c>
      <c r="B284" s="1">
        <v>46020</v>
      </c>
      <c r="C284" s="204" t="s">
        <v>261</v>
      </c>
      <c r="D284" s="204" t="s">
        <v>10</v>
      </c>
      <c r="E284" s="204" t="s">
        <v>126</v>
      </c>
      <c r="F284" s="204" t="s">
        <v>572</v>
      </c>
      <c r="G284" s="204" t="s">
        <v>69</v>
      </c>
      <c r="H284" s="204" t="s">
        <v>513</v>
      </c>
      <c r="I284" s="204" t="s">
        <v>15</v>
      </c>
      <c r="K284" t="s">
        <v>742</v>
      </c>
      <c r="L284" t="s">
        <v>730</v>
      </c>
      <c r="M284" s="12">
        <v>2025</v>
      </c>
      <c r="N284" t="s">
        <v>742</v>
      </c>
    </row>
    <row r="285" spans="1:14" x14ac:dyDescent="0.2">
      <c r="A285" s="204" t="s">
        <v>546</v>
      </c>
      <c r="B285" s="1">
        <v>46015</v>
      </c>
      <c r="C285" s="204" t="s">
        <v>547</v>
      </c>
      <c r="D285" s="204" t="s">
        <v>10</v>
      </c>
      <c r="E285" s="204" t="s">
        <v>343</v>
      </c>
      <c r="F285" s="204" t="s">
        <v>344</v>
      </c>
      <c r="G285" s="204" t="s">
        <v>621</v>
      </c>
      <c r="H285" s="204" t="s">
        <v>622</v>
      </c>
      <c r="I285" s="204" t="s">
        <v>15</v>
      </c>
      <c r="K285" t="s">
        <v>742</v>
      </c>
      <c r="L285" t="s">
        <v>730</v>
      </c>
      <c r="M285" s="12">
        <v>2025</v>
      </c>
      <c r="N285" t="s">
        <v>742</v>
      </c>
    </row>
    <row r="286" spans="1:14" x14ac:dyDescent="0.2">
      <c r="A286" s="204" t="s">
        <v>612</v>
      </c>
      <c r="B286" s="1">
        <v>46014</v>
      </c>
      <c r="C286" s="204" t="s">
        <v>264</v>
      </c>
      <c r="D286" s="204" t="s">
        <v>17</v>
      </c>
      <c r="E286" s="204" t="s">
        <v>72</v>
      </c>
      <c r="F286" s="204" t="s">
        <v>313</v>
      </c>
      <c r="G286" s="204" t="s">
        <v>24</v>
      </c>
      <c r="H286" s="204" t="s">
        <v>156</v>
      </c>
      <c r="I286" s="204" t="s">
        <v>15</v>
      </c>
      <c r="K286" t="s">
        <v>742</v>
      </c>
      <c r="L286" t="s">
        <v>730</v>
      </c>
      <c r="M286" s="12">
        <v>2025</v>
      </c>
      <c r="N286" t="s">
        <v>742</v>
      </c>
    </row>
    <row r="287" spans="1:14" x14ac:dyDescent="0.2">
      <c r="A287" s="204" t="s">
        <v>615</v>
      </c>
      <c r="B287" s="1">
        <v>46014</v>
      </c>
      <c r="C287" s="204" t="s">
        <v>9</v>
      </c>
      <c r="D287" s="204" t="s">
        <v>10</v>
      </c>
      <c r="E287" s="204" t="s">
        <v>616</v>
      </c>
      <c r="F287" s="204" t="s">
        <v>143</v>
      </c>
      <c r="G287" s="204" t="s">
        <v>24</v>
      </c>
      <c r="H287" s="204" t="s">
        <v>617</v>
      </c>
      <c r="I287" s="204" t="s">
        <v>15</v>
      </c>
      <c r="K287" t="s">
        <v>742</v>
      </c>
      <c r="L287" t="s">
        <v>730</v>
      </c>
      <c r="M287" s="12">
        <v>2025</v>
      </c>
      <c r="N287" t="s">
        <v>742</v>
      </c>
    </row>
    <row r="288" spans="1:14" x14ac:dyDescent="0.2">
      <c r="A288" s="204" t="s">
        <v>549</v>
      </c>
      <c r="B288" s="1">
        <v>46013</v>
      </c>
      <c r="C288" s="204" t="s">
        <v>620</v>
      </c>
      <c r="D288" s="204" t="s">
        <v>17</v>
      </c>
      <c r="E288" s="204" t="s">
        <v>96</v>
      </c>
      <c r="F288" s="204" t="s">
        <v>429</v>
      </c>
      <c r="G288" s="204" t="s">
        <v>184</v>
      </c>
      <c r="H288" s="204" t="s">
        <v>142</v>
      </c>
      <c r="I288" s="204" t="s">
        <v>15</v>
      </c>
      <c r="K288" t="s">
        <v>742</v>
      </c>
      <c r="L288" t="s">
        <v>730</v>
      </c>
      <c r="M288" s="12">
        <v>2025</v>
      </c>
      <c r="N288" t="s">
        <v>742</v>
      </c>
    </row>
    <row r="289" spans="1:14" x14ac:dyDescent="0.2">
      <c r="A289" s="204" t="s">
        <v>99</v>
      </c>
      <c r="B289" s="1">
        <v>46010</v>
      </c>
      <c r="C289" s="204" t="s">
        <v>71</v>
      </c>
      <c r="D289" s="204" t="s">
        <v>17</v>
      </c>
      <c r="E289" s="204" t="s">
        <v>18</v>
      </c>
      <c r="F289" s="204" t="s">
        <v>100</v>
      </c>
      <c r="G289" s="204" t="s">
        <v>24</v>
      </c>
      <c r="H289" s="204" t="s">
        <v>87</v>
      </c>
      <c r="I289" s="204" t="s">
        <v>15</v>
      </c>
      <c r="K289" t="s">
        <v>742</v>
      </c>
      <c r="L289" t="s">
        <v>730</v>
      </c>
      <c r="M289" s="12">
        <v>2025</v>
      </c>
      <c r="N289" t="s">
        <v>742</v>
      </c>
    </row>
    <row r="290" spans="1:14" x14ac:dyDescent="0.2">
      <c r="A290" s="204" t="s">
        <v>614</v>
      </c>
      <c r="B290" s="1">
        <v>46009</v>
      </c>
      <c r="C290" s="204" t="s">
        <v>657</v>
      </c>
      <c r="D290" s="204" t="s">
        <v>17</v>
      </c>
      <c r="E290" s="204" t="s">
        <v>114</v>
      </c>
      <c r="F290" s="204" t="s">
        <v>248</v>
      </c>
      <c r="G290" s="204" t="s">
        <v>184</v>
      </c>
      <c r="H290" s="204" t="s">
        <v>185</v>
      </c>
      <c r="I290" s="204" t="s">
        <v>15</v>
      </c>
      <c r="K290" t="s">
        <v>742</v>
      </c>
      <c r="L290" t="s">
        <v>730</v>
      </c>
      <c r="M290" s="12">
        <v>2025</v>
      </c>
      <c r="N290" t="s">
        <v>742</v>
      </c>
    </row>
    <row r="291" spans="1:14" x14ac:dyDescent="0.2">
      <c r="A291" s="204" t="s">
        <v>589</v>
      </c>
      <c r="B291" s="1">
        <v>46007</v>
      </c>
      <c r="C291" s="204" t="s">
        <v>9</v>
      </c>
      <c r="D291" s="204" t="s">
        <v>10</v>
      </c>
      <c r="E291" s="204" t="s">
        <v>11</v>
      </c>
      <c r="F291" s="204" t="s">
        <v>590</v>
      </c>
      <c r="G291" s="204" t="s">
        <v>24</v>
      </c>
      <c r="H291" s="204" t="s">
        <v>591</v>
      </c>
      <c r="I291" s="204" t="s">
        <v>15</v>
      </c>
      <c r="K291" t="s">
        <v>742</v>
      </c>
      <c r="L291" t="s">
        <v>730</v>
      </c>
      <c r="M291" s="12">
        <v>2025</v>
      </c>
      <c r="N291" t="s">
        <v>742</v>
      </c>
    </row>
    <row r="292" spans="1:14" x14ac:dyDescent="0.2">
      <c r="A292" s="204" t="s">
        <v>595</v>
      </c>
      <c r="B292" s="1">
        <v>46007</v>
      </c>
      <c r="C292" s="204" t="s">
        <v>261</v>
      </c>
      <c r="D292" s="204" t="s">
        <v>10</v>
      </c>
      <c r="E292" s="204" t="s">
        <v>126</v>
      </c>
      <c r="F292" s="204" t="s">
        <v>223</v>
      </c>
      <c r="G292" s="204" t="s">
        <v>24</v>
      </c>
      <c r="H292" s="204" t="s">
        <v>596</v>
      </c>
      <c r="I292" s="204" t="s">
        <v>15</v>
      </c>
      <c r="K292" t="s">
        <v>742</v>
      </c>
      <c r="L292" t="s">
        <v>730</v>
      </c>
      <c r="M292" s="12">
        <v>2025</v>
      </c>
      <c r="N292" t="s">
        <v>742</v>
      </c>
    </row>
    <row r="293" spans="1:14" x14ac:dyDescent="0.2">
      <c r="A293" s="204" t="s">
        <v>613</v>
      </c>
      <c r="B293" s="1">
        <v>46007</v>
      </c>
      <c r="C293" s="204" t="s">
        <v>264</v>
      </c>
      <c r="D293" s="204" t="s">
        <v>17</v>
      </c>
      <c r="E293" s="204" t="s">
        <v>72</v>
      </c>
      <c r="F293" s="204" t="s">
        <v>313</v>
      </c>
      <c r="G293" s="204" t="s">
        <v>69</v>
      </c>
      <c r="H293" s="204" t="s">
        <v>465</v>
      </c>
      <c r="I293" s="204" t="s">
        <v>15</v>
      </c>
      <c r="K293" t="s">
        <v>742</v>
      </c>
      <c r="L293" t="s">
        <v>730</v>
      </c>
      <c r="M293" s="12">
        <v>2025</v>
      </c>
      <c r="N293" t="s">
        <v>742</v>
      </c>
    </row>
    <row r="294" spans="1:14" x14ac:dyDescent="0.2">
      <c r="A294" s="204" t="s">
        <v>611</v>
      </c>
      <c r="B294" s="1">
        <v>46006</v>
      </c>
      <c r="C294" s="204" t="s">
        <v>261</v>
      </c>
      <c r="D294" s="204" t="s">
        <v>10</v>
      </c>
      <c r="E294" s="204" t="s">
        <v>126</v>
      </c>
      <c r="F294" s="204" t="s">
        <v>409</v>
      </c>
      <c r="G294" s="204" t="s">
        <v>69</v>
      </c>
      <c r="H294" s="204" t="s">
        <v>609</v>
      </c>
      <c r="I294" s="204" t="s">
        <v>15</v>
      </c>
      <c r="K294" t="s">
        <v>742</v>
      </c>
      <c r="L294" t="s">
        <v>730</v>
      </c>
      <c r="M294" s="12">
        <v>2025</v>
      </c>
      <c r="N294" t="s">
        <v>742</v>
      </c>
    </row>
    <row r="295" spans="1:14" x14ac:dyDescent="0.2">
      <c r="A295" s="204" t="s">
        <v>456</v>
      </c>
      <c r="B295" s="1">
        <v>46003</v>
      </c>
      <c r="C295" s="204" t="s">
        <v>40</v>
      </c>
      <c r="D295" s="204" t="s">
        <v>10</v>
      </c>
      <c r="E295" s="204" t="s">
        <v>41</v>
      </c>
      <c r="F295" s="204" t="s">
        <v>457</v>
      </c>
      <c r="G295" s="204" t="s">
        <v>28</v>
      </c>
      <c r="H295" s="204" t="s">
        <v>66</v>
      </c>
      <c r="I295" s="204" t="s">
        <v>15</v>
      </c>
      <c r="K295" t="s">
        <v>742</v>
      </c>
      <c r="L295" t="s">
        <v>730</v>
      </c>
      <c r="M295" s="12">
        <v>2025</v>
      </c>
      <c r="N295" t="s">
        <v>742</v>
      </c>
    </row>
    <row r="296" spans="1:14" x14ac:dyDescent="0.2">
      <c r="A296" s="204" t="s">
        <v>602</v>
      </c>
      <c r="B296" s="1">
        <v>46003</v>
      </c>
      <c r="C296" s="204" t="s">
        <v>1326</v>
      </c>
      <c r="D296" s="204" t="s">
        <v>17</v>
      </c>
      <c r="E296" s="204" t="s">
        <v>171</v>
      </c>
      <c r="F296" s="204" t="s">
        <v>603</v>
      </c>
      <c r="G296" s="204" t="s">
        <v>372</v>
      </c>
      <c r="H296" s="204" t="s">
        <v>288</v>
      </c>
      <c r="I296" s="204" t="s">
        <v>76</v>
      </c>
      <c r="K296" t="s">
        <v>742</v>
      </c>
      <c r="L296" t="s">
        <v>731</v>
      </c>
      <c r="M296" s="12">
        <v>2025</v>
      </c>
      <c r="N296" t="s">
        <v>742</v>
      </c>
    </row>
    <row r="297" spans="1:14" x14ac:dyDescent="0.2">
      <c r="A297" s="204" t="s">
        <v>604</v>
      </c>
      <c r="B297" s="1">
        <v>46003</v>
      </c>
      <c r="C297" s="204" t="s">
        <v>40</v>
      </c>
      <c r="D297" s="204" t="s">
        <v>10</v>
      </c>
      <c r="E297" s="204" t="s">
        <v>41</v>
      </c>
      <c r="F297" s="204" t="s">
        <v>274</v>
      </c>
      <c r="G297" s="204" t="s">
        <v>24</v>
      </c>
      <c r="H297" s="204" t="s">
        <v>605</v>
      </c>
      <c r="I297" s="204" t="s">
        <v>278</v>
      </c>
      <c r="K297" t="s">
        <v>742</v>
      </c>
      <c r="L297" t="s">
        <v>730</v>
      </c>
      <c r="M297" s="12">
        <v>2025</v>
      </c>
      <c r="N297" t="s">
        <v>742</v>
      </c>
    </row>
    <row r="298" spans="1:14" x14ac:dyDescent="0.2">
      <c r="A298" s="204" t="s">
        <v>606</v>
      </c>
      <c r="B298" s="1">
        <v>46003</v>
      </c>
      <c r="C298" s="204" t="s">
        <v>620</v>
      </c>
      <c r="D298" s="204" t="s">
        <v>17</v>
      </c>
      <c r="E298" s="204" t="s">
        <v>62</v>
      </c>
      <c r="F298" s="204" t="s">
        <v>607</v>
      </c>
      <c r="G298" s="204" t="s">
        <v>608</v>
      </c>
      <c r="H298" s="204" t="s">
        <v>609</v>
      </c>
      <c r="I298" s="204" t="s">
        <v>15</v>
      </c>
      <c r="K298" t="s">
        <v>742</v>
      </c>
      <c r="L298" t="s">
        <v>730</v>
      </c>
      <c r="M298" s="12">
        <v>2025</v>
      </c>
      <c r="N298" t="s">
        <v>742</v>
      </c>
    </row>
    <row r="299" spans="1:14" x14ac:dyDescent="0.2">
      <c r="A299" s="204" t="s">
        <v>119</v>
      </c>
      <c r="B299" s="1">
        <v>46003</v>
      </c>
      <c r="C299" s="204" t="s">
        <v>1326</v>
      </c>
      <c r="D299" s="204" t="s">
        <v>17</v>
      </c>
      <c r="E299" s="204" t="s">
        <v>171</v>
      </c>
      <c r="F299" s="204" t="s">
        <v>172</v>
      </c>
      <c r="G299" s="204" t="s">
        <v>372</v>
      </c>
      <c r="H299" s="204" t="s">
        <v>610</v>
      </c>
      <c r="I299" s="204" t="s">
        <v>15</v>
      </c>
      <c r="K299" t="s">
        <v>742</v>
      </c>
      <c r="L299" t="s">
        <v>730</v>
      </c>
      <c r="M299" s="12">
        <v>2025</v>
      </c>
      <c r="N299" t="s">
        <v>742</v>
      </c>
    </row>
    <row r="300" spans="1:14" x14ac:dyDescent="0.2">
      <c r="A300" s="204" t="s">
        <v>492</v>
      </c>
      <c r="B300" s="1">
        <v>46002</v>
      </c>
      <c r="C300" s="204" t="s">
        <v>9</v>
      </c>
      <c r="D300" s="204" t="s">
        <v>10</v>
      </c>
      <c r="E300" s="204" t="s">
        <v>11</v>
      </c>
      <c r="F300" s="204" t="s">
        <v>424</v>
      </c>
      <c r="G300" s="204" t="s">
        <v>69</v>
      </c>
      <c r="H300" s="204" t="s">
        <v>255</v>
      </c>
      <c r="I300" s="204" t="s">
        <v>15</v>
      </c>
      <c r="K300" t="s">
        <v>742</v>
      </c>
      <c r="L300" t="s">
        <v>730</v>
      </c>
      <c r="M300" s="12">
        <v>2025</v>
      </c>
      <c r="N300" t="s">
        <v>742</v>
      </c>
    </row>
    <row r="301" spans="1:14" x14ac:dyDescent="0.2">
      <c r="A301" s="204" t="s">
        <v>599</v>
      </c>
      <c r="B301" s="1">
        <v>46001</v>
      </c>
      <c r="C301" s="204" t="s">
        <v>55</v>
      </c>
      <c r="D301" s="204" t="s">
        <v>17</v>
      </c>
      <c r="E301" s="204" t="s">
        <v>56</v>
      </c>
      <c r="F301" s="204" t="s">
        <v>600</v>
      </c>
      <c r="G301" s="204" t="s">
        <v>24</v>
      </c>
      <c r="H301" s="204" t="s">
        <v>601</v>
      </c>
      <c r="I301" s="204" t="s">
        <v>278</v>
      </c>
      <c r="K301" t="s">
        <v>742</v>
      </c>
      <c r="L301" t="s">
        <v>730</v>
      </c>
      <c r="M301" s="12">
        <v>2025</v>
      </c>
      <c r="N301" t="s">
        <v>742</v>
      </c>
    </row>
    <row r="302" spans="1:14" x14ac:dyDescent="0.2">
      <c r="A302" s="204" t="s">
        <v>9</v>
      </c>
      <c r="B302" s="1">
        <v>46000</v>
      </c>
      <c r="C302" s="204" t="s">
        <v>416</v>
      </c>
      <c r="D302" s="204" t="s">
        <v>10</v>
      </c>
      <c r="E302" s="204" t="s">
        <v>11</v>
      </c>
      <c r="F302" s="204" t="s">
        <v>597</v>
      </c>
      <c r="G302" s="204" t="s">
        <v>463</v>
      </c>
      <c r="H302" s="204" t="s">
        <v>598</v>
      </c>
      <c r="I302" s="204" t="s">
        <v>15</v>
      </c>
      <c r="K302" t="s">
        <v>742</v>
      </c>
      <c r="L302" t="s">
        <v>730</v>
      </c>
      <c r="M302" s="12">
        <v>2025</v>
      </c>
      <c r="N302" t="s">
        <v>742</v>
      </c>
    </row>
    <row r="303" spans="1:14" x14ac:dyDescent="0.2">
      <c r="A303" s="204" t="s">
        <v>509</v>
      </c>
      <c r="B303" s="1">
        <v>45999</v>
      </c>
      <c r="C303" s="204" t="s">
        <v>264</v>
      </c>
      <c r="D303" s="204" t="s">
        <v>17</v>
      </c>
      <c r="E303" s="204" t="s">
        <v>72</v>
      </c>
      <c r="F303" s="204" t="s">
        <v>313</v>
      </c>
      <c r="G303" s="204" t="s">
        <v>24</v>
      </c>
      <c r="H303" s="204" t="s">
        <v>573</v>
      </c>
      <c r="I303" s="204" t="s">
        <v>15</v>
      </c>
      <c r="K303" t="s">
        <v>742</v>
      </c>
      <c r="L303" t="s">
        <v>730</v>
      </c>
      <c r="M303" s="12">
        <v>2025</v>
      </c>
      <c r="N303" t="s">
        <v>742</v>
      </c>
    </row>
    <row r="304" spans="1:14" x14ac:dyDescent="0.2">
      <c r="A304" s="204" t="s">
        <v>239</v>
      </c>
      <c r="B304" s="1">
        <v>45996</v>
      </c>
      <c r="C304" s="204" t="s">
        <v>475</v>
      </c>
      <c r="D304" s="204" t="s">
        <v>10</v>
      </c>
      <c r="E304" s="204" t="s">
        <v>155</v>
      </c>
      <c r="F304" s="204" t="s">
        <v>594</v>
      </c>
      <c r="G304" s="204" t="s">
        <v>97</v>
      </c>
      <c r="H304" s="204" t="s">
        <v>158</v>
      </c>
      <c r="I304" s="204" t="s">
        <v>15</v>
      </c>
      <c r="K304" t="s">
        <v>742</v>
      </c>
      <c r="L304" t="s">
        <v>730</v>
      </c>
      <c r="M304" s="12">
        <v>2025</v>
      </c>
      <c r="N304" t="s">
        <v>742</v>
      </c>
    </row>
    <row r="305" spans="1:14" x14ac:dyDescent="0.2">
      <c r="A305" s="204" t="s">
        <v>593</v>
      </c>
      <c r="B305" s="1">
        <v>45995</v>
      </c>
      <c r="C305" s="204" t="s">
        <v>55</v>
      </c>
      <c r="D305" s="204" t="s">
        <v>17</v>
      </c>
      <c r="E305" s="204" t="s">
        <v>56</v>
      </c>
      <c r="F305" s="204" t="s">
        <v>143</v>
      </c>
      <c r="G305" s="204" t="s">
        <v>97</v>
      </c>
      <c r="H305" s="204" t="s">
        <v>158</v>
      </c>
      <c r="I305" s="204" t="s">
        <v>15</v>
      </c>
      <c r="K305" t="s">
        <v>742</v>
      </c>
      <c r="L305" t="s">
        <v>730</v>
      </c>
      <c r="M305" s="12">
        <v>2025</v>
      </c>
      <c r="N305" t="s">
        <v>742</v>
      </c>
    </row>
    <row r="306" spans="1:14" x14ac:dyDescent="0.2">
      <c r="A306" s="204" t="s">
        <v>415</v>
      </c>
      <c r="B306" s="1">
        <v>45994</v>
      </c>
      <c r="C306" s="204" t="s">
        <v>261</v>
      </c>
      <c r="D306" s="204" t="s">
        <v>10</v>
      </c>
      <c r="E306" s="204" t="s">
        <v>126</v>
      </c>
      <c r="F306" s="204" t="s">
        <v>138</v>
      </c>
      <c r="G306" s="204" t="s">
        <v>24</v>
      </c>
      <c r="H306" s="204" t="s">
        <v>255</v>
      </c>
      <c r="I306" s="204" t="s">
        <v>15</v>
      </c>
      <c r="K306" t="s">
        <v>742</v>
      </c>
      <c r="L306" t="s">
        <v>730</v>
      </c>
      <c r="M306" s="12">
        <v>2025</v>
      </c>
      <c r="N306" t="s">
        <v>742</v>
      </c>
    </row>
    <row r="307" spans="1:14" x14ac:dyDescent="0.2">
      <c r="A307" s="204" t="s">
        <v>347</v>
      </c>
      <c r="B307" s="1">
        <v>45994</v>
      </c>
      <c r="C307" s="204" t="s">
        <v>620</v>
      </c>
      <c r="D307" s="204" t="s">
        <v>17</v>
      </c>
      <c r="E307" s="204" t="s">
        <v>62</v>
      </c>
      <c r="F307" s="204" t="s">
        <v>160</v>
      </c>
      <c r="G307" s="204" t="s">
        <v>184</v>
      </c>
      <c r="H307" s="204" t="s">
        <v>592</v>
      </c>
      <c r="I307" s="204" t="s">
        <v>15</v>
      </c>
      <c r="K307" t="s">
        <v>742</v>
      </c>
      <c r="L307" t="s">
        <v>730</v>
      </c>
      <c r="M307" s="12">
        <v>2025</v>
      </c>
      <c r="N307" t="s">
        <v>742</v>
      </c>
    </row>
    <row r="308" spans="1:14" x14ac:dyDescent="0.2">
      <c r="A308" s="204" t="s">
        <v>587</v>
      </c>
      <c r="B308" s="1">
        <v>45989</v>
      </c>
      <c r="C308" s="204" t="s">
        <v>136</v>
      </c>
      <c r="D308" s="204" t="s">
        <v>10</v>
      </c>
      <c r="E308" s="204" t="s">
        <v>31</v>
      </c>
      <c r="F308" s="204" t="s">
        <v>588</v>
      </c>
      <c r="G308" s="204" t="s">
        <v>151</v>
      </c>
      <c r="H308" s="204" t="s">
        <v>156</v>
      </c>
      <c r="I308" s="204" t="s">
        <v>15</v>
      </c>
      <c r="K308" t="s">
        <v>741</v>
      </c>
      <c r="L308" t="s">
        <v>730</v>
      </c>
      <c r="M308" s="12">
        <v>2025</v>
      </c>
      <c r="N308" t="s">
        <v>741</v>
      </c>
    </row>
    <row r="309" spans="1:14" x14ac:dyDescent="0.2">
      <c r="A309" s="204" t="s">
        <v>581</v>
      </c>
      <c r="B309" s="1">
        <v>45987</v>
      </c>
      <c r="C309" s="204" t="s">
        <v>78</v>
      </c>
      <c r="D309" s="204" t="s">
        <v>10</v>
      </c>
      <c r="E309" s="204" t="s">
        <v>79</v>
      </c>
      <c r="F309" s="204" t="s">
        <v>582</v>
      </c>
      <c r="G309" s="204" t="s">
        <v>58</v>
      </c>
      <c r="H309" s="204" t="s">
        <v>75</v>
      </c>
      <c r="I309" s="204" t="s">
        <v>15</v>
      </c>
      <c r="K309" t="s">
        <v>741</v>
      </c>
      <c r="L309" t="s">
        <v>730</v>
      </c>
      <c r="M309" s="12">
        <v>2025</v>
      </c>
      <c r="N309" t="s">
        <v>741</v>
      </c>
    </row>
    <row r="310" spans="1:14" x14ac:dyDescent="0.2">
      <c r="A310" s="204" t="s">
        <v>552</v>
      </c>
      <c r="B310" s="1">
        <v>45987</v>
      </c>
      <c r="C310" s="204" t="s">
        <v>55</v>
      </c>
      <c r="D310" s="204" t="s">
        <v>17</v>
      </c>
      <c r="E310" s="204" t="s">
        <v>56</v>
      </c>
      <c r="F310" s="204" t="s">
        <v>583</v>
      </c>
      <c r="G310" s="204" t="s">
        <v>584</v>
      </c>
      <c r="H310" s="204" t="s">
        <v>585</v>
      </c>
      <c r="I310" s="204" t="s">
        <v>15</v>
      </c>
      <c r="K310" t="s">
        <v>741</v>
      </c>
      <c r="L310" t="s">
        <v>730</v>
      </c>
      <c r="M310" s="12">
        <v>2025</v>
      </c>
      <c r="N310" t="s">
        <v>741</v>
      </c>
    </row>
    <row r="311" spans="1:14" x14ac:dyDescent="0.2">
      <c r="A311" s="204" t="s">
        <v>586</v>
      </c>
      <c r="B311" s="1">
        <v>45987</v>
      </c>
      <c r="C311" s="204" t="s">
        <v>657</v>
      </c>
      <c r="D311" s="204" t="s">
        <v>17</v>
      </c>
      <c r="E311" s="204" t="s">
        <v>114</v>
      </c>
      <c r="F311" s="204" t="s">
        <v>238</v>
      </c>
      <c r="G311" s="204" t="s">
        <v>184</v>
      </c>
      <c r="H311" s="204" t="s">
        <v>255</v>
      </c>
      <c r="I311" s="204" t="s">
        <v>15</v>
      </c>
      <c r="K311" t="s">
        <v>741</v>
      </c>
      <c r="L311" t="s">
        <v>730</v>
      </c>
      <c r="M311" s="12">
        <v>2025</v>
      </c>
      <c r="N311" t="s">
        <v>741</v>
      </c>
    </row>
    <row r="312" spans="1:14" x14ac:dyDescent="0.2">
      <c r="A312" s="204" t="s">
        <v>425</v>
      </c>
      <c r="B312" s="1">
        <v>45987</v>
      </c>
      <c r="C312" s="204" t="s">
        <v>264</v>
      </c>
      <c r="D312" s="204" t="s">
        <v>17</v>
      </c>
      <c r="E312" s="204" t="s">
        <v>72</v>
      </c>
      <c r="F312" s="204" t="s">
        <v>313</v>
      </c>
      <c r="G312" s="204" t="s">
        <v>97</v>
      </c>
      <c r="H312" s="204" t="s">
        <v>158</v>
      </c>
      <c r="I312" s="204" t="s">
        <v>15</v>
      </c>
      <c r="K312" t="s">
        <v>741</v>
      </c>
      <c r="L312" t="s">
        <v>730</v>
      </c>
      <c r="M312" s="12">
        <v>2025</v>
      </c>
      <c r="N312" t="s">
        <v>741</v>
      </c>
    </row>
    <row r="313" spans="1:14" x14ac:dyDescent="0.2">
      <c r="A313" s="204" t="s">
        <v>568</v>
      </c>
      <c r="B313" s="1">
        <v>45986</v>
      </c>
      <c r="C313" s="204" t="s">
        <v>181</v>
      </c>
      <c r="D313" s="204" t="s">
        <v>10</v>
      </c>
      <c r="E313" s="204" t="s">
        <v>182</v>
      </c>
      <c r="F313" s="204" t="s">
        <v>223</v>
      </c>
      <c r="G313" s="204" t="s">
        <v>24</v>
      </c>
      <c r="H313" s="204" t="s">
        <v>205</v>
      </c>
      <c r="I313" s="204" t="s">
        <v>15</v>
      </c>
      <c r="K313" t="s">
        <v>741</v>
      </c>
      <c r="L313" t="s">
        <v>730</v>
      </c>
      <c r="M313" s="12">
        <v>2025</v>
      </c>
      <c r="N313" t="s">
        <v>741</v>
      </c>
    </row>
    <row r="314" spans="1:14" x14ac:dyDescent="0.2">
      <c r="A314" s="204" t="s">
        <v>458</v>
      </c>
      <c r="B314" s="1">
        <v>45986</v>
      </c>
      <c r="C314" s="204" t="s">
        <v>264</v>
      </c>
      <c r="D314" s="204" t="s">
        <v>17</v>
      </c>
      <c r="E314" s="204" t="s">
        <v>72</v>
      </c>
      <c r="F314" s="204" t="s">
        <v>143</v>
      </c>
      <c r="G314" s="204" t="s">
        <v>184</v>
      </c>
      <c r="H314" s="204" t="s">
        <v>578</v>
      </c>
      <c r="I314" s="204" t="s">
        <v>15</v>
      </c>
      <c r="K314" t="s">
        <v>741</v>
      </c>
      <c r="L314" t="s">
        <v>730</v>
      </c>
      <c r="M314" s="12">
        <v>2025</v>
      </c>
      <c r="N314" t="s">
        <v>741</v>
      </c>
    </row>
    <row r="315" spans="1:14" x14ac:dyDescent="0.2">
      <c r="A315" s="204" t="s">
        <v>579</v>
      </c>
      <c r="B315" s="1">
        <v>45986</v>
      </c>
      <c r="C315" s="204" t="s">
        <v>620</v>
      </c>
      <c r="D315" s="204" t="s">
        <v>17</v>
      </c>
      <c r="E315" s="204" t="s">
        <v>96</v>
      </c>
      <c r="F315" s="204" t="s">
        <v>529</v>
      </c>
      <c r="G315" s="204" t="s">
        <v>184</v>
      </c>
      <c r="H315" s="204" t="s">
        <v>580</v>
      </c>
      <c r="I315" s="204" t="s">
        <v>15</v>
      </c>
      <c r="K315" t="s">
        <v>741</v>
      </c>
      <c r="L315" t="s">
        <v>730</v>
      </c>
      <c r="M315" s="12">
        <v>2025</v>
      </c>
      <c r="N315" t="s">
        <v>741</v>
      </c>
    </row>
    <row r="316" spans="1:14" x14ac:dyDescent="0.2">
      <c r="A316" s="204" t="s">
        <v>575</v>
      </c>
      <c r="B316" s="1">
        <v>45985</v>
      </c>
      <c r="C316" s="204" t="s">
        <v>576</v>
      </c>
      <c r="D316" s="204" t="s">
        <v>577</v>
      </c>
      <c r="E316" s="204" t="s">
        <v>333</v>
      </c>
      <c r="F316" s="204" t="s">
        <v>333</v>
      </c>
      <c r="G316" s="204" t="s">
        <v>348</v>
      </c>
      <c r="H316" s="204" t="s">
        <v>474</v>
      </c>
      <c r="I316" s="204" t="s">
        <v>15</v>
      </c>
      <c r="K316" t="s">
        <v>741</v>
      </c>
      <c r="L316" t="s">
        <v>730</v>
      </c>
      <c r="M316" s="12">
        <v>2025</v>
      </c>
      <c r="N316" t="s">
        <v>741</v>
      </c>
    </row>
    <row r="317" spans="1:14" x14ac:dyDescent="0.2">
      <c r="A317" s="204" t="s">
        <v>564</v>
      </c>
      <c r="B317" s="1">
        <v>45982</v>
      </c>
      <c r="C317" s="204" t="s">
        <v>40</v>
      </c>
      <c r="D317" s="204" t="s">
        <v>10</v>
      </c>
      <c r="E317" s="204" t="s">
        <v>41</v>
      </c>
      <c r="F317" s="204" t="s">
        <v>364</v>
      </c>
      <c r="G317" s="204" t="s">
        <v>24</v>
      </c>
      <c r="H317" s="204" t="s">
        <v>565</v>
      </c>
      <c r="I317" s="204" t="s">
        <v>15</v>
      </c>
      <c r="K317" t="s">
        <v>741</v>
      </c>
      <c r="L317" t="s">
        <v>730</v>
      </c>
      <c r="M317" s="12">
        <v>2025</v>
      </c>
      <c r="N317" t="s">
        <v>741</v>
      </c>
    </row>
    <row r="318" spans="1:14" x14ac:dyDescent="0.2">
      <c r="A318" s="204" t="s">
        <v>421</v>
      </c>
      <c r="B318" s="1">
        <v>45982</v>
      </c>
      <c r="C318" s="204" t="s">
        <v>261</v>
      </c>
      <c r="D318" s="204" t="s">
        <v>10</v>
      </c>
      <c r="E318" s="204" t="s">
        <v>126</v>
      </c>
      <c r="F318" s="204" t="s">
        <v>572</v>
      </c>
      <c r="G318" s="204" t="s">
        <v>348</v>
      </c>
      <c r="H318" s="204" t="s">
        <v>255</v>
      </c>
      <c r="I318" s="204" t="s">
        <v>15</v>
      </c>
      <c r="K318" t="s">
        <v>741</v>
      </c>
      <c r="L318" t="s">
        <v>730</v>
      </c>
      <c r="M318" s="12">
        <v>2025</v>
      </c>
      <c r="N318" t="s">
        <v>741</v>
      </c>
    </row>
    <row r="319" spans="1:14" x14ac:dyDescent="0.2">
      <c r="A319" s="204" t="s">
        <v>574</v>
      </c>
      <c r="B319" s="1">
        <v>45982</v>
      </c>
      <c r="C319" s="204" t="s">
        <v>40</v>
      </c>
      <c r="D319" s="204" t="s">
        <v>10</v>
      </c>
      <c r="E319" s="204" t="s">
        <v>41</v>
      </c>
      <c r="F319" s="204" t="s">
        <v>364</v>
      </c>
      <c r="G319" s="204" t="s">
        <v>69</v>
      </c>
      <c r="H319" s="204" t="s">
        <v>255</v>
      </c>
      <c r="I319" s="204" t="s">
        <v>15</v>
      </c>
      <c r="K319" t="s">
        <v>741</v>
      </c>
      <c r="L319" t="s">
        <v>730</v>
      </c>
      <c r="M319" s="12">
        <v>2025</v>
      </c>
      <c r="N319" t="s">
        <v>741</v>
      </c>
    </row>
    <row r="320" spans="1:14" x14ac:dyDescent="0.2">
      <c r="A320" s="204" t="s">
        <v>569</v>
      </c>
      <c r="B320" s="1">
        <v>45981</v>
      </c>
      <c r="C320" s="204" t="s">
        <v>78</v>
      </c>
      <c r="D320" s="204" t="s">
        <v>10</v>
      </c>
      <c r="E320" s="204" t="s">
        <v>109</v>
      </c>
      <c r="F320" s="204" t="s">
        <v>110</v>
      </c>
      <c r="G320" s="204" t="s">
        <v>406</v>
      </c>
      <c r="H320" s="204" t="s">
        <v>570</v>
      </c>
      <c r="I320" s="204" t="s">
        <v>15</v>
      </c>
      <c r="K320" t="s">
        <v>741</v>
      </c>
      <c r="L320" t="s">
        <v>730</v>
      </c>
      <c r="M320" s="12">
        <v>2025</v>
      </c>
      <c r="N320" t="s">
        <v>741</v>
      </c>
    </row>
    <row r="321" spans="1:14" x14ac:dyDescent="0.2">
      <c r="A321" s="204" t="s">
        <v>571</v>
      </c>
      <c r="B321" s="1">
        <v>45981</v>
      </c>
      <c r="C321" s="204" t="s">
        <v>40</v>
      </c>
      <c r="D321" s="204" t="s">
        <v>10</v>
      </c>
      <c r="E321" s="204" t="s">
        <v>41</v>
      </c>
      <c r="F321" s="204" t="s">
        <v>213</v>
      </c>
      <c r="G321" s="204" t="s">
        <v>287</v>
      </c>
      <c r="H321" s="204" t="s">
        <v>185</v>
      </c>
      <c r="I321" s="204" t="s">
        <v>15</v>
      </c>
      <c r="K321" t="s">
        <v>741</v>
      </c>
      <c r="L321" t="s">
        <v>730</v>
      </c>
      <c r="M321" s="12">
        <v>2025</v>
      </c>
      <c r="N321" t="s">
        <v>741</v>
      </c>
    </row>
    <row r="322" spans="1:14" x14ac:dyDescent="0.2">
      <c r="A322" s="204" t="s">
        <v>557</v>
      </c>
      <c r="B322" s="1">
        <v>45980</v>
      </c>
      <c r="C322" s="204" t="s">
        <v>71</v>
      </c>
      <c r="D322" s="204" t="s">
        <v>17</v>
      </c>
      <c r="E322" s="204" t="s">
        <v>18</v>
      </c>
      <c r="F322" s="204" t="s">
        <v>558</v>
      </c>
      <c r="G322" s="204" t="s">
        <v>24</v>
      </c>
      <c r="H322" s="204" t="s">
        <v>87</v>
      </c>
      <c r="I322" s="204" t="s">
        <v>15</v>
      </c>
      <c r="K322" t="s">
        <v>741</v>
      </c>
      <c r="L322" t="s">
        <v>730</v>
      </c>
      <c r="M322" s="12">
        <v>2025</v>
      </c>
      <c r="N322" t="s">
        <v>741</v>
      </c>
    </row>
    <row r="323" spans="1:14" x14ac:dyDescent="0.2">
      <c r="A323" s="204" t="s">
        <v>562</v>
      </c>
      <c r="B323" s="1">
        <v>45980</v>
      </c>
      <c r="C323" s="204" t="s">
        <v>9</v>
      </c>
      <c r="D323" s="204" t="s">
        <v>10</v>
      </c>
      <c r="E323" s="204" t="s">
        <v>11</v>
      </c>
      <c r="F323" s="204" t="s">
        <v>23</v>
      </c>
      <c r="G323" s="204" t="s">
        <v>24</v>
      </c>
      <c r="H323" s="204" t="s">
        <v>563</v>
      </c>
      <c r="I323" s="204" t="s">
        <v>15</v>
      </c>
      <c r="K323" t="s">
        <v>741</v>
      </c>
      <c r="L323" t="s">
        <v>730</v>
      </c>
      <c r="M323" s="12">
        <v>2025</v>
      </c>
      <c r="N323" t="s">
        <v>741</v>
      </c>
    </row>
    <row r="324" spans="1:14" x14ac:dyDescent="0.2">
      <c r="A324" s="204" t="s">
        <v>566</v>
      </c>
      <c r="B324" s="1">
        <v>45980</v>
      </c>
      <c r="C324" s="204" t="s">
        <v>657</v>
      </c>
      <c r="D324" s="204" t="s">
        <v>17</v>
      </c>
      <c r="E324" s="204" t="s">
        <v>191</v>
      </c>
      <c r="F324" s="204" t="s">
        <v>204</v>
      </c>
      <c r="G324" s="204" t="s">
        <v>97</v>
      </c>
      <c r="H324" s="204" t="s">
        <v>567</v>
      </c>
      <c r="I324" s="204" t="s">
        <v>15</v>
      </c>
      <c r="K324" t="s">
        <v>741</v>
      </c>
      <c r="L324" t="s">
        <v>730</v>
      </c>
      <c r="M324" s="12">
        <v>2025</v>
      </c>
      <c r="N324" t="s">
        <v>741</v>
      </c>
    </row>
    <row r="325" spans="1:14" x14ac:dyDescent="0.2">
      <c r="A325" s="204" t="s">
        <v>555</v>
      </c>
      <c r="B325" s="1">
        <v>45975</v>
      </c>
      <c r="C325" s="204" t="s">
        <v>261</v>
      </c>
      <c r="D325" s="204" t="s">
        <v>10</v>
      </c>
      <c r="E325" s="204" t="s">
        <v>126</v>
      </c>
      <c r="F325" s="204" t="s">
        <v>556</v>
      </c>
      <c r="G325" s="204" t="s">
        <v>24</v>
      </c>
      <c r="H325" s="204" t="s">
        <v>107</v>
      </c>
      <c r="I325" s="204" t="s">
        <v>15</v>
      </c>
      <c r="K325" t="s">
        <v>741</v>
      </c>
      <c r="L325" t="s">
        <v>730</v>
      </c>
      <c r="M325" s="12">
        <v>2025</v>
      </c>
      <c r="N325" t="s">
        <v>741</v>
      </c>
    </row>
    <row r="326" spans="1:14" x14ac:dyDescent="0.2">
      <c r="A326" s="204" t="s">
        <v>77</v>
      </c>
      <c r="B326" s="1">
        <v>45975</v>
      </c>
      <c r="C326" s="204" t="s">
        <v>78</v>
      </c>
      <c r="D326" s="204" t="s">
        <v>10</v>
      </c>
      <c r="E326" s="204" t="s">
        <v>109</v>
      </c>
      <c r="F326" s="204" t="s">
        <v>65</v>
      </c>
      <c r="G326" s="204" t="s">
        <v>24</v>
      </c>
      <c r="H326" s="204" t="s">
        <v>156</v>
      </c>
      <c r="I326" s="204" t="s">
        <v>15</v>
      </c>
      <c r="K326" t="s">
        <v>741</v>
      </c>
      <c r="L326" t="s">
        <v>730</v>
      </c>
      <c r="M326" s="12">
        <v>2025</v>
      </c>
      <c r="N326" t="s">
        <v>741</v>
      </c>
    </row>
    <row r="327" spans="1:14" x14ac:dyDescent="0.2">
      <c r="A327" s="204" t="s">
        <v>498</v>
      </c>
      <c r="B327" s="1">
        <v>45975</v>
      </c>
      <c r="C327" s="204" t="s">
        <v>261</v>
      </c>
      <c r="D327" s="204" t="s">
        <v>10</v>
      </c>
      <c r="E327" s="204" t="s">
        <v>126</v>
      </c>
      <c r="F327" s="204" t="s">
        <v>127</v>
      </c>
      <c r="G327" s="204" t="s">
        <v>348</v>
      </c>
      <c r="H327" s="204" t="s">
        <v>185</v>
      </c>
      <c r="I327" s="204" t="s">
        <v>15</v>
      </c>
      <c r="K327" t="s">
        <v>741</v>
      </c>
      <c r="L327" t="s">
        <v>730</v>
      </c>
      <c r="M327" s="12">
        <v>2025</v>
      </c>
      <c r="N327" t="s">
        <v>741</v>
      </c>
    </row>
    <row r="328" spans="1:14" x14ac:dyDescent="0.2">
      <c r="A328" s="204" t="s">
        <v>559</v>
      </c>
      <c r="B328" s="1">
        <v>45975</v>
      </c>
      <c r="C328" s="204" t="s">
        <v>55</v>
      </c>
      <c r="D328" s="204" t="s">
        <v>17</v>
      </c>
      <c r="E328" s="204" t="s">
        <v>56</v>
      </c>
      <c r="F328" s="204" t="s">
        <v>560</v>
      </c>
      <c r="G328" s="204" t="s">
        <v>184</v>
      </c>
      <c r="H328" s="204" t="s">
        <v>561</v>
      </c>
      <c r="I328" s="204" t="s">
        <v>15</v>
      </c>
      <c r="K328" t="s">
        <v>741</v>
      </c>
      <c r="L328" t="s">
        <v>730</v>
      </c>
      <c r="M328" s="12">
        <v>2025</v>
      </c>
      <c r="N328" t="s">
        <v>741</v>
      </c>
    </row>
    <row r="329" spans="1:14" x14ac:dyDescent="0.2">
      <c r="A329" s="204" t="s">
        <v>551</v>
      </c>
      <c r="B329" s="1">
        <v>45973</v>
      </c>
      <c r="C329" s="204" t="s">
        <v>261</v>
      </c>
      <c r="D329" s="204" t="s">
        <v>10</v>
      </c>
      <c r="E329" s="204" t="s">
        <v>126</v>
      </c>
      <c r="F329" s="204" t="s">
        <v>138</v>
      </c>
      <c r="G329" s="204" t="s">
        <v>24</v>
      </c>
      <c r="H329" s="204" t="s">
        <v>221</v>
      </c>
      <c r="I329" s="204" t="s">
        <v>15</v>
      </c>
      <c r="K329" t="s">
        <v>741</v>
      </c>
      <c r="L329" t="s">
        <v>730</v>
      </c>
      <c r="M329" s="12">
        <v>2025</v>
      </c>
      <c r="N329" t="s">
        <v>741</v>
      </c>
    </row>
    <row r="330" spans="1:14" x14ac:dyDescent="0.2">
      <c r="A330" s="204" t="s">
        <v>554</v>
      </c>
      <c r="B330" s="1">
        <v>45973</v>
      </c>
      <c r="C330" s="204" t="s">
        <v>475</v>
      </c>
      <c r="D330" s="204" t="s">
        <v>10</v>
      </c>
      <c r="E330" s="204" t="s">
        <v>155</v>
      </c>
      <c r="F330" s="204" t="s">
        <v>32</v>
      </c>
      <c r="G330" s="204" t="s">
        <v>69</v>
      </c>
      <c r="H330" s="204" t="s">
        <v>205</v>
      </c>
      <c r="I330" s="204" t="s">
        <v>15</v>
      </c>
      <c r="K330" t="s">
        <v>741</v>
      </c>
      <c r="L330" t="s">
        <v>730</v>
      </c>
      <c r="M330" s="12">
        <v>2025</v>
      </c>
      <c r="N330" t="s">
        <v>741</v>
      </c>
    </row>
    <row r="331" spans="1:14" x14ac:dyDescent="0.2">
      <c r="A331" s="204" t="s">
        <v>544</v>
      </c>
      <c r="B331" s="1">
        <v>45972</v>
      </c>
      <c r="C331" s="204" t="s">
        <v>475</v>
      </c>
      <c r="D331" s="204" t="s">
        <v>10</v>
      </c>
      <c r="E331" s="204" t="s">
        <v>155</v>
      </c>
      <c r="F331" s="204" t="s">
        <v>32</v>
      </c>
      <c r="G331" s="204" t="s">
        <v>24</v>
      </c>
      <c r="H331" s="204" t="s">
        <v>142</v>
      </c>
      <c r="I331" s="204" t="s">
        <v>15</v>
      </c>
      <c r="K331" t="s">
        <v>741</v>
      </c>
      <c r="L331" t="s">
        <v>730</v>
      </c>
      <c r="M331" s="12">
        <v>2025</v>
      </c>
      <c r="N331" t="s">
        <v>741</v>
      </c>
    </row>
    <row r="332" spans="1:14" x14ac:dyDescent="0.2">
      <c r="A332" s="204" t="s">
        <v>227</v>
      </c>
      <c r="B332" s="1">
        <v>45972</v>
      </c>
      <c r="C332" s="204" t="s">
        <v>71</v>
      </c>
      <c r="D332" s="204" t="s">
        <v>17</v>
      </c>
      <c r="E332" s="204" t="s">
        <v>18</v>
      </c>
      <c r="F332" s="204" t="s">
        <v>100</v>
      </c>
      <c r="G332" s="204" t="s">
        <v>24</v>
      </c>
      <c r="H332" s="204" t="s">
        <v>550</v>
      </c>
      <c r="I332" s="204" t="s">
        <v>15</v>
      </c>
      <c r="K332" t="s">
        <v>741</v>
      </c>
      <c r="L332" t="s">
        <v>730</v>
      </c>
      <c r="M332" s="12">
        <v>2025</v>
      </c>
      <c r="N332" t="s">
        <v>741</v>
      </c>
    </row>
    <row r="333" spans="1:14" x14ac:dyDescent="0.2">
      <c r="A333" s="204" t="s">
        <v>552</v>
      </c>
      <c r="B333" s="1">
        <v>45972</v>
      </c>
      <c r="C333" s="204" t="s">
        <v>55</v>
      </c>
      <c r="D333" s="204" t="s">
        <v>17</v>
      </c>
      <c r="E333" s="204" t="s">
        <v>56</v>
      </c>
      <c r="F333" s="204" t="s">
        <v>276</v>
      </c>
      <c r="G333" s="204" t="s">
        <v>372</v>
      </c>
      <c r="H333" s="204" t="s">
        <v>553</v>
      </c>
      <c r="I333" s="204" t="s">
        <v>15</v>
      </c>
      <c r="K333" t="s">
        <v>741</v>
      </c>
      <c r="L333" t="s">
        <v>730</v>
      </c>
      <c r="M333" s="12">
        <v>2025</v>
      </c>
      <c r="N333" t="s">
        <v>741</v>
      </c>
    </row>
    <row r="334" spans="1:14" x14ac:dyDescent="0.2">
      <c r="A334" s="204" t="s">
        <v>546</v>
      </c>
      <c r="B334" s="1">
        <v>45968</v>
      </c>
      <c r="C334" s="204" t="s">
        <v>547</v>
      </c>
      <c r="D334" s="204" t="s">
        <v>10</v>
      </c>
      <c r="E334" s="204" t="s">
        <v>343</v>
      </c>
      <c r="F334" s="204" t="s">
        <v>344</v>
      </c>
      <c r="G334" s="204" t="s">
        <v>151</v>
      </c>
      <c r="H334" s="204" t="s">
        <v>548</v>
      </c>
      <c r="I334" s="204" t="s">
        <v>15</v>
      </c>
      <c r="K334" t="s">
        <v>741</v>
      </c>
      <c r="L334" t="s">
        <v>730</v>
      </c>
      <c r="M334" s="12">
        <v>2025</v>
      </c>
      <c r="N334" t="s">
        <v>741</v>
      </c>
    </row>
    <row r="335" spans="1:14" x14ac:dyDescent="0.2">
      <c r="A335" s="204" t="s">
        <v>549</v>
      </c>
      <c r="B335" s="1">
        <v>45968</v>
      </c>
      <c r="C335" s="204" t="s">
        <v>620</v>
      </c>
      <c r="D335" s="204" t="s">
        <v>17</v>
      </c>
      <c r="E335" s="204" t="s">
        <v>96</v>
      </c>
      <c r="F335" s="204" t="s">
        <v>187</v>
      </c>
      <c r="G335" s="204" t="s">
        <v>348</v>
      </c>
      <c r="H335" s="204" t="s">
        <v>59</v>
      </c>
      <c r="I335" s="204" t="s">
        <v>15</v>
      </c>
      <c r="K335" t="s">
        <v>741</v>
      </c>
      <c r="L335" t="s">
        <v>730</v>
      </c>
      <c r="M335" s="12">
        <v>2025</v>
      </c>
      <c r="N335" t="s">
        <v>741</v>
      </c>
    </row>
    <row r="336" spans="1:14" x14ac:dyDescent="0.2">
      <c r="A336" s="204" t="s">
        <v>541</v>
      </c>
      <c r="B336" s="1">
        <v>45967</v>
      </c>
      <c r="C336" s="204" t="s">
        <v>620</v>
      </c>
      <c r="D336" s="204" t="s">
        <v>17</v>
      </c>
      <c r="E336" s="204" t="s">
        <v>96</v>
      </c>
      <c r="F336" s="204" t="s">
        <v>529</v>
      </c>
      <c r="G336" s="204" t="s">
        <v>542</v>
      </c>
      <c r="H336" s="204" t="s">
        <v>543</v>
      </c>
      <c r="I336" s="204" t="s">
        <v>15</v>
      </c>
      <c r="K336" t="s">
        <v>741</v>
      </c>
      <c r="L336" t="s">
        <v>730</v>
      </c>
      <c r="M336" s="12">
        <v>2025</v>
      </c>
      <c r="N336" t="s">
        <v>741</v>
      </c>
    </row>
    <row r="337" spans="1:14" x14ac:dyDescent="0.2">
      <c r="A337" s="204" t="s">
        <v>545</v>
      </c>
      <c r="B337" s="1">
        <v>45967</v>
      </c>
      <c r="C337" s="204" t="s">
        <v>181</v>
      </c>
      <c r="D337" s="204" t="s">
        <v>10</v>
      </c>
      <c r="E337" s="204" t="s">
        <v>182</v>
      </c>
      <c r="F337" s="204" t="s">
        <v>223</v>
      </c>
      <c r="G337" s="204" t="s">
        <v>463</v>
      </c>
      <c r="H337" s="204" t="s">
        <v>221</v>
      </c>
      <c r="I337" s="204" t="s">
        <v>15</v>
      </c>
      <c r="K337" t="s">
        <v>741</v>
      </c>
      <c r="L337" t="s">
        <v>730</v>
      </c>
      <c r="M337" s="12">
        <v>2025</v>
      </c>
      <c r="N337" t="s">
        <v>741</v>
      </c>
    </row>
    <row r="338" spans="1:14" x14ac:dyDescent="0.2">
      <c r="A338" s="204" t="s">
        <v>536</v>
      </c>
      <c r="B338" s="1">
        <v>45965</v>
      </c>
      <c r="C338" s="204" t="s">
        <v>620</v>
      </c>
      <c r="D338" s="204" t="s">
        <v>17</v>
      </c>
      <c r="E338" s="204" t="s">
        <v>96</v>
      </c>
      <c r="F338" s="204" t="s">
        <v>537</v>
      </c>
      <c r="G338" s="204" t="s">
        <v>393</v>
      </c>
      <c r="H338" s="204" t="s">
        <v>538</v>
      </c>
      <c r="I338" s="204" t="s">
        <v>15</v>
      </c>
      <c r="K338" t="s">
        <v>741</v>
      </c>
      <c r="L338" t="s">
        <v>730</v>
      </c>
      <c r="M338" s="12">
        <v>2025</v>
      </c>
      <c r="N338" t="s">
        <v>741</v>
      </c>
    </row>
    <row r="339" spans="1:14" x14ac:dyDescent="0.2">
      <c r="A339" s="204" t="s">
        <v>189</v>
      </c>
      <c r="B339" s="1">
        <v>45965</v>
      </c>
      <c r="C339" s="204" t="s">
        <v>475</v>
      </c>
      <c r="D339" s="204" t="s">
        <v>10</v>
      </c>
      <c r="E339" s="204" t="s">
        <v>155</v>
      </c>
      <c r="F339" s="204" t="s">
        <v>100</v>
      </c>
      <c r="G339" s="204" t="s">
        <v>184</v>
      </c>
      <c r="H339" s="204" t="s">
        <v>539</v>
      </c>
      <c r="I339" s="204" t="s">
        <v>15</v>
      </c>
      <c r="K339" t="s">
        <v>741</v>
      </c>
      <c r="L339" t="s">
        <v>730</v>
      </c>
      <c r="M339" s="12">
        <v>2025</v>
      </c>
      <c r="N339" t="s">
        <v>741</v>
      </c>
    </row>
    <row r="340" spans="1:14" x14ac:dyDescent="0.2">
      <c r="A340" s="204" t="s">
        <v>540</v>
      </c>
      <c r="B340" s="1">
        <v>45965</v>
      </c>
      <c r="C340" s="204" t="s">
        <v>78</v>
      </c>
      <c r="D340" s="204" t="s">
        <v>10</v>
      </c>
      <c r="E340" s="204" t="s">
        <v>109</v>
      </c>
      <c r="F340" s="204" t="s">
        <v>110</v>
      </c>
      <c r="G340" s="204" t="s">
        <v>287</v>
      </c>
      <c r="H340" s="204" t="s">
        <v>38</v>
      </c>
      <c r="I340" s="204" t="s">
        <v>15</v>
      </c>
      <c r="K340" t="s">
        <v>741</v>
      </c>
      <c r="L340" t="s">
        <v>730</v>
      </c>
      <c r="M340" s="12">
        <v>2025</v>
      </c>
      <c r="N340" t="s">
        <v>741</v>
      </c>
    </row>
    <row r="341" spans="1:14" x14ac:dyDescent="0.2">
      <c r="A341" s="204" t="s">
        <v>484</v>
      </c>
      <c r="B341" s="1">
        <v>45964</v>
      </c>
      <c r="C341" s="204" t="s">
        <v>264</v>
      </c>
      <c r="D341" s="204" t="s">
        <v>17</v>
      </c>
      <c r="E341" s="204" t="s">
        <v>72</v>
      </c>
      <c r="F341" s="204" t="s">
        <v>313</v>
      </c>
      <c r="G341" s="204" t="s">
        <v>24</v>
      </c>
      <c r="H341" s="204" t="s">
        <v>249</v>
      </c>
      <c r="I341" s="204" t="s">
        <v>15</v>
      </c>
      <c r="K341" t="s">
        <v>741</v>
      </c>
      <c r="L341" t="s">
        <v>730</v>
      </c>
      <c r="M341" s="12">
        <v>2025</v>
      </c>
      <c r="N341" t="s">
        <v>741</v>
      </c>
    </row>
    <row r="342" spans="1:14" x14ac:dyDescent="0.2">
      <c r="A342" s="204" t="s">
        <v>530</v>
      </c>
      <c r="B342" s="1">
        <v>45964</v>
      </c>
      <c r="C342" s="204" t="s">
        <v>261</v>
      </c>
      <c r="D342" s="204" t="s">
        <v>10</v>
      </c>
      <c r="E342" s="204" t="s">
        <v>126</v>
      </c>
      <c r="F342" s="204" t="s">
        <v>138</v>
      </c>
      <c r="G342" s="204" t="s">
        <v>348</v>
      </c>
      <c r="H342" s="204" t="s">
        <v>185</v>
      </c>
      <c r="I342" s="204" t="s">
        <v>15</v>
      </c>
      <c r="K342" t="s">
        <v>741</v>
      </c>
      <c r="L342" t="s">
        <v>730</v>
      </c>
      <c r="M342" s="12">
        <v>2025</v>
      </c>
      <c r="N342" t="s">
        <v>741</v>
      </c>
    </row>
    <row r="343" spans="1:14" x14ac:dyDescent="0.2">
      <c r="A343" s="204" t="s">
        <v>531</v>
      </c>
      <c r="B343" s="1">
        <v>45964</v>
      </c>
      <c r="C343" s="204" t="s">
        <v>78</v>
      </c>
      <c r="D343" s="204" t="s">
        <v>10</v>
      </c>
      <c r="E343" s="204" t="s">
        <v>109</v>
      </c>
      <c r="F343" s="204" t="s">
        <v>532</v>
      </c>
      <c r="G343" s="204" t="s">
        <v>97</v>
      </c>
      <c r="H343" s="204" t="s">
        <v>158</v>
      </c>
      <c r="I343" s="204" t="s">
        <v>15</v>
      </c>
      <c r="K343" t="s">
        <v>741</v>
      </c>
      <c r="L343" t="s">
        <v>730</v>
      </c>
      <c r="M343" s="12">
        <v>2025</v>
      </c>
      <c r="N343" t="s">
        <v>741</v>
      </c>
    </row>
    <row r="344" spans="1:14" x14ac:dyDescent="0.2">
      <c r="A344" s="204" t="s">
        <v>533</v>
      </c>
      <c r="B344" s="1">
        <v>45964</v>
      </c>
      <c r="C344" s="204" t="s">
        <v>1294</v>
      </c>
      <c r="D344" s="204" t="s">
        <v>36</v>
      </c>
      <c r="E344" s="204" t="s">
        <v>36</v>
      </c>
      <c r="F344" s="204" t="s">
        <v>534</v>
      </c>
      <c r="G344" s="204" t="s">
        <v>24</v>
      </c>
      <c r="H344" s="204" t="s">
        <v>535</v>
      </c>
      <c r="I344" s="204" t="s">
        <v>15</v>
      </c>
      <c r="K344" t="s">
        <v>741</v>
      </c>
      <c r="L344" t="s">
        <v>730</v>
      </c>
      <c r="M344" s="12">
        <v>2025</v>
      </c>
      <c r="N344" t="s">
        <v>741</v>
      </c>
    </row>
    <row r="345" spans="1:14" x14ac:dyDescent="0.2">
      <c r="A345" s="204" t="s">
        <v>521</v>
      </c>
      <c r="B345" s="1">
        <v>45961</v>
      </c>
      <c r="C345" s="204" t="s">
        <v>136</v>
      </c>
      <c r="D345" s="204" t="s">
        <v>10</v>
      </c>
      <c r="E345" s="204" t="s">
        <v>31</v>
      </c>
      <c r="F345" s="204" t="s">
        <v>522</v>
      </c>
      <c r="G345" s="204" t="s">
        <v>24</v>
      </c>
      <c r="H345" s="204" t="s">
        <v>118</v>
      </c>
      <c r="I345" s="204" t="s">
        <v>15</v>
      </c>
      <c r="K345" t="s">
        <v>740</v>
      </c>
      <c r="L345" t="s">
        <v>730</v>
      </c>
      <c r="M345" s="12">
        <v>2025</v>
      </c>
      <c r="N345" t="s">
        <v>740</v>
      </c>
    </row>
    <row r="346" spans="1:14" x14ac:dyDescent="0.2">
      <c r="A346" s="204" t="s">
        <v>528</v>
      </c>
      <c r="B346" s="1">
        <v>45961</v>
      </c>
      <c r="C346" s="204" t="s">
        <v>620</v>
      </c>
      <c r="D346" s="204" t="s">
        <v>17</v>
      </c>
      <c r="E346" s="204" t="s">
        <v>96</v>
      </c>
      <c r="F346" s="204" t="s">
        <v>529</v>
      </c>
      <c r="G346" s="204" t="s">
        <v>97</v>
      </c>
      <c r="H346" s="204" t="s">
        <v>507</v>
      </c>
      <c r="I346" s="204" t="s">
        <v>15</v>
      </c>
      <c r="K346" t="s">
        <v>740</v>
      </c>
      <c r="L346" t="s">
        <v>730</v>
      </c>
      <c r="M346" s="12">
        <v>2025</v>
      </c>
      <c r="N346" t="s">
        <v>740</v>
      </c>
    </row>
    <row r="347" spans="1:14" x14ac:dyDescent="0.2">
      <c r="A347" s="204" t="s">
        <v>520</v>
      </c>
      <c r="B347" s="1">
        <v>45960</v>
      </c>
      <c r="C347" s="204" t="s">
        <v>181</v>
      </c>
      <c r="D347" s="204" t="s">
        <v>10</v>
      </c>
      <c r="E347" s="204" t="s">
        <v>182</v>
      </c>
      <c r="F347" s="204" t="s">
        <v>65</v>
      </c>
      <c r="G347" s="204" t="s">
        <v>24</v>
      </c>
      <c r="H347" s="204" t="s">
        <v>156</v>
      </c>
      <c r="I347" s="204" t="s">
        <v>15</v>
      </c>
      <c r="K347" t="s">
        <v>740</v>
      </c>
      <c r="L347" t="s">
        <v>730</v>
      </c>
      <c r="M347" s="12">
        <v>2025</v>
      </c>
      <c r="N347" t="s">
        <v>740</v>
      </c>
    </row>
    <row r="348" spans="1:14" x14ac:dyDescent="0.2">
      <c r="A348" s="204" t="s">
        <v>523</v>
      </c>
      <c r="B348" s="1">
        <v>45960</v>
      </c>
      <c r="C348" s="204" t="s">
        <v>261</v>
      </c>
      <c r="D348" s="204" t="s">
        <v>10</v>
      </c>
      <c r="E348" s="204" t="s">
        <v>155</v>
      </c>
      <c r="F348" s="204" t="s">
        <v>524</v>
      </c>
      <c r="G348" s="204" t="s">
        <v>151</v>
      </c>
      <c r="H348" s="204" t="s">
        <v>525</v>
      </c>
      <c r="I348" s="204" t="s">
        <v>15</v>
      </c>
      <c r="K348" t="s">
        <v>740</v>
      </c>
      <c r="L348" t="s">
        <v>730</v>
      </c>
      <c r="M348" s="12">
        <v>2025</v>
      </c>
      <c r="N348" t="s">
        <v>740</v>
      </c>
    </row>
    <row r="349" spans="1:14" x14ac:dyDescent="0.2">
      <c r="A349" s="204" t="s">
        <v>526</v>
      </c>
      <c r="B349" s="1">
        <v>45960</v>
      </c>
      <c r="C349" s="204" t="s">
        <v>261</v>
      </c>
      <c r="D349" s="204" t="s">
        <v>10</v>
      </c>
      <c r="E349" s="204" t="s">
        <v>126</v>
      </c>
      <c r="F349" s="204" t="s">
        <v>242</v>
      </c>
      <c r="G349" s="204" t="s">
        <v>527</v>
      </c>
      <c r="H349" s="204" t="s">
        <v>255</v>
      </c>
      <c r="I349" s="204" t="s">
        <v>15</v>
      </c>
      <c r="K349" t="s">
        <v>740</v>
      </c>
      <c r="L349" t="s">
        <v>730</v>
      </c>
      <c r="M349" s="12">
        <v>2025</v>
      </c>
      <c r="N349" t="s">
        <v>740</v>
      </c>
    </row>
    <row r="350" spans="1:14" x14ac:dyDescent="0.2">
      <c r="A350" s="204" t="s">
        <v>415</v>
      </c>
      <c r="B350" s="1">
        <v>45958</v>
      </c>
      <c r="C350" s="204" t="s">
        <v>261</v>
      </c>
      <c r="D350" s="204" t="s">
        <v>10</v>
      </c>
      <c r="E350" s="204" t="s">
        <v>126</v>
      </c>
      <c r="F350" s="204" t="s">
        <v>138</v>
      </c>
      <c r="G350" s="204" t="s">
        <v>24</v>
      </c>
      <c r="H350" s="204" t="s">
        <v>156</v>
      </c>
      <c r="I350" s="204" t="s">
        <v>15</v>
      </c>
      <c r="K350" t="s">
        <v>740</v>
      </c>
      <c r="L350" t="s">
        <v>730</v>
      </c>
      <c r="M350" s="12">
        <v>2025</v>
      </c>
      <c r="N350" t="s">
        <v>740</v>
      </c>
    </row>
    <row r="351" spans="1:14" x14ac:dyDescent="0.2">
      <c r="A351" s="204" t="s">
        <v>516</v>
      </c>
      <c r="B351" s="1">
        <v>45958</v>
      </c>
      <c r="C351" s="204" t="s">
        <v>475</v>
      </c>
      <c r="D351" s="204" t="s">
        <v>10</v>
      </c>
      <c r="E351" s="204" t="s">
        <v>155</v>
      </c>
      <c r="F351" s="204" t="s">
        <v>242</v>
      </c>
      <c r="G351" s="204" t="s">
        <v>24</v>
      </c>
      <c r="H351" s="204" t="s">
        <v>517</v>
      </c>
      <c r="I351" s="204" t="s">
        <v>15</v>
      </c>
      <c r="K351" t="s">
        <v>740</v>
      </c>
      <c r="L351" t="s">
        <v>730</v>
      </c>
      <c r="M351" s="12">
        <v>2025</v>
      </c>
      <c r="N351" t="s">
        <v>740</v>
      </c>
    </row>
    <row r="352" spans="1:14" x14ac:dyDescent="0.2">
      <c r="A352" s="204" t="s">
        <v>518</v>
      </c>
      <c r="B352" s="1">
        <v>45958</v>
      </c>
      <c r="C352" s="204" t="s">
        <v>1326</v>
      </c>
      <c r="D352" s="204" t="s">
        <v>17</v>
      </c>
      <c r="E352" s="204" t="s">
        <v>171</v>
      </c>
      <c r="F352" s="204" t="s">
        <v>519</v>
      </c>
      <c r="G352" s="204" t="s">
        <v>97</v>
      </c>
      <c r="H352" s="204" t="s">
        <v>507</v>
      </c>
      <c r="I352" s="204" t="s">
        <v>278</v>
      </c>
      <c r="K352" t="s">
        <v>740</v>
      </c>
      <c r="L352" t="s">
        <v>730</v>
      </c>
      <c r="M352" s="12">
        <v>2025</v>
      </c>
      <c r="N352" t="s">
        <v>740</v>
      </c>
    </row>
    <row r="353" spans="1:14" x14ac:dyDescent="0.2">
      <c r="A353" s="204" t="s">
        <v>281</v>
      </c>
      <c r="B353" s="1">
        <v>45954</v>
      </c>
      <c r="C353" s="204" t="s">
        <v>264</v>
      </c>
      <c r="D353" s="204" t="s">
        <v>17</v>
      </c>
      <c r="E353" s="204" t="s">
        <v>72</v>
      </c>
      <c r="F353" s="204" t="s">
        <v>313</v>
      </c>
      <c r="G353" s="204" t="s">
        <v>24</v>
      </c>
      <c r="H353" s="204" t="s">
        <v>156</v>
      </c>
      <c r="I353" s="204" t="s">
        <v>15</v>
      </c>
      <c r="K353" t="s">
        <v>740</v>
      </c>
      <c r="L353" t="s">
        <v>730</v>
      </c>
      <c r="M353" s="12">
        <v>2025</v>
      </c>
      <c r="N353" t="s">
        <v>740</v>
      </c>
    </row>
    <row r="354" spans="1:14" x14ac:dyDescent="0.2">
      <c r="A354" s="204" t="s">
        <v>189</v>
      </c>
      <c r="B354" s="1">
        <v>45954</v>
      </c>
      <c r="C354" s="204" t="s">
        <v>475</v>
      </c>
      <c r="D354" s="204" t="s">
        <v>10</v>
      </c>
      <c r="E354" s="204" t="s">
        <v>155</v>
      </c>
      <c r="F354" s="204" t="s">
        <v>100</v>
      </c>
      <c r="G354" s="204" t="s">
        <v>97</v>
      </c>
      <c r="H354" s="204" t="s">
        <v>158</v>
      </c>
      <c r="I354" s="204" t="s">
        <v>15</v>
      </c>
      <c r="K354" t="s">
        <v>740</v>
      </c>
      <c r="L354" t="s">
        <v>730</v>
      </c>
      <c r="M354" s="12">
        <v>2025</v>
      </c>
      <c r="N354" t="s">
        <v>740</v>
      </c>
    </row>
    <row r="355" spans="1:14" x14ac:dyDescent="0.2">
      <c r="A355" s="204" t="s">
        <v>514</v>
      </c>
      <c r="B355" s="1">
        <v>45954</v>
      </c>
      <c r="C355" s="204" t="s">
        <v>71</v>
      </c>
      <c r="D355" s="204" t="s">
        <v>17</v>
      </c>
      <c r="E355" s="204" t="s">
        <v>18</v>
      </c>
      <c r="F355" s="204" t="s">
        <v>515</v>
      </c>
      <c r="G355" s="204" t="s">
        <v>97</v>
      </c>
      <c r="H355" s="204" t="s">
        <v>158</v>
      </c>
      <c r="I355" s="204" t="s">
        <v>15</v>
      </c>
      <c r="K355" t="s">
        <v>740</v>
      </c>
      <c r="L355" t="s">
        <v>730</v>
      </c>
      <c r="M355" s="12">
        <v>2025</v>
      </c>
      <c r="N355" t="s">
        <v>740</v>
      </c>
    </row>
    <row r="356" spans="1:14" x14ac:dyDescent="0.2">
      <c r="A356" s="204" t="s">
        <v>220</v>
      </c>
      <c r="B356" s="1">
        <v>45954</v>
      </c>
      <c r="C356" s="204" t="s">
        <v>475</v>
      </c>
      <c r="D356" s="204" t="s">
        <v>10</v>
      </c>
      <c r="E356" s="204" t="s">
        <v>155</v>
      </c>
      <c r="F356" s="204" t="s">
        <v>32</v>
      </c>
      <c r="G356" s="204" t="s">
        <v>97</v>
      </c>
      <c r="H356" s="204" t="s">
        <v>507</v>
      </c>
      <c r="I356" s="204" t="s">
        <v>15</v>
      </c>
      <c r="K356" t="s">
        <v>740</v>
      </c>
      <c r="L356" t="s">
        <v>730</v>
      </c>
      <c r="M356" s="12">
        <v>2025</v>
      </c>
      <c r="N356" t="s">
        <v>740</v>
      </c>
    </row>
    <row r="357" spans="1:14" x14ac:dyDescent="0.2">
      <c r="A357" s="204" t="s">
        <v>511</v>
      </c>
      <c r="B357" s="1">
        <v>45953</v>
      </c>
      <c r="C357" s="204" t="s">
        <v>16</v>
      </c>
      <c r="D357" s="204" t="s">
        <v>322</v>
      </c>
      <c r="E357" s="204" t="s">
        <v>323</v>
      </c>
      <c r="F357" s="204" t="s">
        <v>512</v>
      </c>
      <c r="G357" s="204" t="s">
        <v>58</v>
      </c>
      <c r="H357" s="204" t="s">
        <v>513</v>
      </c>
      <c r="I357" s="204" t="s">
        <v>15</v>
      </c>
      <c r="K357" t="s">
        <v>740</v>
      </c>
      <c r="L357" t="s">
        <v>730</v>
      </c>
      <c r="M357" s="12">
        <v>2025</v>
      </c>
      <c r="N357" t="s">
        <v>740</v>
      </c>
    </row>
    <row r="358" spans="1:14" x14ac:dyDescent="0.2">
      <c r="A358" s="204" t="s">
        <v>500</v>
      </c>
      <c r="B358" s="1">
        <v>45953</v>
      </c>
      <c r="C358" s="204" t="s">
        <v>71</v>
      </c>
      <c r="D358" s="204" t="s">
        <v>17</v>
      </c>
      <c r="E358" s="204" t="s">
        <v>18</v>
      </c>
      <c r="F358" s="204" t="s">
        <v>501</v>
      </c>
      <c r="G358" s="204" t="s">
        <v>151</v>
      </c>
      <c r="H358" s="204" t="s">
        <v>131</v>
      </c>
      <c r="I358" s="204" t="s">
        <v>15</v>
      </c>
      <c r="K358" t="s">
        <v>740</v>
      </c>
      <c r="L358" t="s">
        <v>730</v>
      </c>
      <c r="M358" s="12">
        <v>2025</v>
      </c>
      <c r="N358" t="s">
        <v>740</v>
      </c>
    </row>
    <row r="359" spans="1:14" x14ac:dyDescent="0.2">
      <c r="A359" s="204" t="s">
        <v>498</v>
      </c>
      <c r="B359" s="1">
        <v>45952</v>
      </c>
      <c r="C359" s="204" t="s">
        <v>261</v>
      </c>
      <c r="D359" s="204" t="s">
        <v>10</v>
      </c>
      <c r="E359" s="204" t="s">
        <v>155</v>
      </c>
      <c r="F359" s="204" t="s">
        <v>127</v>
      </c>
      <c r="G359" s="204" t="s">
        <v>24</v>
      </c>
      <c r="H359" s="204" t="s">
        <v>75</v>
      </c>
      <c r="I359" s="204" t="s">
        <v>15</v>
      </c>
      <c r="K359" t="s">
        <v>740</v>
      </c>
      <c r="L359" t="s">
        <v>730</v>
      </c>
      <c r="M359" s="12">
        <v>2025</v>
      </c>
      <c r="N359" t="s">
        <v>740</v>
      </c>
    </row>
    <row r="360" spans="1:14" x14ac:dyDescent="0.2">
      <c r="A360" s="204" t="s">
        <v>452</v>
      </c>
      <c r="B360" s="1">
        <v>45952</v>
      </c>
      <c r="C360" s="204" t="s">
        <v>657</v>
      </c>
      <c r="D360" s="204" t="s">
        <v>17</v>
      </c>
      <c r="E360" s="204" t="s">
        <v>114</v>
      </c>
      <c r="F360" s="204" t="s">
        <v>453</v>
      </c>
      <c r="G360" s="204" t="s">
        <v>24</v>
      </c>
      <c r="H360" s="204" t="s">
        <v>510</v>
      </c>
      <c r="I360" s="204" t="s">
        <v>15</v>
      </c>
      <c r="K360" t="s">
        <v>740</v>
      </c>
      <c r="L360" t="s">
        <v>730</v>
      </c>
      <c r="M360" s="12">
        <v>2025</v>
      </c>
      <c r="N360" t="s">
        <v>740</v>
      </c>
    </row>
    <row r="361" spans="1:14" x14ac:dyDescent="0.2">
      <c r="A361" s="204" t="s">
        <v>496</v>
      </c>
      <c r="B361" s="1">
        <v>45951</v>
      </c>
      <c r="C361" s="204" t="s">
        <v>181</v>
      </c>
      <c r="D361" s="204" t="s">
        <v>10</v>
      </c>
      <c r="E361" s="204" t="s">
        <v>182</v>
      </c>
      <c r="F361" s="204" t="s">
        <v>497</v>
      </c>
      <c r="G361" s="204" t="s">
        <v>24</v>
      </c>
      <c r="H361" s="204" t="s">
        <v>75</v>
      </c>
      <c r="I361" s="204" t="s">
        <v>15</v>
      </c>
      <c r="K361" t="s">
        <v>740</v>
      </c>
      <c r="L361" t="s">
        <v>730</v>
      </c>
      <c r="M361" s="12">
        <v>2025</v>
      </c>
      <c r="N361" t="s">
        <v>740</v>
      </c>
    </row>
    <row r="362" spans="1:14" x14ac:dyDescent="0.2">
      <c r="A362" s="204" t="s">
        <v>206</v>
      </c>
      <c r="B362" s="1">
        <v>45951</v>
      </c>
      <c r="C362" s="204" t="s">
        <v>620</v>
      </c>
      <c r="D362" s="204" t="s">
        <v>17</v>
      </c>
      <c r="E362" s="204" t="s">
        <v>96</v>
      </c>
      <c r="F362" s="204" t="s">
        <v>429</v>
      </c>
      <c r="G362" s="204" t="s">
        <v>393</v>
      </c>
      <c r="H362" s="204" t="s">
        <v>118</v>
      </c>
      <c r="I362" s="204" t="s">
        <v>15</v>
      </c>
      <c r="K362" t="s">
        <v>740</v>
      </c>
      <c r="L362" t="s">
        <v>730</v>
      </c>
      <c r="M362" s="12">
        <v>2025</v>
      </c>
      <c r="N362" t="s">
        <v>740</v>
      </c>
    </row>
    <row r="363" spans="1:14" x14ac:dyDescent="0.2">
      <c r="A363" s="204" t="s">
        <v>505</v>
      </c>
      <c r="B363" s="1">
        <v>45951</v>
      </c>
      <c r="C363" s="204" t="s">
        <v>55</v>
      </c>
      <c r="D363" s="204" t="s">
        <v>17</v>
      </c>
      <c r="E363" s="204" t="s">
        <v>56</v>
      </c>
      <c r="F363" s="204" t="s">
        <v>506</v>
      </c>
      <c r="G363" s="204" t="s">
        <v>97</v>
      </c>
      <c r="H363" s="204" t="s">
        <v>507</v>
      </c>
      <c r="I363" s="204" t="s">
        <v>15</v>
      </c>
      <c r="K363" t="s">
        <v>740</v>
      </c>
      <c r="L363" t="s">
        <v>730</v>
      </c>
      <c r="M363" s="12">
        <v>2025</v>
      </c>
      <c r="N363" t="s">
        <v>740</v>
      </c>
    </row>
    <row r="364" spans="1:14" x14ac:dyDescent="0.2">
      <c r="A364" s="204" t="s">
        <v>508</v>
      </c>
      <c r="B364" s="1">
        <v>45951</v>
      </c>
      <c r="C364" s="204" t="s">
        <v>40</v>
      </c>
      <c r="D364" s="204" t="s">
        <v>10</v>
      </c>
      <c r="E364" s="204" t="s">
        <v>41</v>
      </c>
      <c r="F364" s="204" t="s">
        <v>274</v>
      </c>
      <c r="G364" s="204" t="s">
        <v>406</v>
      </c>
      <c r="H364" s="204" t="s">
        <v>507</v>
      </c>
      <c r="I364" s="204" t="s">
        <v>15</v>
      </c>
      <c r="K364" t="s">
        <v>740</v>
      </c>
      <c r="L364" t="s">
        <v>730</v>
      </c>
      <c r="M364" s="12">
        <v>2025</v>
      </c>
      <c r="N364" t="s">
        <v>740</v>
      </c>
    </row>
    <row r="365" spans="1:14" x14ac:dyDescent="0.2">
      <c r="A365" s="204" t="s">
        <v>504</v>
      </c>
      <c r="B365" s="1">
        <v>45947</v>
      </c>
      <c r="C365" s="204" t="s">
        <v>40</v>
      </c>
      <c r="D365" s="204" t="s">
        <v>10</v>
      </c>
      <c r="E365" s="204" t="s">
        <v>41</v>
      </c>
      <c r="F365" s="204" t="s">
        <v>213</v>
      </c>
      <c r="G365" s="204" t="s">
        <v>406</v>
      </c>
      <c r="H365" s="204" t="s">
        <v>495</v>
      </c>
      <c r="I365" s="204" t="s">
        <v>15</v>
      </c>
      <c r="K365" t="s">
        <v>740</v>
      </c>
      <c r="L365" t="s">
        <v>730</v>
      </c>
      <c r="M365" s="12">
        <v>2025</v>
      </c>
      <c r="N365" t="s">
        <v>740</v>
      </c>
    </row>
    <row r="366" spans="1:14" x14ac:dyDescent="0.2">
      <c r="A366" s="204" t="s">
        <v>500</v>
      </c>
      <c r="B366" s="1">
        <v>45946</v>
      </c>
      <c r="C366" s="204" t="s">
        <v>71</v>
      </c>
      <c r="D366" s="204" t="s">
        <v>17</v>
      </c>
      <c r="E366" s="204" t="s">
        <v>18</v>
      </c>
      <c r="F366" s="204" t="s">
        <v>501</v>
      </c>
      <c r="G366" s="204" t="s">
        <v>287</v>
      </c>
      <c r="H366" s="204" t="s">
        <v>502</v>
      </c>
      <c r="I366" s="204" t="s">
        <v>15</v>
      </c>
      <c r="K366" t="s">
        <v>740</v>
      </c>
      <c r="L366" t="s">
        <v>730</v>
      </c>
      <c r="M366" s="12">
        <v>2025</v>
      </c>
      <c r="N366" t="s">
        <v>740</v>
      </c>
    </row>
    <row r="367" spans="1:14" x14ac:dyDescent="0.2">
      <c r="A367" s="204" t="s">
        <v>503</v>
      </c>
      <c r="B367" s="1">
        <v>45946</v>
      </c>
      <c r="C367" s="204" t="s">
        <v>264</v>
      </c>
      <c r="D367" s="204" t="s">
        <v>17</v>
      </c>
      <c r="E367" s="204" t="s">
        <v>72</v>
      </c>
      <c r="F367" s="204" t="s">
        <v>282</v>
      </c>
      <c r="G367" s="204" t="s">
        <v>184</v>
      </c>
      <c r="H367" s="204" t="s">
        <v>185</v>
      </c>
      <c r="I367" s="204" t="s">
        <v>15</v>
      </c>
      <c r="K367" t="s">
        <v>740</v>
      </c>
      <c r="L367" t="s">
        <v>730</v>
      </c>
      <c r="M367" s="12">
        <v>2025</v>
      </c>
      <c r="N367" t="s">
        <v>740</v>
      </c>
    </row>
    <row r="368" spans="1:14" x14ac:dyDescent="0.2">
      <c r="A368" s="204" t="s">
        <v>499</v>
      </c>
      <c r="B368" s="1">
        <v>45945</v>
      </c>
      <c r="C368" s="204" t="s">
        <v>416</v>
      </c>
      <c r="D368" s="204" t="s">
        <v>10</v>
      </c>
      <c r="E368" s="204" t="s">
        <v>126</v>
      </c>
      <c r="F368" s="204" t="s">
        <v>100</v>
      </c>
      <c r="G368" s="204" t="s">
        <v>58</v>
      </c>
      <c r="H368" s="204" t="s">
        <v>405</v>
      </c>
      <c r="I368" s="204" t="s">
        <v>15</v>
      </c>
      <c r="K368" t="s">
        <v>740</v>
      </c>
      <c r="L368" t="s">
        <v>730</v>
      </c>
      <c r="M368" s="12">
        <v>2025</v>
      </c>
      <c r="N368" t="s">
        <v>740</v>
      </c>
    </row>
    <row r="369" spans="1:14" x14ac:dyDescent="0.2">
      <c r="A369" s="204" t="s">
        <v>509</v>
      </c>
      <c r="B369" s="1">
        <v>45945</v>
      </c>
      <c r="C369" s="204" t="s">
        <v>264</v>
      </c>
      <c r="D369" s="204" t="s">
        <v>17</v>
      </c>
      <c r="E369" s="204" t="s">
        <v>72</v>
      </c>
      <c r="F369" s="204" t="s">
        <v>313</v>
      </c>
      <c r="G369" s="204" t="s">
        <v>348</v>
      </c>
      <c r="H369" s="204" t="s">
        <v>185</v>
      </c>
      <c r="I369" s="204" t="s">
        <v>15</v>
      </c>
      <c r="K369" t="s">
        <v>740</v>
      </c>
      <c r="L369" t="s">
        <v>730</v>
      </c>
      <c r="M369" s="12">
        <v>2025</v>
      </c>
      <c r="N369" t="s">
        <v>740</v>
      </c>
    </row>
    <row r="370" spans="1:14" x14ac:dyDescent="0.2">
      <c r="A370" s="204" t="s">
        <v>403</v>
      </c>
      <c r="B370" s="1">
        <v>45944</v>
      </c>
      <c r="C370" s="204" t="s">
        <v>475</v>
      </c>
      <c r="D370" s="204" t="s">
        <v>10</v>
      </c>
      <c r="E370" s="204" t="s">
        <v>155</v>
      </c>
      <c r="F370" s="204" t="s">
        <v>476</v>
      </c>
      <c r="G370" s="204" t="s">
        <v>24</v>
      </c>
      <c r="H370" s="204" t="s">
        <v>477</v>
      </c>
      <c r="I370" s="204" t="s">
        <v>15</v>
      </c>
      <c r="K370" t="s">
        <v>740</v>
      </c>
      <c r="L370" t="s">
        <v>730</v>
      </c>
      <c r="M370" s="12">
        <v>2025</v>
      </c>
      <c r="N370" t="s">
        <v>740</v>
      </c>
    </row>
    <row r="371" spans="1:14" x14ac:dyDescent="0.2">
      <c r="A371" s="204" t="s">
        <v>478</v>
      </c>
      <c r="B371" s="1">
        <v>45944</v>
      </c>
      <c r="C371" s="204" t="s">
        <v>136</v>
      </c>
      <c r="D371" s="204" t="s">
        <v>10</v>
      </c>
      <c r="E371" s="204" t="s">
        <v>31</v>
      </c>
      <c r="F371" s="204" t="s">
        <v>449</v>
      </c>
      <c r="G371" s="204" t="s">
        <v>24</v>
      </c>
      <c r="H371" s="204" t="s">
        <v>479</v>
      </c>
      <c r="I371" s="204" t="s">
        <v>15</v>
      </c>
      <c r="K371" t="s">
        <v>740</v>
      </c>
      <c r="L371" t="s">
        <v>730</v>
      </c>
      <c r="M371" s="12">
        <v>2025</v>
      </c>
      <c r="N371" t="s">
        <v>740</v>
      </c>
    </row>
    <row r="372" spans="1:14" x14ac:dyDescent="0.2">
      <c r="A372" s="204" t="s">
        <v>488</v>
      </c>
      <c r="B372" s="1">
        <v>45944</v>
      </c>
      <c r="C372" s="204" t="s">
        <v>416</v>
      </c>
      <c r="D372" s="204" t="s">
        <v>10</v>
      </c>
      <c r="E372" s="204" t="s">
        <v>126</v>
      </c>
      <c r="F372" s="204" t="s">
        <v>489</v>
      </c>
      <c r="G372" s="204" t="s">
        <v>28</v>
      </c>
      <c r="H372" s="204" t="s">
        <v>490</v>
      </c>
      <c r="I372" s="204" t="s">
        <v>15</v>
      </c>
      <c r="K372" t="s">
        <v>740</v>
      </c>
      <c r="L372" t="s">
        <v>730</v>
      </c>
      <c r="M372" s="12">
        <v>2025</v>
      </c>
      <c r="N372" t="s">
        <v>740</v>
      </c>
    </row>
    <row r="373" spans="1:14" x14ac:dyDescent="0.2">
      <c r="A373" s="204" t="s">
        <v>461</v>
      </c>
      <c r="B373" s="1">
        <v>45944</v>
      </c>
      <c r="C373" s="204" t="s">
        <v>55</v>
      </c>
      <c r="D373" s="204" t="s">
        <v>17</v>
      </c>
      <c r="E373" s="204" t="s">
        <v>56</v>
      </c>
      <c r="F373" s="204" t="s">
        <v>462</v>
      </c>
      <c r="G373" s="204" t="s">
        <v>463</v>
      </c>
      <c r="H373" s="204" t="s">
        <v>455</v>
      </c>
      <c r="I373" s="204" t="s">
        <v>15</v>
      </c>
      <c r="K373" t="s">
        <v>740</v>
      </c>
      <c r="L373" t="s">
        <v>730</v>
      </c>
      <c r="M373" s="12">
        <v>2025</v>
      </c>
      <c r="N373" t="s">
        <v>740</v>
      </c>
    </row>
    <row r="374" spans="1:14" x14ac:dyDescent="0.2">
      <c r="A374" s="204" t="s">
        <v>491</v>
      </c>
      <c r="B374" s="1">
        <v>45940</v>
      </c>
      <c r="C374" s="204" t="s">
        <v>136</v>
      </c>
      <c r="D374" s="204" t="s">
        <v>10</v>
      </c>
      <c r="E374" s="204" t="s">
        <v>31</v>
      </c>
      <c r="F374" s="204" t="s">
        <v>242</v>
      </c>
      <c r="G374" s="204" t="s">
        <v>69</v>
      </c>
      <c r="H374" s="204" t="s">
        <v>465</v>
      </c>
      <c r="I374" s="204" t="s">
        <v>15</v>
      </c>
      <c r="K374" t="s">
        <v>740</v>
      </c>
      <c r="L374" t="s">
        <v>730</v>
      </c>
      <c r="M374" s="12">
        <v>2025</v>
      </c>
      <c r="N374" t="s">
        <v>740</v>
      </c>
    </row>
    <row r="375" spans="1:14" x14ac:dyDescent="0.2">
      <c r="A375" s="204" t="s">
        <v>492</v>
      </c>
      <c r="B375" s="1">
        <v>45940</v>
      </c>
      <c r="C375" s="204" t="s">
        <v>9</v>
      </c>
      <c r="D375" s="204" t="s">
        <v>10</v>
      </c>
      <c r="E375" s="204" t="s">
        <v>11</v>
      </c>
      <c r="F375" s="204" t="s">
        <v>424</v>
      </c>
      <c r="G375" s="204" t="s">
        <v>463</v>
      </c>
      <c r="H375" s="204" t="s">
        <v>493</v>
      </c>
      <c r="I375" s="204" t="s">
        <v>15</v>
      </c>
      <c r="K375" t="s">
        <v>740</v>
      </c>
      <c r="L375" t="s">
        <v>730</v>
      </c>
      <c r="M375" s="12">
        <v>2025</v>
      </c>
      <c r="N375" t="s">
        <v>740</v>
      </c>
    </row>
    <row r="376" spans="1:14" x14ac:dyDescent="0.2">
      <c r="A376" s="204" t="s">
        <v>494</v>
      </c>
      <c r="B376" s="1">
        <v>45938</v>
      </c>
      <c r="C376" s="204" t="s">
        <v>1326</v>
      </c>
      <c r="D376" s="204" t="s">
        <v>17</v>
      </c>
      <c r="E376" s="204" t="s">
        <v>171</v>
      </c>
      <c r="F376" s="204" t="s">
        <v>337</v>
      </c>
      <c r="G376" s="204" t="s">
        <v>58</v>
      </c>
      <c r="H376" s="204" t="s">
        <v>495</v>
      </c>
      <c r="I376" s="204" t="s">
        <v>15</v>
      </c>
      <c r="K376" t="s">
        <v>740</v>
      </c>
      <c r="L376" t="s">
        <v>730</v>
      </c>
      <c r="M376" s="12">
        <v>2025</v>
      </c>
      <c r="N376" t="s">
        <v>740</v>
      </c>
    </row>
    <row r="377" spans="1:14" x14ac:dyDescent="0.2">
      <c r="A377" s="204" t="s">
        <v>485</v>
      </c>
      <c r="B377" s="1">
        <v>45937</v>
      </c>
      <c r="C377" s="204" t="s">
        <v>261</v>
      </c>
      <c r="D377" s="204" t="s">
        <v>10</v>
      </c>
      <c r="E377" s="204" t="s">
        <v>155</v>
      </c>
      <c r="F377" s="204" t="s">
        <v>486</v>
      </c>
      <c r="G377" s="204" t="s">
        <v>69</v>
      </c>
      <c r="H377" s="204" t="s">
        <v>487</v>
      </c>
      <c r="I377" s="204" t="s">
        <v>15</v>
      </c>
      <c r="K377" t="s">
        <v>740</v>
      </c>
      <c r="L377" t="s">
        <v>730</v>
      </c>
      <c r="M377" s="12">
        <v>2025</v>
      </c>
      <c r="N377" t="s">
        <v>740</v>
      </c>
    </row>
    <row r="378" spans="1:14" x14ac:dyDescent="0.2">
      <c r="A378" s="204" t="s">
        <v>469</v>
      </c>
      <c r="B378" s="1">
        <v>45933</v>
      </c>
      <c r="C378" s="204" t="s">
        <v>264</v>
      </c>
      <c r="D378" s="204" t="s">
        <v>17</v>
      </c>
      <c r="E378" s="204" t="s">
        <v>72</v>
      </c>
      <c r="F378" s="204" t="s">
        <v>470</v>
      </c>
      <c r="G378" s="204" t="s">
        <v>13</v>
      </c>
      <c r="H378" s="204" t="s">
        <v>471</v>
      </c>
      <c r="I378" s="204" t="s">
        <v>15</v>
      </c>
      <c r="K378" t="s">
        <v>740</v>
      </c>
      <c r="L378" t="s">
        <v>730</v>
      </c>
      <c r="M378" s="12">
        <v>2025</v>
      </c>
      <c r="N378" t="s">
        <v>740</v>
      </c>
    </row>
    <row r="379" spans="1:14" x14ac:dyDescent="0.2">
      <c r="A379" s="204" t="s">
        <v>410</v>
      </c>
      <c r="B379" s="1">
        <v>45933</v>
      </c>
      <c r="C379" s="204" t="s">
        <v>264</v>
      </c>
      <c r="D379" s="204" t="s">
        <v>17</v>
      </c>
      <c r="E379" s="204" t="s">
        <v>72</v>
      </c>
      <c r="F379" s="204" t="s">
        <v>472</v>
      </c>
      <c r="G379" s="204" t="s">
        <v>24</v>
      </c>
      <c r="H379" s="204" t="s">
        <v>107</v>
      </c>
      <c r="I379" s="204" t="s">
        <v>15</v>
      </c>
      <c r="K379" t="s">
        <v>740</v>
      </c>
      <c r="L379" t="s">
        <v>730</v>
      </c>
      <c r="M379" s="12">
        <v>2025</v>
      </c>
      <c r="N379" t="s">
        <v>740</v>
      </c>
    </row>
    <row r="380" spans="1:14" x14ac:dyDescent="0.2">
      <c r="A380" s="204" t="s">
        <v>480</v>
      </c>
      <c r="B380" s="1">
        <v>45933</v>
      </c>
      <c r="C380" s="204" t="s">
        <v>1326</v>
      </c>
      <c r="D380" s="204" t="s">
        <v>17</v>
      </c>
      <c r="E380" s="204" t="s">
        <v>171</v>
      </c>
      <c r="F380" s="204" t="s">
        <v>337</v>
      </c>
      <c r="G380" s="204" t="s">
        <v>97</v>
      </c>
      <c r="H380" s="204" t="s">
        <v>158</v>
      </c>
      <c r="I380" s="204" t="s">
        <v>15</v>
      </c>
      <c r="K380" t="s">
        <v>740</v>
      </c>
      <c r="L380" t="s">
        <v>730</v>
      </c>
      <c r="M380" s="12">
        <v>2025</v>
      </c>
      <c r="N380" t="s">
        <v>740</v>
      </c>
    </row>
    <row r="381" spans="1:14" x14ac:dyDescent="0.2">
      <c r="A381" s="204" t="s">
        <v>481</v>
      </c>
      <c r="B381" s="1">
        <v>45933</v>
      </c>
      <c r="C381" s="204" t="s">
        <v>620</v>
      </c>
      <c r="D381" s="204" t="s">
        <v>17</v>
      </c>
      <c r="E381" s="204" t="s">
        <v>96</v>
      </c>
      <c r="F381" s="204" t="s">
        <v>482</v>
      </c>
      <c r="G381" s="204" t="s">
        <v>483</v>
      </c>
      <c r="H381" s="204" t="s">
        <v>75</v>
      </c>
      <c r="I381" s="204" t="s">
        <v>15</v>
      </c>
      <c r="K381" t="s">
        <v>740</v>
      </c>
      <c r="L381" t="s">
        <v>730</v>
      </c>
      <c r="M381" s="12">
        <v>2025</v>
      </c>
      <c r="N381" t="s">
        <v>740</v>
      </c>
    </row>
    <row r="382" spans="1:14" x14ac:dyDescent="0.2">
      <c r="A382" s="204" t="s">
        <v>484</v>
      </c>
      <c r="B382" s="1">
        <v>45933</v>
      </c>
      <c r="C382" s="204" t="s">
        <v>264</v>
      </c>
      <c r="D382" s="204" t="s">
        <v>17</v>
      </c>
      <c r="E382" s="204" t="s">
        <v>72</v>
      </c>
      <c r="F382" s="204" t="s">
        <v>313</v>
      </c>
      <c r="G382" s="204" t="s">
        <v>348</v>
      </c>
      <c r="H382" s="204" t="s">
        <v>185</v>
      </c>
      <c r="I382" s="204" t="s">
        <v>15</v>
      </c>
      <c r="K382" t="s">
        <v>740</v>
      </c>
      <c r="L382" t="s">
        <v>730</v>
      </c>
      <c r="M382" s="12">
        <v>2025</v>
      </c>
      <c r="N382" t="s">
        <v>740</v>
      </c>
    </row>
    <row r="383" spans="1:14" x14ac:dyDescent="0.2">
      <c r="A383" s="204" t="s">
        <v>467</v>
      </c>
      <c r="B383" s="1">
        <v>45932</v>
      </c>
      <c r="C383" s="204" t="s">
        <v>264</v>
      </c>
      <c r="D383" s="204" t="s">
        <v>17</v>
      </c>
      <c r="E383" s="204" t="s">
        <v>72</v>
      </c>
      <c r="F383" s="204" t="s">
        <v>313</v>
      </c>
      <c r="G383" s="204" t="s">
        <v>468</v>
      </c>
      <c r="H383" s="204" t="s">
        <v>156</v>
      </c>
      <c r="I383" s="204" t="s">
        <v>15</v>
      </c>
      <c r="K383" t="s">
        <v>740</v>
      </c>
      <c r="L383" t="s">
        <v>730</v>
      </c>
      <c r="M383" s="12">
        <v>2025</v>
      </c>
      <c r="N383" t="s">
        <v>740</v>
      </c>
    </row>
    <row r="384" spans="1:14" x14ac:dyDescent="0.2">
      <c r="A384" s="204" t="s">
        <v>295</v>
      </c>
      <c r="B384" s="1">
        <v>45931</v>
      </c>
      <c r="C384" s="204" t="s">
        <v>264</v>
      </c>
      <c r="D384" s="204" t="s">
        <v>17</v>
      </c>
      <c r="E384" s="204" t="s">
        <v>72</v>
      </c>
      <c r="F384" s="204" t="s">
        <v>296</v>
      </c>
      <c r="G384" s="204" t="s">
        <v>24</v>
      </c>
      <c r="H384" s="204" t="s">
        <v>124</v>
      </c>
      <c r="I384" s="204" t="s">
        <v>15</v>
      </c>
      <c r="K384" t="s">
        <v>740</v>
      </c>
      <c r="L384" t="s">
        <v>730</v>
      </c>
      <c r="M384" s="12">
        <v>2025</v>
      </c>
      <c r="N384" t="s">
        <v>740</v>
      </c>
    </row>
    <row r="385" spans="1:14" x14ac:dyDescent="0.2">
      <c r="A385" s="204" t="s">
        <v>464</v>
      </c>
      <c r="B385" s="1">
        <v>45931</v>
      </c>
      <c r="C385" s="204" t="s">
        <v>136</v>
      </c>
      <c r="D385" s="204" t="s">
        <v>10</v>
      </c>
      <c r="E385" s="204" t="s">
        <v>31</v>
      </c>
      <c r="F385" s="204" t="s">
        <v>242</v>
      </c>
      <c r="G385" s="204" t="s">
        <v>24</v>
      </c>
      <c r="H385" s="204" t="s">
        <v>465</v>
      </c>
      <c r="I385" s="204" t="s">
        <v>15</v>
      </c>
      <c r="K385" t="s">
        <v>740</v>
      </c>
      <c r="L385" t="s">
        <v>730</v>
      </c>
      <c r="M385" s="12">
        <v>2025</v>
      </c>
      <c r="N385" t="s">
        <v>740</v>
      </c>
    </row>
    <row r="386" spans="1:14" x14ac:dyDescent="0.2">
      <c r="A386" s="204" t="s">
        <v>473</v>
      </c>
      <c r="B386" s="1">
        <v>45931</v>
      </c>
      <c r="C386" s="204" t="s">
        <v>46</v>
      </c>
      <c r="D386" s="204" t="s">
        <v>10</v>
      </c>
      <c r="E386" s="204" t="s">
        <v>47</v>
      </c>
      <c r="F386" s="204" t="s">
        <v>232</v>
      </c>
      <c r="G386" s="204" t="s">
        <v>69</v>
      </c>
      <c r="H386" s="204" t="s">
        <v>474</v>
      </c>
      <c r="I386" s="204" t="s">
        <v>15</v>
      </c>
      <c r="K386" t="s">
        <v>740</v>
      </c>
      <c r="L386" t="s">
        <v>730</v>
      </c>
      <c r="M386" s="12">
        <v>2025</v>
      </c>
      <c r="N386" t="s">
        <v>740</v>
      </c>
    </row>
    <row r="387" spans="1:14" x14ac:dyDescent="0.2">
      <c r="A387" s="204" t="s">
        <v>247</v>
      </c>
      <c r="B387" s="1">
        <v>45930</v>
      </c>
      <c r="C387" s="204" t="s">
        <v>9</v>
      </c>
      <c r="D387" s="204" t="s">
        <v>10</v>
      </c>
      <c r="E387" s="204" t="s">
        <v>11</v>
      </c>
      <c r="F387" s="204" t="s">
        <v>449</v>
      </c>
      <c r="G387" s="204" t="s">
        <v>24</v>
      </c>
      <c r="H387" s="204" t="s">
        <v>450</v>
      </c>
      <c r="I387" s="204" t="s">
        <v>15</v>
      </c>
      <c r="K387" t="s">
        <v>739</v>
      </c>
      <c r="L387" t="s">
        <v>730</v>
      </c>
      <c r="M387" s="12">
        <v>2025</v>
      </c>
      <c r="N387" t="s">
        <v>739</v>
      </c>
    </row>
    <row r="388" spans="1:14" x14ac:dyDescent="0.2">
      <c r="A388" s="204" t="s">
        <v>438</v>
      </c>
      <c r="B388" s="1">
        <v>45926</v>
      </c>
      <c r="C388" s="204" t="s">
        <v>620</v>
      </c>
      <c r="D388" s="204" t="s">
        <v>17</v>
      </c>
      <c r="E388" s="204" t="s">
        <v>96</v>
      </c>
      <c r="F388" s="204" t="s">
        <v>439</v>
      </c>
      <c r="G388" s="204" t="s">
        <v>24</v>
      </c>
      <c r="H388" s="204" t="s">
        <v>440</v>
      </c>
      <c r="I388" s="204" t="s">
        <v>15</v>
      </c>
      <c r="K388" t="s">
        <v>739</v>
      </c>
      <c r="L388" t="s">
        <v>730</v>
      </c>
      <c r="M388" s="12">
        <v>2025</v>
      </c>
      <c r="N388" t="s">
        <v>739</v>
      </c>
    </row>
    <row r="389" spans="1:14" x14ac:dyDescent="0.2">
      <c r="A389" s="204" t="s">
        <v>206</v>
      </c>
      <c r="B389" s="1">
        <v>45926</v>
      </c>
      <c r="C389" s="204" t="s">
        <v>620</v>
      </c>
      <c r="D389" s="204" t="s">
        <v>17</v>
      </c>
      <c r="E389" s="204" t="s">
        <v>96</v>
      </c>
      <c r="F389" s="204" t="s">
        <v>466</v>
      </c>
      <c r="G389" s="204" t="s">
        <v>97</v>
      </c>
      <c r="H389" s="204" t="s">
        <v>158</v>
      </c>
      <c r="I389" s="204" t="s">
        <v>15</v>
      </c>
      <c r="K389" t="s">
        <v>739</v>
      </c>
      <c r="L389" t="s">
        <v>730</v>
      </c>
      <c r="M389" s="12">
        <v>2025</v>
      </c>
      <c r="N389" t="s">
        <v>739</v>
      </c>
    </row>
    <row r="390" spans="1:14" x14ac:dyDescent="0.2">
      <c r="A390" s="204" t="s">
        <v>452</v>
      </c>
      <c r="B390" s="1">
        <v>45925</v>
      </c>
      <c r="C390" s="204" t="s">
        <v>657</v>
      </c>
      <c r="D390" s="204" t="s">
        <v>17</v>
      </c>
      <c r="E390" s="204" t="s">
        <v>114</v>
      </c>
      <c r="F390" s="204" t="s">
        <v>453</v>
      </c>
      <c r="G390" s="204" t="s">
        <v>69</v>
      </c>
      <c r="H390" s="204" t="s">
        <v>87</v>
      </c>
      <c r="I390" s="204" t="s">
        <v>15</v>
      </c>
      <c r="K390" t="s">
        <v>739</v>
      </c>
      <c r="L390" t="s">
        <v>730</v>
      </c>
      <c r="M390" s="12">
        <v>2025</v>
      </c>
      <c r="N390" t="s">
        <v>739</v>
      </c>
    </row>
    <row r="391" spans="1:14" x14ac:dyDescent="0.2">
      <c r="A391" s="204" t="s">
        <v>454</v>
      </c>
      <c r="B391" s="1">
        <v>45925</v>
      </c>
      <c r="C391" s="204" t="s">
        <v>9</v>
      </c>
      <c r="D391" s="204" t="s">
        <v>10</v>
      </c>
      <c r="E391" s="204" t="s">
        <v>11</v>
      </c>
      <c r="F391" s="204" t="s">
        <v>12</v>
      </c>
      <c r="G391" s="204" t="s">
        <v>406</v>
      </c>
      <c r="H391" s="204" t="s">
        <v>455</v>
      </c>
      <c r="I391" s="204" t="s">
        <v>15</v>
      </c>
      <c r="K391" t="s">
        <v>739</v>
      </c>
      <c r="L391" t="s">
        <v>730</v>
      </c>
      <c r="M391" s="12">
        <v>2025</v>
      </c>
      <c r="N391" t="s">
        <v>739</v>
      </c>
    </row>
    <row r="392" spans="1:14" x14ac:dyDescent="0.2">
      <c r="A392" s="204" t="s">
        <v>456</v>
      </c>
      <c r="B392" s="1">
        <v>45925</v>
      </c>
      <c r="C392" s="204" t="s">
        <v>40</v>
      </c>
      <c r="D392" s="204" t="s">
        <v>10</v>
      </c>
      <c r="E392" s="204" t="s">
        <v>41</v>
      </c>
      <c r="F392" s="204" t="s">
        <v>457</v>
      </c>
      <c r="G392" s="204" t="s">
        <v>58</v>
      </c>
      <c r="H392" s="204" t="s">
        <v>59</v>
      </c>
      <c r="I392" s="204" t="s">
        <v>15</v>
      </c>
      <c r="K392" t="s">
        <v>739</v>
      </c>
      <c r="L392" t="s">
        <v>730</v>
      </c>
      <c r="M392" s="12">
        <v>2025</v>
      </c>
      <c r="N392" t="s">
        <v>739</v>
      </c>
    </row>
    <row r="393" spans="1:14" x14ac:dyDescent="0.2">
      <c r="A393" s="204" t="s">
        <v>458</v>
      </c>
      <c r="B393" s="1">
        <v>45925</v>
      </c>
      <c r="C393" s="204" t="s">
        <v>264</v>
      </c>
      <c r="D393" s="204" t="s">
        <v>17</v>
      </c>
      <c r="E393" s="204" t="s">
        <v>72</v>
      </c>
      <c r="F393" s="204" t="s">
        <v>143</v>
      </c>
      <c r="G393" s="204" t="s">
        <v>184</v>
      </c>
      <c r="H393" s="204" t="s">
        <v>142</v>
      </c>
      <c r="I393" s="204" t="s">
        <v>15</v>
      </c>
      <c r="K393" t="s">
        <v>739</v>
      </c>
      <c r="L393" t="s">
        <v>730</v>
      </c>
      <c r="M393" s="12">
        <v>2025</v>
      </c>
      <c r="N393" t="s">
        <v>739</v>
      </c>
    </row>
    <row r="394" spans="1:14" x14ac:dyDescent="0.2">
      <c r="A394" s="204" t="s">
        <v>459</v>
      </c>
      <c r="B394" s="1">
        <v>45925</v>
      </c>
      <c r="C394" s="204" t="s">
        <v>620</v>
      </c>
      <c r="D394" s="204" t="s">
        <v>17</v>
      </c>
      <c r="E394" s="204" t="s">
        <v>62</v>
      </c>
      <c r="F394" s="204" t="s">
        <v>63</v>
      </c>
      <c r="G394" s="204" t="s">
        <v>393</v>
      </c>
      <c r="H394" s="204" t="s">
        <v>460</v>
      </c>
      <c r="I394" s="204" t="s">
        <v>15</v>
      </c>
      <c r="K394" t="s">
        <v>739</v>
      </c>
      <c r="L394" t="s">
        <v>730</v>
      </c>
      <c r="M394" s="12">
        <v>2025</v>
      </c>
      <c r="N394" t="s">
        <v>739</v>
      </c>
    </row>
    <row r="395" spans="1:14" x14ac:dyDescent="0.2">
      <c r="A395" s="204" t="s">
        <v>461</v>
      </c>
      <c r="B395" s="1">
        <v>45925</v>
      </c>
      <c r="C395" s="204" t="s">
        <v>55</v>
      </c>
      <c r="D395" s="204" t="s">
        <v>17</v>
      </c>
      <c r="E395" s="204" t="s">
        <v>56</v>
      </c>
      <c r="F395" s="204" t="s">
        <v>462</v>
      </c>
      <c r="G395" s="204" t="s">
        <v>463</v>
      </c>
      <c r="H395" s="204" t="s">
        <v>455</v>
      </c>
      <c r="I395" s="204" t="s">
        <v>15</v>
      </c>
      <c r="K395" t="s">
        <v>739</v>
      </c>
      <c r="L395" t="s">
        <v>730</v>
      </c>
      <c r="M395" s="12">
        <v>2025</v>
      </c>
      <c r="N395" t="s">
        <v>739</v>
      </c>
    </row>
    <row r="396" spans="1:14" x14ac:dyDescent="0.2">
      <c r="A396" s="204" t="s">
        <v>275</v>
      </c>
      <c r="B396" s="1">
        <v>45923</v>
      </c>
      <c r="C396" s="204" t="s">
        <v>55</v>
      </c>
      <c r="D396" s="204" t="s">
        <v>17</v>
      </c>
      <c r="E396" s="204" t="s">
        <v>56</v>
      </c>
      <c r="F396" s="204" t="s">
        <v>276</v>
      </c>
      <c r="G396" s="204" t="s">
        <v>24</v>
      </c>
      <c r="H396" s="204" t="s">
        <v>417</v>
      </c>
      <c r="I396" s="204" t="s">
        <v>15</v>
      </c>
      <c r="K396" t="s">
        <v>739</v>
      </c>
      <c r="L396" t="s">
        <v>730</v>
      </c>
      <c r="M396" s="12">
        <v>2025</v>
      </c>
      <c r="N396" t="s">
        <v>739</v>
      </c>
    </row>
    <row r="397" spans="1:14" x14ac:dyDescent="0.2">
      <c r="A397" s="204" t="s">
        <v>264</v>
      </c>
      <c r="B397" s="1">
        <v>45923</v>
      </c>
      <c r="C397" s="204" t="s">
        <v>82</v>
      </c>
      <c r="D397" s="204" t="s">
        <v>17</v>
      </c>
      <c r="E397" s="204" t="s">
        <v>72</v>
      </c>
      <c r="F397" s="204" t="s">
        <v>2</v>
      </c>
      <c r="G397" s="204" t="s">
        <v>24</v>
      </c>
      <c r="H397" s="204" t="s">
        <v>420</v>
      </c>
      <c r="I397" s="204" t="s">
        <v>15</v>
      </c>
      <c r="K397" t="s">
        <v>739</v>
      </c>
      <c r="L397" t="s">
        <v>730</v>
      </c>
      <c r="M397" s="12">
        <v>2025</v>
      </c>
      <c r="N397" t="s">
        <v>739</v>
      </c>
    </row>
    <row r="398" spans="1:14" x14ac:dyDescent="0.2">
      <c r="A398" s="204" t="s">
        <v>444</v>
      </c>
      <c r="B398" s="1">
        <v>45923</v>
      </c>
      <c r="C398" s="204" t="s">
        <v>416</v>
      </c>
      <c r="D398" s="204" t="s">
        <v>10</v>
      </c>
      <c r="E398" s="204" t="s">
        <v>126</v>
      </c>
      <c r="F398" s="204" t="s">
        <v>127</v>
      </c>
      <c r="G398" s="204" t="s">
        <v>151</v>
      </c>
      <c r="H398" s="204" t="s">
        <v>445</v>
      </c>
      <c r="I398" s="204" t="s">
        <v>15</v>
      </c>
      <c r="K398" t="s">
        <v>739</v>
      </c>
      <c r="L398" t="s">
        <v>730</v>
      </c>
      <c r="M398" s="12">
        <v>2025</v>
      </c>
      <c r="N398" t="s">
        <v>739</v>
      </c>
    </row>
    <row r="399" spans="1:14" x14ac:dyDescent="0.2">
      <c r="A399" s="204" t="s">
        <v>446</v>
      </c>
      <c r="B399" s="1">
        <v>45923</v>
      </c>
      <c r="C399" s="204" t="s">
        <v>46</v>
      </c>
      <c r="D399" s="204" t="s">
        <v>10</v>
      </c>
      <c r="E399" s="204" t="s">
        <v>47</v>
      </c>
      <c r="F399" s="204" t="s">
        <v>447</v>
      </c>
      <c r="G399" s="204" t="s">
        <v>348</v>
      </c>
      <c r="H399" s="204" t="s">
        <v>448</v>
      </c>
      <c r="I399" s="204" t="s">
        <v>15</v>
      </c>
      <c r="K399" t="s">
        <v>739</v>
      </c>
      <c r="L399" t="s">
        <v>730</v>
      </c>
      <c r="M399" s="12">
        <v>2025</v>
      </c>
      <c r="N399" t="s">
        <v>739</v>
      </c>
    </row>
    <row r="400" spans="1:14" x14ac:dyDescent="0.2">
      <c r="A400" s="204" t="s">
        <v>295</v>
      </c>
      <c r="B400" s="1">
        <v>45923</v>
      </c>
      <c r="C400" s="204" t="s">
        <v>264</v>
      </c>
      <c r="D400" s="204" t="s">
        <v>17</v>
      </c>
      <c r="E400" s="204" t="s">
        <v>72</v>
      </c>
      <c r="F400" s="204" t="s">
        <v>296</v>
      </c>
      <c r="G400" s="204" t="s">
        <v>184</v>
      </c>
      <c r="H400" s="204" t="s">
        <v>451</v>
      </c>
      <c r="I400" s="204" t="s">
        <v>15</v>
      </c>
      <c r="K400" t="s">
        <v>739</v>
      </c>
      <c r="L400" t="s">
        <v>730</v>
      </c>
      <c r="M400" s="12">
        <v>2025</v>
      </c>
      <c r="N400" t="s">
        <v>739</v>
      </c>
    </row>
    <row r="401" spans="1:14" x14ac:dyDescent="0.2">
      <c r="A401" s="204" t="s">
        <v>441</v>
      </c>
      <c r="B401" s="1">
        <v>45919</v>
      </c>
      <c r="C401" s="204" t="s">
        <v>264</v>
      </c>
      <c r="D401" s="204" t="s">
        <v>17</v>
      </c>
      <c r="E401" s="204" t="s">
        <v>72</v>
      </c>
      <c r="F401" s="204" t="s">
        <v>73</v>
      </c>
      <c r="G401" s="204" t="s">
        <v>348</v>
      </c>
      <c r="H401" s="204" t="s">
        <v>142</v>
      </c>
      <c r="I401" s="204" t="s">
        <v>15</v>
      </c>
      <c r="K401" t="s">
        <v>739</v>
      </c>
      <c r="L401" t="s">
        <v>730</v>
      </c>
      <c r="M401" s="12">
        <v>2025</v>
      </c>
      <c r="N401" t="s">
        <v>739</v>
      </c>
    </row>
    <row r="402" spans="1:14" x14ac:dyDescent="0.2">
      <c r="A402" s="204" t="s">
        <v>442</v>
      </c>
      <c r="B402" s="1">
        <v>45919</v>
      </c>
      <c r="C402" s="204" t="s">
        <v>657</v>
      </c>
      <c r="D402" s="204" t="s">
        <v>17</v>
      </c>
      <c r="E402" s="204" t="s">
        <v>191</v>
      </c>
      <c r="F402" s="204" t="s">
        <v>360</v>
      </c>
      <c r="G402" s="204" t="s">
        <v>184</v>
      </c>
      <c r="H402" s="204" t="s">
        <v>443</v>
      </c>
      <c r="I402" s="204" t="s">
        <v>15</v>
      </c>
      <c r="K402" t="s">
        <v>739</v>
      </c>
      <c r="L402" t="s">
        <v>730</v>
      </c>
      <c r="M402" s="12">
        <v>2025</v>
      </c>
      <c r="N402" t="s">
        <v>739</v>
      </c>
    </row>
    <row r="403" spans="1:14" x14ac:dyDescent="0.2">
      <c r="A403" s="204" t="s">
        <v>415</v>
      </c>
      <c r="B403" s="1">
        <v>45918</v>
      </c>
      <c r="C403" s="204" t="s">
        <v>416</v>
      </c>
      <c r="D403" s="204" t="s">
        <v>10</v>
      </c>
      <c r="E403" s="204" t="s">
        <v>126</v>
      </c>
      <c r="F403" s="204" t="s">
        <v>138</v>
      </c>
      <c r="G403" s="204" t="s">
        <v>24</v>
      </c>
      <c r="H403" s="204" t="s">
        <v>14</v>
      </c>
      <c r="I403" s="204" t="s">
        <v>15</v>
      </c>
      <c r="K403" t="s">
        <v>739</v>
      </c>
      <c r="L403" t="s">
        <v>730</v>
      </c>
      <c r="M403" s="12">
        <v>2025</v>
      </c>
      <c r="N403" t="s">
        <v>739</v>
      </c>
    </row>
    <row r="404" spans="1:14" x14ac:dyDescent="0.2">
      <c r="A404" s="204" t="s">
        <v>227</v>
      </c>
      <c r="B404" s="1">
        <v>45918</v>
      </c>
      <c r="C404" s="204" t="s">
        <v>71</v>
      </c>
      <c r="D404" s="204" t="s">
        <v>17</v>
      </c>
      <c r="E404" s="204" t="s">
        <v>18</v>
      </c>
      <c r="F404" s="204" t="s">
        <v>100</v>
      </c>
      <c r="G404" s="204" t="s">
        <v>97</v>
      </c>
      <c r="H404" s="204" t="s">
        <v>158</v>
      </c>
      <c r="I404" s="204" t="s">
        <v>15</v>
      </c>
      <c r="K404" t="s">
        <v>739</v>
      </c>
      <c r="L404" t="s">
        <v>730</v>
      </c>
      <c r="M404" s="12">
        <v>2025</v>
      </c>
      <c r="N404" t="s">
        <v>739</v>
      </c>
    </row>
    <row r="405" spans="1:14" x14ac:dyDescent="0.2">
      <c r="A405" s="204" t="s">
        <v>434</v>
      </c>
      <c r="B405" s="1">
        <v>45916</v>
      </c>
      <c r="C405" s="204" t="s">
        <v>136</v>
      </c>
      <c r="D405" s="204" t="s">
        <v>10</v>
      </c>
      <c r="E405" s="204" t="s">
        <v>31</v>
      </c>
      <c r="F405" s="204" t="s">
        <v>435</v>
      </c>
      <c r="G405" s="204" t="s">
        <v>58</v>
      </c>
      <c r="H405" s="204" t="s">
        <v>436</v>
      </c>
      <c r="I405" s="204" t="s">
        <v>15</v>
      </c>
      <c r="K405" t="s">
        <v>739</v>
      </c>
      <c r="L405" t="s">
        <v>730</v>
      </c>
      <c r="M405" s="12">
        <v>2025</v>
      </c>
      <c r="N405" t="s">
        <v>739</v>
      </c>
    </row>
    <row r="406" spans="1:14" x14ac:dyDescent="0.2">
      <c r="A406" s="204" t="s">
        <v>338</v>
      </c>
      <c r="B406" s="1">
        <v>45916</v>
      </c>
      <c r="C406" s="204" t="s">
        <v>46</v>
      </c>
      <c r="D406" s="204" t="s">
        <v>10</v>
      </c>
      <c r="E406" s="204" t="s">
        <v>47</v>
      </c>
      <c r="F406" s="204" t="s">
        <v>162</v>
      </c>
      <c r="G406" s="204" t="s">
        <v>151</v>
      </c>
      <c r="H406" s="204" t="s">
        <v>437</v>
      </c>
      <c r="I406" s="204" t="s">
        <v>15</v>
      </c>
      <c r="K406" t="s">
        <v>739</v>
      </c>
      <c r="L406" t="s">
        <v>730</v>
      </c>
      <c r="M406" s="12">
        <v>2025</v>
      </c>
      <c r="N406" t="s">
        <v>739</v>
      </c>
    </row>
    <row r="407" spans="1:14" x14ac:dyDescent="0.2">
      <c r="A407" s="204" t="s">
        <v>428</v>
      </c>
      <c r="B407" s="1">
        <v>45912</v>
      </c>
      <c r="C407" s="204" t="s">
        <v>620</v>
      </c>
      <c r="D407" s="204" t="s">
        <v>17</v>
      </c>
      <c r="E407" s="204" t="s">
        <v>96</v>
      </c>
      <c r="F407" s="204" t="s">
        <v>429</v>
      </c>
      <c r="G407" s="204" t="s">
        <v>184</v>
      </c>
      <c r="H407" s="204" t="s">
        <v>430</v>
      </c>
      <c r="I407" s="204" t="s">
        <v>15</v>
      </c>
      <c r="K407" t="s">
        <v>739</v>
      </c>
      <c r="L407" t="s">
        <v>730</v>
      </c>
      <c r="M407" s="12">
        <v>2025</v>
      </c>
      <c r="N407" t="s">
        <v>739</v>
      </c>
    </row>
    <row r="408" spans="1:14" x14ac:dyDescent="0.2">
      <c r="A408" s="204" t="s">
        <v>431</v>
      </c>
      <c r="B408" s="1">
        <v>45912</v>
      </c>
      <c r="C408" s="204" t="s">
        <v>55</v>
      </c>
      <c r="D408" s="204" t="s">
        <v>17</v>
      </c>
      <c r="E408" s="204" t="s">
        <v>56</v>
      </c>
      <c r="F408" s="204" t="s">
        <v>432</v>
      </c>
      <c r="G408" s="204" t="s">
        <v>184</v>
      </c>
      <c r="H408" s="204" t="s">
        <v>433</v>
      </c>
      <c r="I408" s="204" t="s">
        <v>15</v>
      </c>
      <c r="K408" t="s">
        <v>739</v>
      </c>
      <c r="L408" t="s">
        <v>730</v>
      </c>
      <c r="M408" s="12">
        <v>2025</v>
      </c>
      <c r="N408" t="s">
        <v>739</v>
      </c>
    </row>
    <row r="409" spans="1:14" x14ac:dyDescent="0.2">
      <c r="A409" s="204" t="s">
        <v>177</v>
      </c>
      <c r="B409" s="1">
        <v>45911</v>
      </c>
      <c r="C409" s="204" t="s">
        <v>9</v>
      </c>
      <c r="D409" s="204" t="s">
        <v>10</v>
      </c>
      <c r="E409" s="204" t="s">
        <v>11</v>
      </c>
      <c r="F409" s="204" t="s">
        <v>424</v>
      </c>
      <c r="G409" s="204" t="s">
        <v>69</v>
      </c>
      <c r="H409" s="204" t="s">
        <v>124</v>
      </c>
      <c r="I409" s="204" t="s">
        <v>15</v>
      </c>
      <c r="K409" t="s">
        <v>739</v>
      </c>
      <c r="L409" t="s">
        <v>730</v>
      </c>
      <c r="M409" s="12">
        <v>2025</v>
      </c>
      <c r="N409" t="s">
        <v>739</v>
      </c>
    </row>
    <row r="410" spans="1:14" x14ac:dyDescent="0.2">
      <c r="A410" s="204" t="s">
        <v>425</v>
      </c>
      <c r="B410" s="1">
        <v>45911</v>
      </c>
      <c r="C410" s="204" t="s">
        <v>264</v>
      </c>
      <c r="D410" s="204" t="s">
        <v>17</v>
      </c>
      <c r="E410" s="204" t="s">
        <v>72</v>
      </c>
      <c r="F410" s="204" t="s">
        <v>313</v>
      </c>
      <c r="G410" s="204" t="s">
        <v>406</v>
      </c>
      <c r="H410" s="204" t="s">
        <v>255</v>
      </c>
      <c r="I410" s="204" t="s">
        <v>15</v>
      </c>
      <c r="K410" t="s">
        <v>739</v>
      </c>
      <c r="L410" t="s">
        <v>730</v>
      </c>
      <c r="M410" s="12">
        <v>2025</v>
      </c>
      <c r="N410" t="s">
        <v>739</v>
      </c>
    </row>
    <row r="411" spans="1:14" x14ac:dyDescent="0.2">
      <c r="A411" s="204" t="s">
        <v>426</v>
      </c>
      <c r="B411" s="1">
        <v>45911</v>
      </c>
      <c r="C411" s="204" t="s">
        <v>657</v>
      </c>
      <c r="D411" s="204" t="s">
        <v>17</v>
      </c>
      <c r="E411" s="204" t="s">
        <v>191</v>
      </c>
      <c r="F411" s="204" t="s">
        <v>427</v>
      </c>
      <c r="G411" s="204" t="s">
        <v>58</v>
      </c>
      <c r="H411" s="204" t="s">
        <v>320</v>
      </c>
      <c r="I411" s="204" t="s">
        <v>15</v>
      </c>
      <c r="K411" t="s">
        <v>739</v>
      </c>
      <c r="L411" t="s">
        <v>730</v>
      </c>
      <c r="M411" s="12">
        <v>2025</v>
      </c>
      <c r="N411" t="s">
        <v>739</v>
      </c>
    </row>
    <row r="412" spans="1:14" x14ac:dyDescent="0.2">
      <c r="A412" s="204" t="s">
        <v>421</v>
      </c>
      <c r="B412" s="1">
        <v>45909</v>
      </c>
      <c r="C412" s="204" t="s">
        <v>416</v>
      </c>
      <c r="D412" s="204" t="s">
        <v>10</v>
      </c>
      <c r="E412" s="204" t="s">
        <v>126</v>
      </c>
      <c r="F412" s="204" t="s">
        <v>422</v>
      </c>
      <c r="G412" s="204" t="s">
        <v>348</v>
      </c>
      <c r="H412" s="204" t="s">
        <v>423</v>
      </c>
      <c r="I412" s="204" t="s">
        <v>15</v>
      </c>
      <c r="K412" t="s">
        <v>739</v>
      </c>
      <c r="L412" t="s">
        <v>730</v>
      </c>
      <c r="M412" s="12">
        <v>2025</v>
      </c>
      <c r="N412" t="s">
        <v>739</v>
      </c>
    </row>
    <row r="413" spans="1:14" x14ac:dyDescent="0.2">
      <c r="A413" s="204" t="s">
        <v>410</v>
      </c>
      <c r="B413" s="1">
        <v>45905</v>
      </c>
      <c r="C413" s="204" t="s">
        <v>264</v>
      </c>
      <c r="D413" s="204" t="s">
        <v>17</v>
      </c>
      <c r="E413" s="204" t="s">
        <v>72</v>
      </c>
      <c r="F413" s="204" t="s">
        <v>411</v>
      </c>
      <c r="G413" s="204" t="s">
        <v>24</v>
      </c>
      <c r="H413" s="204" t="s">
        <v>107</v>
      </c>
      <c r="I413" s="204" t="s">
        <v>15</v>
      </c>
      <c r="K413" t="s">
        <v>739</v>
      </c>
      <c r="L413" t="s">
        <v>730</v>
      </c>
      <c r="M413" s="12">
        <v>2025</v>
      </c>
      <c r="N413" t="s">
        <v>739</v>
      </c>
    </row>
    <row r="414" spans="1:14" x14ac:dyDescent="0.2">
      <c r="A414" s="204" t="s">
        <v>412</v>
      </c>
      <c r="B414" s="1">
        <v>45905</v>
      </c>
      <c r="C414" s="204" t="s">
        <v>657</v>
      </c>
      <c r="D414" s="204" t="s">
        <v>17</v>
      </c>
      <c r="E414" s="204" t="s">
        <v>114</v>
      </c>
      <c r="F414" s="204" t="s">
        <v>413</v>
      </c>
      <c r="G414" s="204" t="s">
        <v>24</v>
      </c>
      <c r="H414" s="204" t="s">
        <v>414</v>
      </c>
      <c r="I414" s="204" t="s">
        <v>15</v>
      </c>
      <c r="K414" t="s">
        <v>739</v>
      </c>
      <c r="L414" t="s">
        <v>730</v>
      </c>
      <c r="M414" s="12">
        <v>2025</v>
      </c>
      <c r="N414" t="s">
        <v>739</v>
      </c>
    </row>
    <row r="415" spans="1:14" x14ac:dyDescent="0.2">
      <c r="A415" s="204" t="s">
        <v>418</v>
      </c>
      <c r="B415" s="1">
        <v>45905</v>
      </c>
      <c r="C415" s="204" t="s">
        <v>657</v>
      </c>
      <c r="D415" s="204" t="s">
        <v>17</v>
      </c>
      <c r="E415" s="204" t="s">
        <v>114</v>
      </c>
      <c r="F415" s="204" t="s">
        <v>419</v>
      </c>
      <c r="G415" s="204" t="s">
        <v>69</v>
      </c>
      <c r="H415" s="204" t="s">
        <v>205</v>
      </c>
      <c r="I415" s="204" t="s">
        <v>278</v>
      </c>
      <c r="K415" t="s">
        <v>739</v>
      </c>
      <c r="L415" t="s">
        <v>730</v>
      </c>
      <c r="M415" s="12">
        <v>2025</v>
      </c>
      <c r="N415" t="s">
        <v>739</v>
      </c>
    </row>
    <row r="416" spans="1:14" x14ac:dyDescent="0.2">
      <c r="A416" s="204" t="s">
        <v>390</v>
      </c>
      <c r="B416" s="1">
        <v>45904</v>
      </c>
      <c r="C416" s="204" t="s">
        <v>657</v>
      </c>
      <c r="D416" s="204" t="s">
        <v>17</v>
      </c>
      <c r="E416" s="204" t="s">
        <v>191</v>
      </c>
      <c r="F416" s="204" t="s">
        <v>204</v>
      </c>
      <c r="G416" s="204" t="s">
        <v>24</v>
      </c>
      <c r="H416" s="204" t="s">
        <v>391</v>
      </c>
      <c r="I416" s="204" t="s">
        <v>15</v>
      </c>
      <c r="K416" t="s">
        <v>739</v>
      </c>
      <c r="L416" t="s">
        <v>730</v>
      </c>
      <c r="M416" s="12">
        <v>2025</v>
      </c>
      <c r="N416" t="s">
        <v>739</v>
      </c>
    </row>
    <row r="417" spans="1:14" x14ac:dyDescent="0.2">
      <c r="A417" s="204" t="s">
        <v>395</v>
      </c>
      <c r="B417" s="1">
        <v>45904</v>
      </c>
      <c r="C417" s="204" t="s">
        <v>264</v>
      </c>
      <c r="D417" s="204" t="s">
        <v>17</v>
      </c>
      <c r="E417" s="204" t="s">
        <v>72</v>
      </c>
      <c r="F417" s="204" t="s">
        <v>192</v>
      </c>
      <c r="G417" s="204" t="s">
        <v>28</v>
      </c>
      <c r="H417" s="204" t="s">
        <v>152</v>
      </c>
      <c r="I417" s="204" t="s">
        <v>15</v>
      </c>
      <c r="K417" t="s">
        <v>739</v>
      </c>
      <c r="L417" t="s">
        <v>730</v>
      </c>
      <c r="M417" s="12">
        <v>2025</v>
      </c>
      <c r="N417" t="s">
        <v>739</v>
      </c>
    </row>
    <row r="418" spans="1:14" x14ac:dyDescent="0.2">
      <c r="A418" s="204" t="s">
        <v>403</v>
      </c>
      <c r="B418" s="1">
        <v>45904</v>
      </c>
      <c r="C418" s="204" t="s">
        <v>261</v>
      </c>
      <c r="D418" s="204" t="s">
        <v>10</v>
      </c>
      <c r="E418" s="204" t="s">
        <v>155</v>
      </c>
      <c r="F418" s="204" t="s">
        <v>404</v>
      </c>
      <c r="G418" s="204" t="s">
        <v>24</v>
      </c>
      <c r="H418" s="204" t="s">
        <v>405</v>
      </c>
      <c r="I418" s="204" t="s">
        <v>15</v>
      </c>
      <c r="K418" t="s">
        <v>739</v>
      </c>
      <c r="L418" t="s">
        <v>730</v>
      </c>
      <c r="M418" s="12">
        <v>2025</v>
      </c>
      <c r="N418" t="s">
        <v>739</v>
      </c>
    </row>
    <row r="419" spans="1:14" x14ac:dyDescent="0.2">
      <c r="A419" s="204" t="s">
        <v>140</v>
      </c>
      <c r="B419" s="1">
        <v>45904</v>
      </c>
      <c r="C419" s="204" t="s">
        <v>1326</v>
      </c>
      <c r="D419" s="204" t="s">
        <v>17</v>
      </c>
      <c r="E419" s="204" t="s">
        <v>120</v>
      </c>
      <c r="F419" s="204" t="s">
        <v>141</v>
      </c>
      <c r="G419" s="204" t="s">
        <v>393</v>
      </c>
      <c r="H419" s="216" t="s">
        <v>185</v>
      </c>
      <c r="I419" s="204" t="s">
        <v>15</v>
      </c>
      <c r="K419" t="s">
        <v>739</v>
      </c>
      <c r="L419" t="s">
        <v>730</v>
      </c>
      <c r="M419" s="12">
        <v>2025</v>
      </c>
      <c r="N419" t="s">
        <v>739</v>
      </c>
    </row>
    <row r="420" spans="1:14" x14ac:dyDescent="0.2">
      <c r="A420" s="204" t="s">
        <v>408</v>
      </c>
      <c r="B420" s="1">
        <v>45903</v>
      </c>
      <c r="C420" s="204" t="s">
        <v>181</v>
      </c>
      <c r="D420" s="204" t="s">
        <v>10</v>
      </c>
      <c r="E420" s="204" t="s">
        <v>182</v>
      </c>
      <c r="F420" s="204" t="s">
        <v>409</v>
      </c>
      <c r="G420" s="204" t="s">
        <v>348</v>
      </c>
      <c r="H420" s="204" t="s">
        <v>185</v>
      </c>
      <c r="I420" s="204" t="s">
        <v>15</v>
      </c>
      <c r="K420" t="s">
        <v>739</v>
      </c>
      <c r="L420" t="s">
        <v>730</v>
      </c>
      <c r="M420" s="12">
        <v>2025</v>
      </c>
      <c r="N420" t="s">
        <v>739</v>
      </c>
    </row>
    <row r="421" spans="1:14" x14ac:dyDescent="0.2">
      <c r="A421" s="204" t="s">
        <v>387</v>
      </c>
      <c r="B421" s="1">
        <v>45896</v>
      </c>
      <c r="C421" s="204" t="s">
        <v>264</v>
      </c>
      <c r="D421" s="204" t="s">
        <v>17</v>
      </c>
      <c r="E421" s="204" t="s">
        <v>72</v>
      </c>
      <c r="F421" s="204" t="s">
        <v>388</v>
      </c>
      <c r="G421" s="204" t="s">
        <v>24</v>
      </c>
      <c r="H421" s="204" t="s">
        <v>389</v>
      </c>
      <c r="I421" s="204" t="s">
        <v>15</v>
      </c>
      <c r="K421" t="s">
        <v>738</v>
      </c>
      <c r="L421" t="s">
        <v>730</v>
      </c>
      <c r="M421" s="12">
        <v>2025</v>
      </c>
      <c r="N421" t="s">
        <v>738</v>
      </c>
    </row>
    <row r="422" spans="1:14" x14ac:dyDescent="0.2">
      <c r="A422" s="204" t="s">
        <v>279</v>
      </c>
      <c r="B422" s="1">
        <v>45896</v>
      </c>
      <c r="C422" s="204" t="s">
        <v>9</v>
      </c>
      <c r="D422" s="204" t="s">
        <v>10</v>
      </c>
      <c r="E422" s="204" t="s">
        <v>11</v>
      </c>
      <c r="F422" s="204" t="s">
        <v>280</v>
      </c>
      <c r="G422" s="204" t="s">
        <v>406</v>
      </c>
      <c r="H422" s="204" t="s">
        <v>14</v>
      </c>
      <c r="I422" s="204" t="s">
        <v>15</v>
      </c>
      <c r="K422" t="s">
        <v>738</v>
      </c>
      <c r="L422" t="s">
        <v>730</v>
      </c>
      <c r="M422" s="12">
        <v>2025</v>
      </c>
      <c r="N422" t="s">
        <v>738</v>
      </c>
    </row>
    <row r="423" spans="1:14" x14ac:dyDescent="0.2">
      <c r="A423" s="204" t="s">
        <v>275</v>
      </c>
      <c r="B423" s="1">
        <v>45896</v>
      </c>
      <c r="C423" s="204" t="s">
        <v>55</v>
      </c>
      <c r="D423" s="204" t="s">
        <v>17</v>
      </c>
      <c r="E423" s="204" t="s">
        <v>56</v>
      </c>
      <c r="F423" s="204" t="s">
        <v>276</v>
      </c>
      <c r="G423" s="204" t="s">
        <v>372</v>
      </c>
      <c r="H423" s="204" t="s">
        <v>407</v>
      </c>
      <c r="I423" s="204" t="s">
        <v>15</v>
      </c>
      <c r="K423" t="s">
        <v>738</v>
      </c>
      <c r="L423" t="s">
        <v>730</v>
      </c>
      <c r="M423" s="12">
        <v>2025</v>
      </c>
      <c r="N423" t="s">
        <v>738</v>
      </c>
    </row>
    <row r="424" spans="1:14" x14ac:dyDescent="0.2">
      <c r="A424" s="204" t="s">
        <v>401</v>
      </c>
      <c r="B424" s="1">
        <v>45895</v>
      </c>
      <c r="C424" s="204" t="s">
        <v>40</v>
      </c>
      <c r="D424" s="204" t="s">
        <v>10</v>
      </c>
      <c r="E424" s="204" t="s">
        <v>41</v>
      </c>
      <c r="F424" s="204" t="s">
        <v>364</v>
      </c>
      <c r="G424" s="204" t="s">
        <v>24</v>
      </c>
      <c r="H424" s="204" t="s">
        <v>402</v>
      </c>
      <c r="I424" s="204" t="s">
        <v>278</v>
      </c>
      <c r="K424" t="s">
        <v>738</v>
      </c>
      <c r="L424" t="s">
        <v>730</v>
      </c>
      <c r="M424" s="12">
        <v>2025</v>
      </c>
      <c r="N424" t="s">
        <v>738</v>
      </c>
    </row>
    <row r="425" spans="1:14" x14ac:dyDescent="0.2">
      <c r="A425" s="204" t="s">
        <v>396</v>
      </c>
      <c r="B425" s="1">
        <v>45890</v>
      </c>
      <c r="C425" s="204" t="s">
        <v>9</v>
      </c>
      <c r="D425" s="204" t="s">
        <v>10</v>
      </c>
      <c r="E425" s="204" t="s">
        <v>11</v>
      </c>
      <c r="F425" s="204" t="s">
        <v>397</v>
      </c>
      <c r="G425" s="204" t="s">
        <v>69</v>
      </c>
      <c r="H425" s="204" t="s">
        <v>131</v>
      </c>
      <c r="I425" s="204" t="s">
        <v>15</v>
      </c>
      <c r="K425" t="s">
        <v>738</v>
      </c>
      <c r="L425" t="s">
        <v>730</v>
      </c>
      <c r="M425" s="12">
        <v>2025</v>
      </c>
      <c r="N425" t="s">
        <v>738</v>
      </c>
    </row>
    <row r="426" spans="1:14" x14ac:dyDescent="0.2">
      <c r="A426" s="204" t="s">
        <v>398</v>
      </c>
      <c r="B426" s="1">
        <v>45890</v>
      </c>
      <c r="C426" s="204" t="s">
        <v>16</v>
      </c>
      <c r="D426" s="204" t="s">
        <v>322</v>
      </c>
      <c r="E426" s="204" t="s">
        <v>323</v>
      </c>
      <c r="F426" s="204" t="s">
        <v>399</v>
      </c>
      <c r="G426" s="204" t="s">
        <v>324</v>
      </c>
      <c r="H426" s="204" t="s">
        <v>400</v>
      </c>
      <c r="I426" s="204" t="s">
        <v>15</v>
      </c>
      <c r="K426" t="s">
        <v>738</v>
      </c>
      <c r="L426" t="s">
        <v>730</v>
      </c>
      <c r="M426" s="12">
        <v>2025</v>
      </c>
      <c r="N426" t="s">
        <v>738</v>
      </c>
    </row>
    <row r="427" spans="1:14" x14ac:dyDescent="0.2">
      <c r="A427" s="204" t="s">
        <v>384</v>
      </c>
      <c r="B427" s="1">
        <v>45889</v>
      </c>
      <c r="C427" s="204" t="s">
        <v>78</v>
      </c>
      <c r="D427" s="204" t="s">
        <v>10</v>
      </c>
      <c r="E427" s="204" t="s">
        <v>109</v>
      </c>
      <c r="F427" s="204" t="s">
        <v>385</v>
      </c>
      <c r="G427" s="204" t="s">
        <v>28</v>
      </c>
      <c r="H427" s="204" t="s">
        <v>386</v>
      </c>
      <c r="I427" s="204" t="s">
        <v>76</v>
      </c>
      <c r="K427" t="s">
        <v>738</v>
      </c>
      <c r="L427" t="s">
        <v>731</v>
      </c>
      <c r="M427" s="12">
        <v>2025</v>
      </c>
      <c r="N427" t="s">
        <v>738</v>
      </c>
    </row>
    <row r="428" spans="1:14" x14ac:dyDescent="0.2">
      <c r="A428" s="204" t="s">
        <v>347</v>
      </c>
      <c r="B428" s="1">
        <v>45889</v>
      </c>
      <c r="C428" s="204" t="s">
        <v>55</v>
      </c>
      <c r="D428" s="204" t="s">
        <v>17</v>
      </c>
      <c r="E428" s="204" t="s">
        <v>56</v>
      </c>
      <c r="F428" s="204" t="s">
        <v>143</v>
      </c>
      <c r="G428" s="204" t="s">
        <v>184</v>
      </c>
      <c r="H428" s="204" t="s">
        <v>142</v>
      </c>
      <c r="I428" s="204" t="s">
        <v>15</v>
      </c>
      <c r="K428" t="s">
        <v>738</v>
      </c>
      <c r="L428" t="s">
        <v>730</v>
      </c>
      <c r="M428" s="12">
        <v>2025</v>
      </c>
      <c r="N428" t="s">
        <v>738</v>
      </c>
    </row>
    <row r="429" spans="1:14" x14ac:dyDescent="0.2">
      <c r="A429" s="204" t="s">
        <v>394</v>
      </c>
      <c r="B429" s="1">
        <v>45889</v>
      </c>
      <c r="C429" s="204" t="s">
        <v>30</v>
      </c>
      <c r="D429" s="204" t="s">
        <v>10</v>
      </c>
      <c r="E429" s="204" t="s">
        <v>126</v>
      </c>
      <c r="F429" s="204" t="s">
        <v>100</v>
      </c>
      <c r="G429" s="204" t="s">
        <v>24</v>
      </c>
      <c r="H429" s="204" t="s">
        <v>75</v>
      </c>
      <c r="I429" s="204" t="s">
        <v>278</v>
      </c>
      <c r="K429" t="s">
        <v>738</v>
      </c>
      <c r="L429" t="s">
        <v>730</v>
      </c>
      <c r="M429" s="12">
        <v>2025</v>
      </c>
      <c r="N429" t="s">
        <v>738</v>
      </c>
    </row>
    <row r="430" spans="1:14" x14ac:dyDescent="0.2">
      <c r="A430" s="204" t="s">
        <v>381</v>
      </c>
      <c r="B430" s="1">
        <v>45884</v>
      </c>
      <c r="C430" s="204" t="s">
        <v>40</v>
      </c>
      <c r="D430" s="204" t="s">
        <v>10</v>
      </c>
      <c r="E430" s="204" t="s">
        <v>41</v>
      </c>
      <c r="F430" s="204" t="s">
        <v>213</v>
      </c>
      <c r="G430" s="204" t="s">
        <v>28</v>
      </c>
      <c r="H430" s="204" t="s">
        <v>38</v>
      </c>
      <c r="I430" s="204" t="s">
        <v>15</v>
      </c>
      <c r="K430" t="s">
        <v>738</v>
      </c>
      <c r="L430" t="s">
        <v>730</v>
      </c>
      <c r="M430" s="12">
        <v>2025</v>
      </c>
      <c r="N430" t="s">
        <v>738</v>
      </c>
    </row>
    <row r="431" spans="1:14" x14ac:dyDescent="0.2">
      <c r="A431" s="204" t="s">
        <v>119</v>
      </c>
      <c r="B431" s="1">
        <v>45884</v>
      </c>
      <c r="C431" s="204" t="s">
        <v>1326</v>
      </c>
      <c r="D431" s="204" t="s">
        <v>17</v>
      </c>
      <c r="E431" s="204" t="s">
        <v>382</v>
      </c>
      <c r="F431" s="204" t="s">
        <v>172</v>
      </c>
      <c r="G431" s="204" t="s">
        <v>24</v>
      </c>
      <c r="H431" s="204" t="s">
        <v>383</v>
      </c>
      <c r="I431" s="204" t="s">
        <v>15</v>
      </c>
      <c r="K431" t="s">
        <v>738</v>
      </c>
      <c r="L431" t="s">
        <v>730</v>
      </c>
      <c r="M431" s="12">
        <v>2025</v>
      </c>
      <c r="N431" t="s">
        <v>738</v>
      </c>
    </row>
    <row r="432" spans="1:14" x14ac:dyDescent="0.2">
      <c r="A432" s="204" t="s">
        <v>392</v>
      </c>
      <c r="B432" s="1">
        <v>45884</v>
      </c>
      <c r="C432" s="204" t="s">
        <v>261</v>
      </c>
      <c r="D432" s="204" t="s">
        <v>10</v>
      </c>
      <c r="E432" s="204" t="s">
        <v>155</v>
      </c>
      <c r="F432" s="204" t="s">
        <v>262</v>
      </c>
      <c r="G432" s="204" t="s">
        <v>184</v>
      </c>
      <c r="H432" s="204" t="s">
        <v>124</v>
      </c>
      <c r="I432" s="204" t="s">
        <v>15</v>
      </c>
      <c r="K432" t="s">
        <v>738</v>
      </c>
      <c r="L432" t="s">
        <v>730</v>
      </c>
      <c r="M432" s="12">
        <v>2025</v>
      </c>
      <c r="N432" t="s">
        <v>738</v>
      </c>
    </row>
    <row r="433" spans="1:14" x14ac:dyDescent="0.2">
      <c r="A433" s="204" t="s">
        <v>295</v>
      </c>
      <c r="B433" s="1">
        <v>45884</v>
      </c>
      <c r="C433" s="204" t="s">
        <v>264</v>
      </c>
      <c r="D433" s="204" t="s">
        <v>17</v>
      </c>
      <c r="E433" s="204" t="s">
        <v>72</v>
      </c>
      <c r="F433" s="204" t="s">
        <v>296</v>
      </c>
      <c r="G433" s="204" t="s">
        <v>393</v>
      </c>
      <c r="H433" s="204" t="s">
        <v>142</v>
      </c>
      <c r="I433" s="204" t="s">
        <v>15</v>
      </c>
      <c r="K433" t="s">
        <v>738</v>
      </c>
      <c r="L433" t="s">
        <v>730</v>
      </c>
      <c r="M433" s="12">
        <v>2025</v>
      </c>
      <c r="N433" t="s">
        <v>738</v>
      </c>
    </row>
    <row r="434" spans="1:14" x14ac:dyDescent="0.2">
      <c r="A434" s="204" t="s">
        <v>67</v>
      </c>
      <c r="B434" s="1">
        <v>45882</v>
      </c>
      <c r="C434" s="204" t="s">
        <v>136</v>
      </c>
      <c r="D434" s="204" t="s">
        <v>10</v>
      </c>
      <c r="E434" s="204" t="s">
        <v>31</v>
      </c>
      <c r="F434" s="204" t="s">
        <v>358</v>
      </c>
      <c r="G434" s="204" t="s">
        <v>24</v>
      </c>
      <c r="H434" s="204" t="s">
        <v>369</v>
      </c>
      <c r="I434" s="204" t="s">
        <v>15</v>
      </c>
      <c r="K434" t="s">
        <v>738</v>
      </c>
      <c r="L434" t="s">
        <v>730</v>
      </c>
      <c r="M434" s="12">
        <v>2025</v>
      </c>
      <c r="N434" t="s">
        <v>738</v>
      </c>
    </row>
    <row r="435" spans="1:14" x14ac:dyDescent="0.2">
      <c r="A435" s="204" t="s">
        <v>370</v>
      </c>
      <c r="B435" s="1">
        <v>45882</v>
      </c>
      <c r="C435" s="204" t="s">
        <v>46</v>
      </c>
      <c r="D435" s="204" t="s">
        <v>10</v>
      </c>
      <c r="E435" s="204" t="s">
        <v>47</v>
      </c>
      <c r="F435" s="204" t="s">
        <v>232</v>
      </c>
      <c r="G435" s="204" t="s">
        <v>24</v>
      </c>
      <c r="H435" s="204" t="s">
        <v>371</v>
      </c>
      <c r="I435" s="204" t="s">
        <v>15</v>
      </c>
      <c r="K435" t="s">
        <v>738</v>
      </c>
      <c r="L435" t="s">
        <v>730</v>
      </c>
      <c r="M435" s="12">
        <v>2025</v>
      </c>
      <c r="N435" t="s">
        <v>738</v>
      </c>
    </row>
    <row r="436" spans="1:14" x14ac:dyDescent="0.2">
      <c r="A436" s="204" t="s">
        <v>376</v>
      </c>
      <c r="B436" s="1">
        <v>45882</v>
      </c>
      <c r="C436" s="204" t="s">
        <v>181</v>
      </c>
      <c r="D436" s="204" t="s">
        <v>10</v>
      </c>
      <c r="E436" s="204" t="s">
        <v>182</v>
      </c>
      <c r="F436" s="204" t="s">
        <v>377</v>
      </c>
      <c r="G436" s="204" t="s">
        <v>24</v>
      </c>
      <c r="H436" s="204" t="s">
        <v>152</v>
      </c>
      <c r="I436" s="204" t="s">
        <v>15</v>
      </c>
      <c r="K436" t="s">
        <v>738</v>
      </c>
      <c r="L436" t="s">
        <v>730</v>
      </c>
      <c r="M436" s="12">
        <v>2025</v>
      </c>
      <c r="N436" t="s">
        <v>738</v>
      </c>
    </row>
    <row r="437" spans="1:14" x14ac:dyDescent="0.2">
      <c r="A437" s="204" t="s">
        <v>378</v>
      </c>
      <c r="B437" s="1">
        <v>45876</v>
      </c>
      <c r="C437" s="204" t="s">
        <v>620</v>
      </c>
      <c r="D437" s="204" t="s">
        <v>17</v>
      </c>
      <c r="E437" s="204" t="s">
        <v>96</v>
      </c>
      <c r="F437" s="204" t="s">
        <v>379</v>
      </c>
      <c r="G437" s="204" t="s">
        <v>97</v>
      </c>
      <c r="H437" s="204" t="s">
        <v>380</v>
      </c>
      <c r="I437" s="204" t="s">
        <v>15</v>
      </c>
      <c r="K437" t="s">
        <v>738</v>
      </c>
      <c r="L437" t="s">
        <v>730</v>
      </c>
      <c r="M437" s="12">
        <v>2025</v>
      </c>
      <c r="N437" t="s">
        <v>738</v>
      </c>
    </row>
    <row r="438" spans="1:14" x14ac:dyDescent="0.2">
      <c r="A438" s="204" t="s">
        <v>374</v>
      </c>
      <c r="B438" s="1">
        <v>45875</v>
      </c>
      <c r="C438" s="204" t="s">
        <v>9</v>
      </c>
      <c r="D438" s="204" t="s">
        <v>10</v>
      </c>
      <c r="E438" s="204" t="s">
        <v>11</v>
      </c>
      <c r="F438" s="204" t="s">
        <v>23</v>
      </c>
      <c r="G438" s="204" t="s">
        <v>24</v>
      </c>
      <c r="H438" s="204" t="s">
        <v>375</v>
      </c>
      <c r="I438" s="204" t="s">
        <v>278</v>
      </c>
      <c r="K438" t="s">
        <v>738</v>
      </c>
      <c r="L438" t="s">
        <v>730</v>
      </c>
      <c r="M438" s="12">
        <v>2025</v>
      </c>
      <c r="N438" t="s">
        <v>738</v>
      </c>
    </row>
    <row r="439" spans="1:14" x14ac:dyDescent="0.2">
      <c r="A439" s="204" t="s">
        <v>367</v>
      </c>
      <c r="B439" s="1">
        <v>45874</v>
      </c>
      <c r="C439" s="204" t="s">
        <v>30</v>
      </c>
      <c r="D439" s="204" t="s">
        <v>10</v>
      </c>
      <c r="E439" s="204" t="s">
        <v>126</v>
      </c>
      <c r="F439" s="204" t="s">
        <v>242</v>
      </c>
      <c r="G439" s="204" t="s">
        <v>24</v>
      </c>
      <c r="H439" s="204" t="s">
        <v>368</v>
      </c>
      <c r="I439" s="204" t="s">
        <v>15</v>
      </c>
      <c r="K439" t="s">
        <v>738</v>
      </c>
      <c r="L439" t="s">
        <v>730</v>
      </c>
      <c r="M439" s="12">
        <v>2025</v>
      </c>
      <c r="N439" t="s">
        <v>738</v>
      </c>
    </row>
    <row r="440" spans="1:14" x14ac:dyDescent="0.2">
      <c r="A440" s="204" t="s">
        <v>347</v>
      </c>
      <c r="B440" s="1">
        <v>45870</v>
      </c>
      <c r="C440" s="204" t="s">
        <v>620</v>
      </c>
      <c r="D440" s="204" t="s">
        <v>17</v>
      </c>
      <c r="E440" s="204" t="s">
        <v>62</v>
      </c>
      <c r="F440" s="204" t="s">
        <v>160</v>
      </c>
      <c r="G440" s="204" t="s">
        <v>173</v>
      </c>
      <c r="H440" s="204" t="s">
        <v>255</v>
      </c>
      <c r="I440" s="204" t="s">
        <v>76</v>
      </c>
      <c r="K440" t="s">
        <v>738</v>
      </c>
      <c r="L440" t="s">
        <v>731</v>
      </c>
      <c r="M440" s="12">
        <v>2025</v>
      </c>
      <c r="N440" t="s">
        <v>738</v>
      </c>
    </row>
    <row r="441" spans="1:14" x14ac:dyDescent="0.2">
      <c r="A441" s="204" t="s">
        <v>336</v>
      </c>
      <c r="B441" s="1">
        <v>45869</v>
      </c>
      <c r="C441" s="204" t="s">
        <v>1326</v>
      </c>
      <c r="D441" s="204" t="s">
        <v>17</v>
      </c>
      <c r="E441" s="204" t="s">
        <v>171</v>
      </c>
      <c r="F441" s="204" t="s">
        <v>337</v>
      </c>
      <c r="G441" s="204" t="s">
        <v>372</v>
      </c>
      <c r="H441" s="204" t="s">
        <v>373</v>
      </c>
      <c r="I441" s="204" t="s">
        <v>76</v>
      </c>
      <c r="K441" t="s">
        <v>737</v>
      </c>
      <c r="L441" t="s">
        <v>731</v>
      </c>
      <c r="M441" s="12">
        <v>2025</v>
      </c>
      <c r="N441" t="s">
        <v>737</v>
      </c>
    </row>
    <row r="442" spans="1:14" x14ac:dyDescent="0.2">
      <c r="A442" s="204" t="s">
        <v>67</v>
      </c>
      <c r="B442" s="1">
        <v>45861</v>
      </c>
      <c r="C442" s="204" t="s">
        <v>136</v>
      </c>
      <c r="D442" s="204" t="s">
        <v>10</v>
      </c>
      <c r="E442" s="204" t="s">
        <v>31</v>
      </c>
      <c r="F442" s="204" t="s">
        <v>358</v>
      </c>
      <c r="G442" s="204" t="s">
        <v>24</v>
      </c>
      <c r="H442" s="204" t="s">
        <v>185</v>
      </c>
      <c r="I442" s="204" t="s">
        <v>15</v>
      </c>
      <c r="K442" t="s">
        <v>737</v>
      </c>
      <c r="L442" t="s">
        <v>730</v>
      </c>
      <c r="M442" s="12">
        <v>2025</v>
      </c>
      <c r="N442" t="s">
        <v>737</v>
      </c>
    </row>
    <row r="443" spans="1:14" x14ac:dyDescent="0.2">
      <c r="A443" s="204" t="s">
        <v>67</v>
      </c>
      <c r="B443" s="1">
        <v>45856</v>
      </c>
      <c r="C443" s="204" t="s">
        <v>136</v>
      </c>
      <c r="D443" s="204" t="s">
        <v>10</v>
      </c>
      <c r="E443" s="204" t="s">
        <v>31</v>
      </c>
      <c r="F443" s="204" t="s">
        <v>358</v>
      </c>
      <c r="G443" s="204" t="s">
        <v>24</v>
      </c>
      <c r="H443" s="204" t="s">
        <v>185</v>
      </c>
      <c r="I443" s="204" t="s">
        <v>15</v>
      </c>
      <c r="K443" t="s">
        <v>737</v>
      </c>
      <c r="L443" t="s">
        <v>730</v>
      </c>
      <c r="M443" s="12">
        <v>2025</v>
      </c>
      <c r="N443" t="s">
        <v>737</v>
      </c>
    </row>
    <row r="444" spans="1:14" x14ac:dyDescent="0.2">
      <c r="A444" s="204" t="s">
        <v>202</v>
      </c>
      <c r="B444" s="1">
        <v>45855</v>
      </c>
      <c r="C444" s="204" t="s">
        <v>46</v>
      </c>
      <c r="D444" s="204" t="s">
        <v>10</v>
      </c>
      <c r="E444" s="204" t="s">
        <v>47</v>
      </c>
      <c r="F444" s="204" t="s">
        <v>232</v>
      </c>
      <c r="G444" s="204" t="s">
        <v>24</v>
      </c>
      <c r="H444" s="204" t="s">
        <v>75</v>
      </c>
      <c r="I444" s="204" t="s">
        <v>15</v>
      </c>
      <c r="K444" t="s">
        <v>737</v>
      </c>
      <c r="L444" t="s">
        <v>730</v>
      </c>
      <c r="M444" s="12">
        <v>2025</v>
      </c>
      <c r="N444" t="s">
        <v>737</v>
      </c>
    </row>
    <row r="445" spans="1:14" x14ac:dyDescent="0.2">
      <c r="A445" s="204" t="s">
        <v>363</v>
      </c>
      <c r="B445" s="1">
        <v>45854</v>
      </c>
      <c r="C445" s="204" t="s">
        <v>40</v>
      </c>
      <c r="D445" s="204" t="s">
        <v>10</v>
      </c>
      <c r="E445" s="204" t="s">
        <v>41</v>
      </c>
      <c r="F445" s="204" t="s">
        <v>364</v>
      </c>
      <c r="G445" s="204" t="s">
        <v>365</v>
      </c>
      <c r="H445" s="204" t="s">
        <v>366</v>
      </c>
      <c r="I445" s="204" t="s">
        <v>15</v>
      </c>
      <c r="K445" t="s">
        <v>737</v>
      </c>
      <c r="L445" t="s">
        <v>730</v>
      </c>
      <c r="M445" s="12">
        <v>2025</v>
      </c>
      <c r="N445" t="s">
        <v>737</v>
      </c>
    </row>
    <row r="446" spans="1:14" x14ac:dyDescent="0.2">
      <c r="A446" s="204" t="s">
        <v>132</v>
      </c>
      <c r="B446" s="1">
        <v>45853</v>
      </c>
      <c r="C446" s="204" t="s">
        <v>657</v>
      </c>
      <c r="D446" s="204" t="s">
        <v>17</v>
      </c>
      <c r="E446" s="204" t="s">
        <v>114</v>
      </c>
      <c r="F446" s="204" t="s">
        <v>133</v>
      </c>
      <c r="G446" s="204" t="s">
        <v>28</v>
      </c>
      <c r="H446" s="204" t="s">
        <v>221</v>
      </c>
      <c r="I446" s="204" t="s">
        <v>15</v>
      </c>
      <c r="K446" t="s">
        <v>737</v>
      </c>
      <c r="L446" t="s">
        <v>730</v>
      </c>
      <c r="M446" s="12">
        <v>2025</v>
      </c>
      <c r="N446" t="s">
        <v>737</v>
      </c>
    </row>
    <row r="447" spans="1:14" x14ac:dyDescent="0.2">
      <c r="A447" s="204" t="s">
        <v>352</v>
      </c>
      <c r="B447" s="1">
        <v>45853</v>
      </c>
      <c r="C447" s="204" t="s">
        <v>264</v>
      </c>
      <c r="D447" s="204" t="s">
        <v>17</v>
      </c>
      <c r="E447" s="204" t="s">
        <v>191</v>
      </c>
      <c r="F447" s="204" t="s">
        <v>311</v>
      </c>
      <c r="G447" s="204" t="s">
        <v>24</v>
      </c>
      <c r="H447" s="204" t="s">
        <v>353</v>
      </c>
      <c r="I447" s="204" t="s">
        <v>15</v>
      </c>
      <c r="K447" t="s">
        <v>737</v>
      </c>
      <c r="L447" t="s">
        <v>730</v>
      </c>
      <c r="M447" s="12">
        <v>2025</v>
      </c>
      <c r="N447" t="s">
        <v>737</v>
      </c>
    </row>
    <row r="448" spans="1:14" x14ac:dyDescent="0.2">
      <c r="A448" s="204" t="s">
        <v>359</v>
      </c>
      <c r="B448" s="1">
        <v>45853</v>
      </c>
      <c r="C448" s="204" t="s">
        <v>657</v>
      </c>
      <c r="D448" s="204" t="s">
        <v>17</v>
      </c>
      <c r="E448" s="204" t="s">
        <v>191</v>
      </c>
      <c r="F448" s="204" t="s">
        <v>360</v>
      </c>
      <c r="G448" s="204" t="s">
        <v>361</v>
      </c>
      <c r="H448" s="204" t="s">
        <v>362</v>
      </c>
      <c r="I448" s="204" t="s">
        <v>278</v>
      </c>
      <c r="K448" t="s">
        <v>737</v>
      </c>
      <c r="L448" t="s">
        <v>730</v>
      </c>
      <c r="M448" s="12">
        <v>2025</v>
      </c>
      <c r="N448" t="s">
        <v>737</v>
      </c>
    </row>
    <row r="449" spans="1:14" x14ac:dyDescent="0.2">
      <c r="A449" s="204" t="s">
        <v>347</v>
      </c>
      <c r="B449" s="1">
        <v>45849</v>
      </c>
      <c r="C449" s="204" t="s">
        <v>620</v>
      </c>
      <c r="D449" s="204" t="s">
        <v>17</v>
      </c>
      <c r="E449" s="204" t="s">
        <v>62</v>
      </c>
      <c r="F449" s="204" t="s">
        <v>160</v>
      </c>
      <c r="G449" s="204" t="s">
        <v>20</v>
      </c>
      <c r="H449" s="204" t="s">
        <v>357</v>
      </c>
      <c r="I449" s="204" t="s">
        <v>15</v>
      </c>
      <c r="K449" t="s">
        <v>737</v>
      </c>
      <c r="L449" t="s">
        <v>730</v>
      </c>
      <c r="M449" s="12">
        <v>2025</v>
      </c>
      <c r="N449" t="s">
        <v>737</v>
      </c>
    </row>
    <row r="450" spans="1:14" x14ac:dyDescent="0.2">
      <c r="A450" s="204" t="s">
        <v>338</v>
      </c>
      <c r="B450" s="1">
        <v>45848</v>
      </c>
      <c r="C450" s="204" t="s">
        <v>46</v>
      </c>
      <c r="D450" s="204" t="s">
        <v>10</v>
      </c>
      <c r="E450" s="204" t="s">
        <v>47</v>
      </c>
      <c r="F450" s="204" t="s">
        <v>162</v>
      </c>
      <c r="G450" s="204" t="s">
        <v>24</v>
      </c>
      <c r="H450" s="204" t="s">
        <v>221</v>
      </c>
      <c r="I450" s="204" t="s">
        <v>15</v>
      </c>
      <c r="K450" t="s">
        <v>737</v>
      </c>
      <c r="L450" t="s">
        <v>730</v>
      </c>
      <c r="M450" s="12">
        <v>2025</v>
      </c>
      <c r="N450" t="s">
        <v>737</v>
      </c>
    </row>
    <row r="451" spans="1:14" x14ac:dyDescent="0.2">
      <c r="A451" s="204" t="s">
        <v>275</v>
      </c>
      <c r="B451" s="1">
        <v>45846</v>
      </c>
      <c r="C451" s="204" t="s">
        <v>55</v>
      </c>
      <c r="D451" s="204" t="s">
        <v>17</v>
      </c>
      <c r="E451" s="204" t="s">
        <v>56</v>
      </c>
      <c r="F451" s="204" t="s">
        <v>354</v>
      </c>
      <c r="G451" s="204" t="s">
        <v>28</v>
      </c>
      <c r="H451" s="204" t="s">
        <v>355</v>
      </c>
      <c r="I451" s="204" t="s">
        <v>278</v>
      </c>
      <c r="K451" t="s">
        <v>737</v>
      </c>
      <c r="L451" t="s">
        <v>730</v>
      </c>
      <c r="M451" s="12">
        <v>2025</v>
      </c>
      <c r="N451" t="s">
        <v>737</v>
      </c>
    </row>
    <row r="452" spans="1:14" x14ac:dyDescent="0.2">
      <c r="A452" s="204" t="s">
        <v>356</v>
      </c>
      <c r="B452" s="1">
        <v>45846</v>
      </c>
      <c r="C452" s="204" t="s">
        <v>620</v>
      </c>
      <c r="D452" s="204" t="s">
        <v>17</v>
      </c>
      <c r="E452" s="204" t="s">
        <v>62</v>
      </c>
      <c r="F452" s="204" t="s">
        <v>100</v>
      </c>
      <c r="G452" s="204" t="s">
        <v>24</v>
      </c>
      <c r="H452" s="204" t="s">
        <v>118</v>
      </c>
      <c r="I452" s="204" t="s">
        <v>278</v>
      </c>
      <c r="K452" t="s">
        <v>737</v>
      </c>
      <c r="L452" t="s">
        <v>730</v>
      </c>
      <c r="M452" s="12">
        <v>2025</v>
      </c>
      <c r="N452" t="s">
        <v>737</v>
      </c>
    </row>
    <row r="453" spans="1:14" x14ac:dyDescent="0.2">
      <c r="A453" s="204" t="s">
        <v>330</v>
      </c>
      <c r="B453" s="1">
        <v>45845</v>
      </c>
      <c r="C453" s="204" t="s">
        <v>46</v>
      </c>
      <c r="D453" s="204" t="s">
        <v>10</v>
      </c>
      <c r="E453" s="204" t="s">
        <v>47</v>
      </c>
      <c r="F453" s="204" t="s">
        <v>331</v>
      </c>
      <c r="G453" s="204" t="s">
        <v>24</v>
      </c>
      <c r="H453" s="204" t="s">
        <v>75</v>
      </c>
      <c r="I453" s="204" t="s">
        <v>15</v>
      </c>
      <c r="K453" t="s">
        <v>737</v>
      </c>
      <c r="L453" t="s">
        <v>730</v>
      </c>
      <c r="M453" s="12">
        <v>2025</v>
      </c>
      <c r="N453" t="s">
        <v>737</v>
      </c>
    </row>
    <row r="454" spans="1:14" x14ac:dyDescent="0.2">
      <c r="A454" s="204" t="s">
        <v>316</v>
      </c>
      <c r="B454" s="1">
        <v>45841</v>
      </c>
      <c r="C454" s="204" t="s">
        <v>181</v>
      </c>
      <c r="D454" s="204" t="s">
        <v>10</v>
      </c>
      <c r="E454" s="204" t="s">
        <v>182</v>
      </c>
      <c r="F454" s="204" t="s">
        <v>223</v>
      </c>
      <c r="G454" s="204" t="s">
        <v>24</v>
      </c>
      <c r="H454" s="204" t="s">
        <v>124</v>
      </c>
      <c r="I454" s="204" t="s">
        <v>15</v>
      </c>
      <c r="K454" t="s">
        <v>737</v>
      </c>
      <c r="L454" t="s">
        <v>730</v>
      </c>
      <c r="M454" s="12">
        <v>2025</v>
      </c>
      <c r="N454" t="s">
        <v>737</v>
      </c>
    </row>
    <row r="455" spans="1:14" x14ac:dyDescent="0.2">
      <c r="A455" s="204" t="s">
        <v>349</v>
      </c>
      <c r="B455" s="1">
        <v>45840</v>
      </c>
      <c r="C455" s="204" t="s">
        <v>9</v>
      </c>
      <c r="D455" s="204" t="s">
        <v>10</v>
      </c>
      <c r="E455" s="204" t="s">
        <v>11</v>
      </c>
      <c r="F455" s="204" t="s">
        <v>350</v>
      </c>
      <c r="G455" s="204" t="s">
        <v>74</v>
      </c>
      <c r="H455" s="204" t="s">
        <v>351</v>
      </c>
      <c r="I455" s="204" t="s">
        <v>15</v>
      </c>
      <c r="K455" t="s">
        <v>737</v>
      </c>
      <c r="L455" t="s">
        <v>730</v>
      </c>
      <c r="M455" s="12">
        <v>2025</v>
      </c>
      <c r="N455" t="s">
        <v>737</v>
      </c>
    </row>
    <row r="456" spans="1:14" x14ac:dyDescent="0.2">
      <c r="A456" s="204" t="s">
        <v>347</v>
      </c>
      <c r="B456" s="1">
        <v>45834</v>
      </c>
      <c r="C456" s="204" t="s">
        <v>620</v>
      </c>
      <c r="D456" s="204" t="s">
        <v>17</v>
      </c>
      <c r="E456" s="204" t="s">
        <v>62</v>
      </c>
      <c r="F456" s="204" t="s">
        <v>160</v>
      </c>
      <c r="G456" s="204" t="s">
        <v>348</v>
      </c>
      <c r="H456" s="204" t="s">
        <v>185</v>
      </c>
      <c r="I456" s="204" t="s">
        <v>15</v>
      </c>
      <c r="K456" t="s">
        <v>736</v>
      </c>
      <c r="L456" t="s">
        <v>730</v>
      </c>
      <c r="M456" s="12">
        <v>2025</v>
      </c>
      <c r="N456" t="s">
        <v>736</v>
      </c>
    </row>
    <row r="457" spans="1:14" x14ac:dyDescent="0.2">
      <c r="A457" s="204" t="s">
        <v>339</v>
      </c>
      <c r="B457" s="1">
        <v>45826</v>
      </c>
      <c r="C457" s="204" t="s">
        <v>261</v>
      </c>
      <c r="D457" s="204" t="s">
        <v>10</v>
      </c>
      <c r="E457" s="204" t="s">
        <v>155</v>
      </c>
      <c r="F457" s="204" t="s">
        <v>340</v>
      </c>
      <c r="G457" s="204" t="s">
        <v>24</v>
      </c>
      <c r="H457" s="204" t="s">
        <v>118</v>
      </c>
      <c r="I457" s="204" t="s">
        <v>278</v>
      </c>
      <c r="K457" t="s">
        <v>736</v>
      </c>
      <c r="L457" t="s">
        <v>730</v>
      </c>
      <c r="M457" s="12">
        <v>2025</v>
      </c>
      <c r="N457" t="s">
        <v>736</v>
      </c>
    </row>
    <row r="458" spans="1:14" x14ac:dyDescent="0.2">
      <c r="A458" s="204" t="s">
        <v>341</v>
      </c>
      <c r="B458" s="1">
        <v>45826</v>
      </c>
      <c r="C458" s="204" t="s">
        <v>342</v>
      </c>
      <c r="D458" s="204" t="s">
        <v>10</v>
      </c>
      <c r="E458" s="204" t="s">
        <v>343</v>
      </c>
      <c r="F458" s="204" t="s">
        <v>344</v>
      </c>
      <c r="G458" s="204" t="s">
        <v>345</v>
      </c>
      <c r="H458" s="204" t="s">
        <v>346</v>
      </c>
      <c r="I458" s="204" t="s">
        <v>278</v>
      </c>
      <c r="K458" t="s">
        <v>736</v>
      </c>
      <c r="L458" t="s">
        <v>730</v>
      </c>
      <c r="M458" s="12">
        <v>2025</v>
      </c>
      <c r="N458" t="s">
        <v>736</v>
      </c>
    </row>
    <row r="459" spans="1:14" x14ac:dyDescent="0.2">
      <c r="A459" s="204" t="s">
        <v>239</v>
      </c>
      <c r="B459" s="1">
        <v>45825</v>
      </c>
      <c r="C459" s="204" t="s">
        <v>261</v>
      </c>
      <c r="D459" s="204" t="s">
        <v>10</v>
      </c>
      <c r="E459" s="204" t="s">
        <v>155</v>
      </c>
      <c r="F459" s="204" t="s">
        <v>314</v>
      </c>
      <c r="G459" s="204" t="s">
        <v>24</v>
      </c>
      <c r="H459" s="204" t="s">
        <v>315</v>
      </c>
      <c r="I459" s="204" t="s">
        <v>15</v>
      </c>
      <c r="K459" t="s">
        <v>736</v>
      </c>
      <c r="L459" t="s">
        <v>730</v>
      </c>
      <c r="M459" s="12">
        <v>2025</v>
      </c>
      <c r="N459" t="s">
        <v>736</v>
      </c>
    </row>
    <row r="460" spans="1:14" x14ac:dyDescent="0.2">
      <c r="A460" s="204" t="s">
        <v>336</v>
      </c>
      <c r="B460" s="1">
        <v>45825</v>
      </c>
      <c r="C460" s="204" t="s">
        <v>1326</v>
      </c>
      <c r="D460" s="204" t="s">
        <v>17</v>
      </c>
      <c r="E460" s="204" t="s">
        <v>171</v>
      </c>
      <c r="F460" s="204" t="s">
        <v>337</v>
      </c>
      <c r="G460" s="204" t="s">
        <v>324</v>
      </c>
      <c r="H460" s="204" t="s">
        <v>152</v>
      </c>
      <c r="I460" s="204" t="s">
        <v>278</v>
      </c>
      <c r="K460" t="s">
        <v>736</v>
      </c>
      <c r="L460" t="s">
        <v>730</v>
      </c>
      <c r="M460" s="12">
        <v>2025</v>
      </c>
      <c r="N460" t="s">
        <v>736</v>
      </c>
    </row>
    <row r="461" spans="1:14" x14ac:dyDescent="0.2">
      <c r="A461" s="204" t="s">
        <v>189</v>
      </c>
      <c r="B461" s="1">
        <v>45825</v>
      </c>
      <c r="C461" s="204" t="s">
        <v>261</v>
      </c>
      <c r="D461" s="204" t="s">
        <v>10</v>
      </c>
      <c r="E461" s="204" t="s">
        <v>155</v>
      </c>
      <c r="F461" s="204" t="s">
        <v>100</v>
      </c>
      <c r="G461" s="204" t="s">
        <v>24</v>
      </c>
      <c r="H461" s="204" t="s">
        <v>118</v>
      </c>
      <c r="I461" s="204" t="s">
        <v>278</v>
      </c>
      <c r="K461" t="s">
        <v>736</v>
      </c>
      <c r="L461" t="s">
        <v>730</v>
      </c>
      <c r="M461" s="12">
        <v>2025</v>
      </c>
      <c r="N461" t="s">
        <v>736</v>
      </c>
    </row>
    <row r="462" spans="1:14" x14ac:dyDescent="0.2">
      <c r="A462" s="204" t="s">
        <v>281</v>
      </c>
      <c r="B462" s="1">
        <v>45821</v>
      </c>
      <c r="C462" s="204" t="s">
        <v>264</v>
      </c>
      <c r="D462" s="204" t="s">
        <v>17</v>
      </c>
      <c r="E462" s="204" t="s">
        <v>72</v>
      </c>
      <c r="F462" s="204" t="s">
        <v>313</v>
      </c>
      <c r="G462" s="204" t="s">
        <v>24</v>
      </c>
      <c r="H462" s="204" t="s">
        <v>156</v>
      </c>
      <c r="I462" s="204" t="s">
        <v>15</v>
      </c>
      <c r="K462" t="s">
        <v>736</v>
      </c>
      <c r="L462" t="s">
        <v>730</v>
      </c>
      <c r="M462" s="12">
        <v>2025</v>
      </c>
      <c r="N462" t="s">
        <v>736</v>
      </c>
    </row>
    <row r="463" spans="1:14" x14ac:dyDescent="0.2">
      <c r="A463" s="204" t="s">
        <v>332</v>
      </c>
      <c r="B463" s="1">
        <v>45821</v>
      </c>
      <c r="C463" s="204" t="s">
        <v>901</v>
      </c>
      <c r="D463" s="204" t="s">
        <v>577</v>
      </c>
      <c r="E463" s="204" t="s">
        <v>333</v>
      </c>
      <c r="F463" s="204" t="s">
        <v>333</v>
      </c>
      <c r="G463" s="204" t="s">
        <v>334</v>
      </c>
      <c r="H463" s="204" t="s">
        <v>335</v>
      </c>
      <c r="I463" s="204" t="s">
        <v>15</v>
      </c>
      <c r="K463" t="s">
        <v>736</v>
      </c>
      <c r="L463" t="s">
        <v>730</v>
      </c>
      <c r="M463" s="12">
        <v>2025</v>
      </c>
      <c r="N463" t="s">
        <v>736</v>
      </c>
    </row>
    <row r="464" spans="1:14" x14ac:dyDescent="0.2">
      <c r="A464" s="204" t="s">
        <v>325</v>
      </c>
      <c r="B464" s="1">
        <v>45820</v>
      </c>
      <c r="C464" s="204" t="s">
        <v>326</v>
      </c>
      <c r="D464" s="204" t="s">
        <v>10</v>
      </c>
      <c r="E464" s="204" t="s">
        <v>327</v>
      </c>
      <c r="F464" s="204" t="s">
        <v>43</v>
      </c>
      <c r="G464" s="204" t="s">
        <v>328</v>
      </c>
      <c r="H464" s="204" t="s">
        <v>329</v>
      </c>
      <c r="I464" s="204" t="s">
        <v>278</v>
      </c>
      <c r="K464" t="s">
        <v>736</v>
      </c>
      <c r="L464" t="s">
        <v>730</v>
      </c>
      <c r="M464" s="12">
        <v>2025</v>
      </c>
      <c r="N464" t="s">
        <v>736</v>
      </c>
    </row>
    <row r="465" spans="1:14" x14ac:dyDescent="0.2">
      <c r="A465" s="204" t="s">
        <v>321</v>
      </c>
      <c r="B465" s="1">
        <v>45819</v>
      </c>
      <c r="C465" s="204" t="s">
        <v>16</v>
      </c>
      <c r="D465" s="204" t="s">
        <v>322</v>
      </c>
      <c r="E465" s="204" t="s">
        <v>323</v>
      </c>
      <c r="F465" s="204" t="s">
        <v>274</v>
      </c>
      <c r="G465" s="204" t="s">
        <v>324</v>
      </c>
      <c r="H465" s="204" t="s">
        <v>249</v>
      </c>
      <c r="I465" s="204" t="s">
        <v>278</v>
      </c>
      <c r="K465" t="s">
        <v>736</v>
      </c>
      <c r="L465" t="s">
        <v>730</v>
      </c>
      <c r="M465" s="12">
        <v>2025</v>
      </c>
      <c r="N465" t="s">
        <v>736</v>
      </c>
    </row>
    <row r="466" spans="1:14" x14ac:dyDescent="0.2">
      <c r="A466" s="204" t="s">
        <v>81</v>
      </c>
      <c r="B466" s="1">
        <v>45818</v>
      </c>
      <c r="C466" s="204" t="s">
        <v>61</v>
      </c>
      <c r="D466" s="204" t="s">
        <v>17</v>
      </c>
      <c r="E466" s="204" t="s">
        <v>83</v>
      </c>
      <c r="F466" s="204" t="s">
        <v>317</v>
      </c>
      <c r="G466" s="204" t="s">
        <v>24</v>
      </c>
      <c r="H466" s="204" t="s">
        <v>156</v>
      </c>
      <c r="I466" s="204" t="s">
        <v>278</v>
      </c>
      <c r="K466" t="s">
        <v>736</v>
      </c>
      <c r="L466" t="s">
        <v>730</v>
      </c>
      <c r="M466" s="12">
        <v>2025</v>
      </c>
      <c r="N466" t="s">
        <v>736</v>
      </c>
    </row>
    <row r="467" spans="1:14" x14ac:dyDescent="0.2">
      <c r="A467" s="204" t="s">
        <v>318</v>
      </c>
      <c r="B467" s="1">
        <v>45818</v>
      </c>
      <c r="C467" s="204" t="s">
        <v>264</v>
      </c>
      <c r="D467" s="204" t="s">
        <v>17</v>
      </c>
      <c r="E467" s="204" t="s">
        <v>72</v>
      </c>
      <c r="F467" s="204" t="s">
        <v>319</v>
      </c>
      <c r="G467" s="204" t="s">
        <v>20</v>
      </c>
      <c r="H467" s="204" t="s">
        <v>320</v>
      </c>
      <c r="I467" s="204" t="s">
        <v>278</v>
      </c>
      <c r="K467" t="s">
        <v>736</v>
      </c>
      <c r="L467" t="s">
        <v>730</v>
      </c>
      <c r="M467" s="12">
        <v>2025</v>
      </c>
      <c r="N467" t="s">
        <v>736</v>
      </c>
    </row>
    <row r="468" spans="1:14" x14ac:dyDescent="0.2">
      <c r="A468" s="204" t="s">
        <v>310</v>
      </c>
      <c r="B468" s="1">
        <v>45814</v>
      </c>
      <c r="C468" s="204" t="s">
        <v>9</v>
      </c>
      <c r="D468" s="204" t="s">
        <v>10</v>
      </c>
      <c r="E468" s="204" t="s">
        <v>11</v>
      </c>
      <c r="F468" s="204" t="s">
        <v>311</v>
      </c>
      <c r="G468" s="204" t="s">
        <v>24</v>
      </c>
      <c r="H468" s="204" t="s">
        <v>124</v>
      </c>
      <c r="I468" s="204" t="s">
        <v>15</v>
      </c>
      <c r="K468" t="s">
        <v>736</v>
      </c>
      <c r="L468" t="s">
        <v>730</v>
      </c>
      <c r="M468" s="12">
        <v>2025</v>
      </c>
      <c r="N468" t="s">
        <v>736</v>
      </c>
    </row>
    <row r="469" spans="1:14" x14ac:dyDescent="0.2">
      <c r="A469" s="204" t="s">
        <v>260</v>
      </c>
      <c r="B469" s="1">
        <v>45814</v>
      </c>
      <c r="C469" s="204" t="s">
        <v>261</v>
      </c>
      <c r="D469" s="204" t="s">
        <v>10</v>
      </c>
      <c r="E469" s="204" t="s">
        <v>155</v>
      </c>
      <c r="F469" s="204" t="s">
        <v>312</v>
      </c>
      <c r="G469" s="204" t="s">
        <v>24</v>
      </c>
      <c r="H469" s="204"/>
      <c r="I469" s="204" t="s">
        <v>15</v>
      </c>
      <c r="K469" t="s">
        <v>736</v>
      </c>
      <c r="L469" t="s">
        <v>730</v>
      </c>
      <c r="M469" s="12">
        <v>2025</v>
      </c>
      <c r="N469" t="s">
        <v>736</v>
      </c>
    </row>
    <row r="470" spans="1:14" x14ac:dyDescent="0.2">
      <c r="A470" s="204" t="s">
        <v>628</v>
      </c>
      <c r="B470" s="1">
        <v>45814</v>
      </c>
      <c r="C470" s="204" t="s">
        <v>629</v>
      </c>
      <c r="D470" s="204" t="s">
        <v>577</v>
      </c>
      <c r="E470" s="204" t="s">
        <v>630</v>
      </c>
      <c r="F470" s="204" t="s">
        <v>560</v>
      </c>
      <c r="G470" s="204" t="s">
        <v>24</v>
      </c>
      <c r="H470" s="204" t="s">
        <v>124</v>
      </c>
      <c r="I470" s="204" t="s">
        <v>76</v>
      </c>
      <c r="K470" t="s">
        <v>736</v>
      </c>
      <c r="L470" t="s">
        <v>731</v>
      </c>
      <c r="M470" s="12">
        <v>2025</v>
      </c>
      <c r="N470" t="s">
        <v>736</v>
      </c>
    </row>
    <row r="471" spans="1:14" x14ac:dyDescent="0.2">
      <c r="A471" s="204" t="s">
        <v>286</v>
      </c>
      <c r="B471" s="1">
        <v>45811</v>
      </c>
      <c r="C471" s="204" t="s">
        <v>244</v>
      </c>
      <c r="D471" s="204" t="s">
        <v>245</v>
      </c>
      <c r="E471" s="204" t="s">
        <v>246</v>
      </c>
      <c r="F471" s="204" t="s">
        <v>246</v>
      </c>
      <c r="G471" s="204" t="s">
        <v>13</v>
      </c>
      <c r="H471" s="204" t="s">
        <v>255</v>
      </c>
      <c r="I471" s="204" t="s">
        <v>15</v>
      </c>
      <c r="K471" t="s">
        <v>736</v>
      </c>
      <c r="L471" t="s">
        <v>730</v>
      </c>
      <c r="M471" s="12">
        <v>2025</v>
      </c>
      <c r="N471" t="s">
        <v>736</v>
      </c>
    </row>
    <row r="472" spans="1:14" x14ac:dyDescent="0.2">
      <c r="A472" s="204" t="s">
        <v>292</v>
      </c>
      <c r="B472" s="1">
        <v>45811</v>
      </c>
      <c r="C472" s="204" t="s">
        <v>244</v>
      </c>
      <c r="D472" s="204" t="s">
        <v>245</v>
      </c>
      <c r="E472" s="204" t="s">
        <v>246</v>
      </c>
      <c r="F472" s="204" t="s">
        <v>246</v>
      </c>
      <c r="G472" s="204" t="s">
        <v>13</v>
      </c>
      <c r="H472" s="204" t="s">
        <v>293</v>
      </c>
      <c r="I472" s="204" t="s">
        <v>15</v>
      </c>
      <c r="K472" t="s">
        <v>736</v>
      </c>
      <c r="L472" t="s">
        <v>730</v>
      </c>
      <c r="M472" s="12">
        <v>2025</v>
      </c>
      <c r="N472" t="s">
        <v>736</v>
      </c>
    </row>
    <row r="473" spans="1:14" x14ac:dyDescent="0.2">
      <c r="A473" s="204" t="s">
        <v>302</v>
      </c>
      <c r="B473" s="1">
        <v>45811</v>
      </c>
      <c r="C473" s="204" t="s">
        <v>303</v>
      </c>
      <c r="D473" s="204" t="s">
        <v>577</v>
      </c>
      <c r="E473" s="204" t="s">
        <v>304</v>
      </c>
      <c r="F473" s="204" t="s">
        <v>305</v>
      </c>
      <c r="G473" s="204" t="s">
        <v>306</v>
      </c>
      <c r="H473" s="204" t="s">
        <v>307</v>
      </c>
      <c r="I473" s="204" t="s">
        <v>278</v>
      </c>
      <c r="K473" t="s">
        <v>736</v>
      </c>
      <c r="L473" t="s">
        <v>730</v>
      </c>
      <c r="M473" s="12">
        <v>2025</v>
      </c>
      <c r="N473" t="s">
        <v>736</v>
      </c>
    </row>
    <row r="474" spans="1:14" x14ac:dyDescent="0.2">
      <c r="A474" s="204" t="s">
        <v>308</v>
      </c>
      <c r="B474" s="1">
        <v>45811</v>
      </c>
      <c r="C474" s="204" t="s">
        <v>657</v>
      </c>
      <c r="D474" s="204" t="s">
        <v>17</v>
      </c>
      <c r="E474" s="204" t="s">
        <v>191</v>
      </c>
      <c r="F474" s="204" t="s">
        <v>309</v>
      </c>
      <c r="G474" s="204" t="s">
        <v>97</v>
      </c>
      <c r="H474" s="204" t="s">
        <v>158</v>
      </c>
      <c r="I474" s="204" t="s">
        <v>278</v>
      </c>
      <c r="K474" t="s">
        <v>736</v>
      </c>
      <c r="L474" t="s">
        <v>730</v>
      </c>
      <c r="M474" s="12">
        <v>2025</v>
      </c>
      <c r="N474" t="s">
        <v>736</v>
      </c>
    </row>
    <row r="475" spans="1:14" x14ac:dyDescent="0.2">
      <c r="A475" s="204" t="s">
        <v>231</v>
      </c>
      <c r="B475" s="1">
        <v>45811</v>
      </c>
      <c r="C475" s="204" t="s">
        <v>46</v>
      </c>
      <c r="D475" s="204" t="s">
        <v>10</v>
      </c>
      <c r="E475" s="204" t="s">
        <v>47</v>
      </c>
      <c r="F475" s="204" t="s">
        <v>232</v>
      </c>
      <c r="G475" s="204" t="s">
        <v>74</v>
      </c>
      <c r="H475" s="204" t="s">
        <v>255</v>
      </c>
      <c r="I475" s="204" t="s">
        <v>15</v>
      </c>
      <c r="K475" t="s">
        <v>736</v>
      </c>
      <c r="L475" t="s">
        <v>730</v>
      </c>
      <c r="M475" s="12">
        <v>2025</v>
      </c>
      <c r="N475" t="s">
        <v>736</v>
      </c>
    </row>
    <row r="476" spans="1:14" x14ac:dyDescent="0.2">
      <c r="A476" s="204" t="s">
        <v>170</v>
      </c>
      <c r="B476" s="1">
        <v>45810</v>
      </c>
      <c r="C476" s="204" t="s">
        <v>1326</v>
      </c>
      <c r="D476" s="204" t="s">
        <v>17</v>
      </c>
      <c r="E476" s="204" t="s">
        <v>171</v>
      </c>
      <c r="F476" s="204" t="s">
        <v>172</v>
      </c>
      <c r="G476" s="204" t="s">
        <v>69</v>
      </c>
      <c r="H476" s="204" t="s">
        <v>301</v>
      </c>
      <c r="I476" s="204" t="s">
        <v>15</v>
      </c>
      <c r="K476" t="s">
        <v>736</v>
      </c>
      <c r="L476" t="s">
        <v>730</v>
      </c>
      <c r="M476" s="12">
        <v>2025</v>
      </c>
      <c r="N476" t="s">
        <v>736</v>
      </c>
    </row>
    <row r="477" spans="1:14" x14ac:dyDescent="0.2">
      <c r="A477" s="204" t="s">
        <v>289</v>
      </c>
      <c r="B477" s="1">
        <v>45807</v>
      </c>
      <c r="C477" s="204" t="s">
        <v>290</v>
      </c>
      <c r="D477" s="204" t="s">
        <v>36</v>
      </c>
      <c r="E477" s="204" t="s">
        <v>37</v>
      </c>
      <c r="F477" s="204" t="s">
        <v>37</v>
      </c>
      <c r="G477" s="204" t="s">
        <v>20</v>
      </c>
      <c r="H477" s="204" t="s">
        <v>291</v>
      </c>
      <c r="I477" s="204" t="s">
        <v>15</v>
      </c>
      <c r="K477" t="s">
        <v>735</v>
      </c>
      <c r="L477" t="s">
        <v>730</v>
      </c>
      <c r="M477" s="12">
        <v>2025</v>
      </c>
      <c r="N477" t="s">
        <v>735</v>
      </c>
    </row>
    <row r="478" spans="1:14" x14ac:dyDescent="0.2">
      <c r="A478" s="204" t="s">
        <v>298</v>
      </c>
      <c r="B478" s="1">
        <v>45807</v>
      </c>
      <c r="C478" s="204" t="s">
        <v>55</v>
      </c>
      <c r="D478" s="204" t="s">
        <v>17</v>
      </c>
      <c r="E478" s="204" t="s">
        <v>56</v>
      </c>
      <c r="F478" s="204" t="s">
        <v>299</v>
      </c>
      <c r="G478" s="204" t="s">
        <v>13</v>
      </c>
      <c r="H478" s="204" t="s">
        <v>300</v>
      </c>
      <c r="I478" s="204" t="s">
        <v>278</v>
      </c>
      <c r="K478" t="s">
        <v>735</v>
      </c>
      <c r="L478" t="s">
        <v>730</v>
      </c>
      <c r="M478" s="12">
        <v>2025</v>
      </c>
      <c r="N478" t="s">
        <v>735</v>
      </c>
    </row>
    <row r="479" spans="1:14" x14ac:dyDescent="0.2">
      <c r="A479" s="204" t="s">
        <v>281</v>
      </c>
      <c r="B479" s="1">
        <v>45806</v>
      </c>
      <c r="C479" s="204" t="s">
        <v>264</v>
      </c>
      <c r="D479" s="204" t="s">
        <v>17</v>
      </c>
      <c r="E479" s="204" t="s">
        <v>72</v>
      </c>
      <c r="F479" s="204" t="s">
        <v>282</v>
      </c>
      <c r="G479" s="204" t="s">
        <v>24</v>
      </c>
      <c r="H479" s="204" t="s">
        <v>156</v>
      </c>
      <c r="I479" s="204" t="s">
        <v>15</v>
      </c>
      <c r="K479" t="s">
        <v>735</v>
      </c>
      <c r="L479" t="s">
        <v>730</v>
      </c>
      <c r="M479" s="12">
        <v>2025</v>
      </c>
      <c r="N479" t="s">
        <v>735</v>
      </c>
    </row>
    <row r="480" spans="1:14" x14ac:dyDescent="0.2">
      <c r="A480" s="204" t="s">
        <v>294</v>
      </c>
      <c r="B480" s="1">
        <v>45806</v>
      </c>
      <c r="C480" s="204" t="s">
        <v>290</v>
      </c>
      <c r="D480" s="204" t="s">
        <v>36</v>
      </c>
      <c r="E480" s="204" t="s">
        <v>37</v>
      </c>
      <c r="F480" s="204" t="s">
        <v>37</v>
      </c>
      <c r="G480" s="204" t="s">
        <v>20</v>
      </c>
      <c r="H480" s="204" t="s">
        <v>205</v>
      </c>
      <c r="I480" s="204" t="s">
        <v>15</v>
      </c>
      <c r="K480" t="s">
        <v>735</v>
      </c>
      <c r="L480" t="s">
        <v>730</v>
      </c>
      <c r="M480" s="12">
        <v>2025</v>
      </c>
      <c r="N480" t="s">
        <v>735</v>
      </c>
    </row>
    <row r="481" spans="1:14" x14ac:dyDescent="0.2">
      <c r="A481" s="204" t="s">
        <v>295</v>
      </c>
      <c r="B481" s="1">
        <v>45806</v>
      </c>
      <c r="C481" s="204" t="s">
        <v>264</v>
      </c>
      <c r="D481" s="204" t="s">
        <v>17</v>
      </c>
      <c r="E481" s="204" t="s">
        <v>72</v>
      </c>
      <c r="F481" s="204" t="s">
        <v>296</v>
      </c>
      <c r="G481" s="204" t="s">
        <v>20</v>
      </c>
      <c r="H481" s="204" t="s">
        <v>297</v>
      </c>
      <c r="I481" s="204" t="s">
        <v>15</v>
      </c>
      <c r="K481" t="s">
        <v>735</v>
      </c>
      <c r="L481" t="s">
        <v>730</v>
      </c>
      <c r="M481" s="12">
        <v>2025</v>
      </c>
      <c r="N481" t="s">
        <v>735</v>
      </c>
    </row>
    <row r="482" spans="1:14" x14ac:dyDescent="0.2">
      <c r="A482" s="204" t="s">
        <v>168</v>
      </c>
      <c r="B482" s="1">
        <v>45805</v>
      </c>
      <c r="C482" s="204" t="s">
        <v>9</v>
      </c>
      <c r="D482" s="204" t="s">
        <v>10</v>
      </c>
      <c r="E482" s="204" t="s">
        <v>11</v>
      </c>
      <c r="F482" s="204" t="s">
        <v>169</v>
      </c>
      <c r="G482" s="204" t="s">
        <v>287</v>
      </c>
      <c r="H482" s="204" t="s">
        <v>288</v>
      </c>
      <c r="I482" s="204" t="s">
        <v>15</v>
      </c>
      <c r="K482" t="s">
        <v>735</v>
      </c>
      <c r="L482" t="s">
        <v>730</v>
      </c>
      <c r="M482" s="12">
        <v>2025</v>
      </c>
      <c r="N482" t="s">
        <v>735</v>
      </c>
    </row>
    <row r="483" spans="1:14" x14ac:dyDescent="0.2">
      <c r="A483" s="204" t="s">
        <v>273</v>
      </c>
      <c r="B483" s="1">
        <v>45799</v>
      </c>
      <c r="C483" s="204" t="s">
        <v>40</v>
      </c>
      <c r="D483" s="204" t="s">
        <v>10</v>
      </c>
      <c r="E483" s="204" t="s">
        <v>41</v>
      </c>
      <c r="F483" s="204" t="s">
        <v>274</v>
      </c>
      <c r="G483" s="204" t="s">
        <v>24</v>
      </c>
      <c r="H483" s="204" t="s">
        <v>94</v>
      </c>
      <c r="I483" s="204" t="s">
        <v>15</v>
      </c>
      <c r="K483" t="s">
        <v>735</v>
      </c>
      <c r="L483" t="s">
        <v>730</v>
      </c>
      <c r="M483" s="12">
        <v>2025</v>
      </c>
      <c r="N483" t="s">
        <v>735</v>
      </c>
    </row>
    <row r="484" spans="1:14" x14ac:dyDescent="0.2">
      <c r="A484" s="204" t="s">
        <v>279</v>
      </c>
      <c r="B484" s="1">
        <v>45799</v>
      </c>
      <c r="C484" s="204" t="s">
        <v>9</v>
      </c>
      <c r="D484" s="204" t="s">
        <v>10</v>
      </c>
      <c r="E484" s="204" t="s">
        <v>11</v>
      </c>
      <c r="F484" s="204" t="s">
        <v>280</v>
      </c>
      <c r="G484" s="204" t="s">
        <v>97</v>
      </c>
      <c r="H484" s="204" t="s">
        <v>158</v>
      </c>
      <c r="I484" s="204" t="s">
        <v>278</v>
      </c>
      <c r="K484" t="s">
        <v>735</v>
      </c>
      <c r="L484" t="s">
        <v>730</v>
      </c>
      <c r="M484" s="12">
        <v>2025</v>
      </c>
      <c r="N484" t="s">
        <v>735</v>
      </c>
    </row>
    <row r="485" spans="1:14" x14ac:dyDescent="0.2">
      <c r="A485" s="204" t="s">
        <v>256</v>
      </c>
      <c r="B485" s="1">
        <v>45799</v>
      </c>
      <c r="C485" s="204" t="s">
        <v>620</v>
      </c>
      <c r="D485" s="204" t="s">
        <v>17</v>
      </c>
      <c r="E485" s="204" t="s">
        <v>96</v>
      </c>
      <c r="F485" s="204" t="s">
        <v>257</v>
      </c>
      <c r="G485" s="204" t="s">
        <v>24</v>
      </c>
      <c r="H485" s="204" t="s">
        <v>156</v>
      </c>
      <c r="I485" s="204" t="s">
        <v>15</v>
      </c>
      <c r="K485" t="s">
        <v>735</v>
      </c>
      <c r="L485" t="s">
        <v>730</v>
      </c>
      <c r="M485" s="12">
        <v>2025</v>
      </c>
      <c r="N485" t="s">
        <v>735</v>
      </c>
    </row>
    <row r="486" spans="1:14" x14ac:dyDescent="0.2">
      <c r="A486" s="204" t="s">
        <v>54</v>
      </c>
      <c r="B486" s="1">
        <v>45798</v>
      </c>
      <c r="C486" s="204" t="s">
        <v>55</v>
      </c>
      <c r="D486" s="204" t="s">
        <v>17</v>
      </c>
      <c r="E486" s="204" t="s">
        <v>56</v>
      </c>
      <c r="F486" s="204" t="s">
        <v>259</v>
      </c>
      <c r="G486" s="204" t="s">
        <v>111</v>
      </c>
      <c r="H486" s="204" t="s">
        <v>272</v>
      </c>
      <c r="I486" s="204" t="s">
        <v>15</v>
      </c>
      <c r="K486" t="s">
        <v>735</v>
      </c>
      <c r="L486" t="s">
        <v>730</v>
      </c>
      <c r="M486" s="12">
        <v>2025</v>
      </c>
      <c r="N486" t="s">
        <v>735</v>
      </c>
    </row>
    <row r="487" spans="1:14" x14ac:dyDescent="0.2">
      <c r="A487" s="204" t="s">
        <v>275</v>
      </c>
      <c r="B487" s="1">
        <v>45798</v>
      </c>
      <c r="C487" s="204" t="s">
        <v>55</v>
      </c>
      <c r="D487" s="204" t="s">
        <v>17</v>
      </c>
      <c r="E487" s="204" t="s">
        <v>56</v>
      </c>
      <c r="F487" s="204" t="s">
        <v>276</v>
      </c>
      <c r="G487" s="204" t="s">
        <v>74</v>
      </c>
      <c r="H487" s="204" t="s">
        <v>277</v>
      </c>
      <c r="I487" s="204" t="s">
        <v>278</v>
      </c>
      <c r="K487" t="s">
        <v>735</v>
      </c>
      <c r="L487" t="s">
        <v>730</v>
      </c>
      <c r="M487" s="12">
        <v>2025</v>
      </c>
      <c r="N487" t="s">
        <v>735</v>
      </c>
    </row>
    <row r="488" spans="1:14" x14ac:dyDescent="0.2">
      <c r="A488" s="204" t="s">
        <v>283</v>
      </c>
      <c r="B488" s="1">
        <v>45798</v>
      </c>
      <c r="C488" s="204" t="s">
        <v>657</v>
      </c>
      <c r="D488" s="204" t="s">
        <v>17</v>
      </c>
      <c r="E488" s="204" t="s">
        <v>191</v>
      </c>
      <c r="F488" s="204" t="s">
        <v>215</v>
      </c>
      <c r="G488" s="204" t="s">
        <v>184</v>
      </c>
      <c r="H488" s="204" t="s">
        <v>284</v>
      </c>
      <c r="I488" s="204" t="s">
        <v>278</v>
      </c>
      <c r="K488" t="s">
        <v>735</v>
      </c>
      <c r="L488" t="s">
        <v>730</v>
      </c>
      <c r="M488" s="12">
        <v>2025</v>
      </c>
      <c r="N488" t="s">
        <v>735</v>
      </c>
    </row>
    <row r="489" spans="1:14" x14ac:dyDescent="0.2">
      <c r="A489" s="204" t="s">
        <v>168</v>
      </c>
      <c r="B489" s="1">
        <v>45797</v>
      </c>
      <c r="C489" s="204" t="s">
        <v>9</v>
      </c>
      <c r="D489" s="204" t="s">
        <v>10</v>
      </c>
      <c r="E489" s="204" t="s">
        <v>11</v>
      </c>
      <c r="F489" s="204" t="s">
        <v>169</v>
      </c>
      <c r="G489" s="204" t="s">
        <v>24</v>
      </c>
      <c r="H489" s="204" t="s">
        <v>118</v>
      </c>
      <c r="I489" s="204" t="s">
        <v>15</v>
      </c>
      <c r="K489" t="s">
        <v>735</v>
      </c>
      <c r="L489" t="s">
        <v>730</v>
      </c>
      <c r="M489" s="12">
        <v>2025</v>
      </c>
      <c r="N489" t="s">
        <v>735</v>
      </c>
    </row>
    <row r="490" spans="1:14" x14ac:dyDescent="0.2">
      <c r="A490" s="204" t="s">
        <v>267</v>
      </c>
      <c r="B490" s="1">
        <v>45797</v>
      </c>
      <c r="C490" s="204" t="s">
        <v>325</v>
      </c>
      <c r="D490" s="204" t="s">
        <v>10</v>
      </c>
      <c r="E490" s="204" t="s">
        <v>268</v>
      </c>
      <c r="F490" s="204" t="s">
        <v>162</v>
      </c>
      <c r="G490" s="204" t="s">
        <v>24</v>
      </c>
      <c r="H490" s="204" t="s">
        <v>269</v>
      </c>
      <c r="I490" s="204" t="s">
        <v>15</v>
      </c>
      <c r="K490" t="s">
        <v>735</v>
      </c>
      <c r="L490" t="s">
        <v>730</v>
      </c>
      <c r="M490" s="12">
        <v>2025</v>
      </c>
      <c r="N490" t="s">
        <v>735</v>
      </c>
    </row>
    <row r="491" spans="1:14" x14ac:dyDescent="0.2">
      <c r="A491" s="204" t="s">
        <v>270</v>
      </c>
      <c r="B491" s="1">
        <v>45793</v>
      </c>
      <c r="C491" s="204" t="s">
        <v>620</v>
      </c>
      <c r="D491" s="204" t="s">
        <v>17</v>
      </c>
      <c r="E491" s="204" t="s">
        <v>96</v>
      </c>
      <c r="F491" s="204" t="s">
        <v>271</v>
      </c>
      <c r="G491" s="204" t="s">
        <v>58</v>
      </c>
      <c r="H491" s="204" t="s">
        <v>142</v>
      </c>
      <c r="I491" s="204" t="s">
        <v>278</v>
      </c>
      <c r="K491" t="s">
        <v>735</v>
      </c>
      <c r="L491" t="s">
        <v>730</v>
      </c>
      <c r="M491" s="12">
        <v>2025</v>
      </c>
      <c r="N491" t="s">
        <v>735</v>
      </c>
    </row>
    <row r="492" spans="1:14" x14ac:dyDescent="0.2">
      <c r="A492" s="204" t="s">
        <v>263</v>
      </c>
      <c r="B492" s="1">
        <v>45792</v>
      </c>
      <c r="C492" s="204" t="s">
        <v>264</v>
      </c>
      <c r="D492" s="204" t="s">
        <v>17</v>
      </c>
      <c r="E492" s="204" t="s">
        <v>72</v>
      </c>
      <c r="F492" s="204" t="s">
        <v>265</v>
      </c>
      <c r="G492" s="204" t="s">
        <v>69</v>
      </c>
      <c r="H492" s="204" t="s">
        <v>266</v>
      </c>
      <c r="I492" s="204" t="s">
        <v>278</v>
      </c>
      <c r="K492" t="s">
        <v>735</v>
      </c>
      <c r="L492" t="s">
        <v>730</v>
      </c>
      <c r="M492" s="12">
        <v>2025</v>
      </c>
      <c r="N492" t="s">
        <v>735</v>
      </c>
    </row>
    <row r="493" spans="1:14" x14ac:dyDescent="0.2">
      <c r="A493" s="204" t="s">
        <v>260</v>
      </c>
      <c r="B493" s="1">
        <v>45791</v>
      </c>
      <c r="C493" s="204" t="s">
        <v>261</v>
      </c>
      <c r="D493" s="204" t="s">
        <v>10</v>
      </c>
      <c r="E493" s="204" t="s">
        <v>155</v>
      </c>
      <c r="F493" s="204" t="s">
        <v>262</v>
      </c>
      <c r="G493" s="204" t="s">
        <v>24</v>
      </c>
      <c r="H493" s="204" t="s">
        <v>221</v>
      </c>
      <c r="I493" s="204" t="s">
        <v>15</v>
      </c>
      <c r="K493" t="s">
        <v>735</v>
      </c>
      <c r="L493" t="s">
        <v>730</v>
      </c>
      <c r="M493" s="12">
        <v>2025</v>
      </c>
      <c r="N493" t="s">
        <v>735</v>
      </c>
    </row>
    <row r="494" spans="1:14" x14ac:dyDescent="0.2">
      <c r="A494" s="204" t="s">
        <v>256</v>
      </c>
      <c r="B494" s="1">
        <v>45784</v>
      </c>
      <c r="C494" s="204" t="s">
        <v>620</v>
      </c>
      <c r="D494" s="204" t="s">
        <v>17</v>
      </c>
      <c r="E494" s="204" t="s">
        <v>96</v>
      </c>
      <c r="F494" s="204" t="s">
        <v>257</v>
      </c>
      <c r="G494" s="204" t="s">
        <v>24</v>
      </c>
      <c r="H494" s="204" t="s">
        <v>258</v>
      </c>
      <c r="I494" s="204" t="s">
        <v>15</v>
      </c>
      <c r="K494" t="s">
        <v>735</v>
      </c>
      <c r="L494" t="s">
        <v>730</v>
      </c>
      <c r="M494" s="12">
        <v>2025</v>
      </c>
      <c r="N494" t="s">
        <v>735</v>
      </c>
    </row>
    <row r="495" spans="1:14" x14ac:dyDescent="0.2">
      <c r="A495" s="204" t="s">
        <v>54</v>
      </c>
      <c r="B495" s="1">
        <v>45784</v>
      </c>
      <c r="C495" s="204" t="s">
        <v>55</v>
      </c>
      <c r="D495" s="204" t="s">
        <v>17</v>
      </c>
      <c r="E495" s="204" t="s">
        <v>56</v>
      </c>
      <c r="F495" s="204" t="s">
        <v>259</v>
      </c>
      <c r="G495" s="204" t="s">
        <v>20</v>
      </c>
      <c r="H495" s="204" t="s">
        <v>75</v>
      </c>
      <c r="I495" s="204" t="s">
        <v>15</v>
      </c>
      <c r="K495" t="s">
        <v>735</v>
      </c>
      <c r="L495" t="s">
        <v>730</v>
      </c>
      <c r="M495" s="12">
        <v>2025</v>
      </c>
      <c r="N495" t="s">
        <v>735</v>
      </c>
    </row>
    <row r="496" spans="1:14" x14ac:dyDescent="0.2">
      <c r="A496" s="204" t="s">
        <v>247</v>
      </c>
      <c r="B496" s="1">
        <v>45783</v>
      </c>
      <c r="C496" s="204" t="s">
        <v>9</v>
      </c>
      <c r="D496" s="204" t="s">
        <v>10</v>
      </c>
      <c r="E496" s="204" t="s">
        <v>11</v>
      </c>
      <c r="F496" s="204" t="s">
        <v>248</v>
      </c>
      <c r="G496" s="204" t="s">
        <v>24</v>
      </c>
      <c r="H496" s="204" t="s">
        <v>249</v>
      </c>
      <c r="I496" s="204" t="s">
        <v>15</v>
      </c>
      <c r="K496" t="s">
        <v>735</v>
      </c>
      <c r="L496" t="s">
        <v>730</v>
      </c>
      <c r="M496" s="12">
        <v>2025</v>
      </c>
      <c r="N496" t="s">
        <v>735</v>
      </c>
    </row>
    <row r="497" spans="1:14" x14ac:dyDescent="0.2">
      <c r="A497" s="204" t="s">
        <v>251</v>
      </c>
      <c r="B497" s="1">
        <v>45783</v>
      </c>
      <c r="C497" s="204" t="s">
        <v>657</v>
      </c>
      <c r="D497" s="204" t="s">
        <v>17</v>
      </c>
      <c r="E497" s="204" t="s">
        <v>191</v>
      </c>
      <c r="F497" s="204" t="s">
        <v>204</v>
      </c>
      <c r="G497" s="204" t="s">
        <v>24</v>
      </c>
      <c r="H497" s="204" t="s">
        <v>156</v>
      </c>
      <c r="I497" s="204" t="s">
        <v>15</v>
      </c>
      <c r="K497" t="s">
        <v>735</v>
      </c>
      <c r="L497" t="s">
        <v>730</v>
      </c>
      <c r="M497" s="12">
        <v>2025</v>
      </c>
      <c r="N497" t="s">
        <v>735</v>
      </c>
    </row>
    <row r="498" spans="1:14" x14ac:dyDescent="0.2">
      <c r="A498" s="204" t="s">
        <v>29</v>
      </c>
      <c r="B498" s="1">
        <v>45779</v>
      </c>
      <c r="C498" s="204" t="s">
        <v>136</v>
      </c>
      <c r="D498" s="204" t="s">
        <v>10</v>
      </c>
      <c r="E498" s="204" t="s">
        <v>31</v>
      </c>
      <c r="F498" s="204" t="s">
        <v>254</v>
      </c>
      <c r="G498" s="204" t="s">
        <v>58</v>
      </c>
      <c r="H498" s="204" t="s">
        <v>255</v>
      </c>
      <c r="I498" s="204" t="s">
        <v>15</v>
      </c>
      <c r="K498" t="s">
        <v>735</v>
      </c>
      <c r="L498" t="s">
        <v>730</v>
      </c>
      <c r="M498" s="12">
        <v>2025</v>
      </c>
      <c r="N498" t="s">
        <v>735</v>
      </c>
    </row>
    <row r="499" spans="1:14" x14ac:dyDescent="0.2">
      <c r="A499" s="204" t="s">
        <v>243</v>
      </c>
      <c r="B499" s="1">
        <v>45776</v>
      </c>
      <c r="C499" s="204" t="s">
        <v>244</v>
      </c>
      <c r="D499" s="204" t="s">
        <v>245</v>
      </c>
      <c r="E499" s="204" t="s">
        <v>246</v>
      </c>
      <c r="F499" s="204" t="s">
        <v>68</v>
      </c>
      <c r="G499" s="204" t="s">
        <v>28</v>
      </c>
      <c r="H499" s="204" t="s">
        <v>66</v>
      </c>
      <c r="I499" s="204" t="s">
        <v>15</v>
      </c>
      <c r="K499" t="s">
        <v>734</v>
      </c>
      <c r="L499" t="s">
        <v>730</v>
      </c>
      <c r="M499" s="12">
        <v>2025</v>
      </c>
      <c r="N499" t="s">
        <v>734</v>
      </c>
    </row>
    <row r="500" spans="1:14" x14ac:dyDescent="0.2">
      <c r="A500" s="204" t="s">
        <v>250</v>
      </c>
      <c r="B500" s="1">
        <v>45776</v>
      </c>
      <c r="C500" s="204" t="s">
        <v>30</v>
      </c>
      <c r="D500" s="204" t="s">
        <v>10</v>
      </c>
      <c r="E500" s="204" t="s">
        <v>126</v>
      </c>
      <c r="F500" s="204" t="s">
        <v>138</v>
      </c>
      <c r="G500" s="204" t="s">
        <v>69</v>
      </c>
      <c r="H500" s="204" t="s">
        <v>91</v>
      </c>
      <c r="I500" s="204" t="s">
        <v>278</v>
      </c>
      <c r="K500" t="s">
        <v>734</v>
      </c>
      <c r="L500" t="s">
        <v>730</v>
      </c>
      <c r="M500" s="12">
        <v>2025</v>
      </c>
      <c r="N500" t="s">
        <v>734</v>
      </c>
    </row>
    <row r="501" spans="1:14" x14ac:dyDescent="0.2">
      <c r="A501" s="204" t="s">
        <v>252</v>
      </c>
      <c r="B501" s="1">
        <v>45776</v>
      </c>
      <c r="C501" s="204" t="s">
        <v>55</v>
      </c>
      <c r="D501" s="204" t="s">
        <v>17</v>
      </c>
      <c r="E501" s="204" t="s">
        <v>56</v>
      </c>
      <c r="F501" s="204" t="s">
        <v>65</v>
      </c>
      <c r="G501" s="204" t="s">
        <v>20</v>
      </c>
      <c r="H501" s="204" t="s">
        <v>107</v>
      </c>
      <c r="I501" s="204" t="s">
        <v>15</v>
      </c>
      <c r="K501" t="s">
        <v>734</v>
      </c>
      <c r="L501" t="s">
        <v>730</v>
      </c>
      <c r="M501" s="12">
        <v>2025</v>
      </c>
      <c r="N501" t="s">
        <v>734</v>
      </c>
    </row>
    <row r="502" spans="1:14" x14ac:dyDescent="0.2">
      <c r="A502" s="204" t="s">
        <v>234</v>
      </c>
      <c r="B502" s="1">
        <v>45776</v>
      </c>
      <c r="C502" s="204" t="s">
        <v>40</v>
      </c>
      <c r="D502" s="204" t="s">
        <v>10</v>
      </c>
      <c r="E502" s="204" t="s">
        <v>41</v>
      </c>
      <c r="F502" s="204" t="s">
        <v>253</v>
      </c>
      <c r="G502" s="204" t="s">
        <v>151</v>
      </c>
      <c r="H502" s="204" t="s">
        <v>156</v>
      </c>
      <c r="I502" s="204" t="s">
        <v>15</v>
      </c>
      <c r="K502" t="s">
        <v>734</v>
      </c>
      <c r="L502" t="s">
        <v>730</v>
      </c>
      <c r="M502" s="12">
        <v>2025</v>
      </c>
      <c r="N502" t="s">
        <v>734</v>
      </c>
    </row>
    <row r="503" spans="1:14" x14ac:dyDescent="0.2">
      <c r="A503" s="204" t="s">
        <v>239</v>
      </c>
      <c r="B503" s="1">
        <v>45772</v>
      </c>
      <c r="C503" s="204" t="s">
        <v>136</v>
      </c>
      <c r="D503" s="204" t="s">
        <v>10</v>
      </c>
      <c r="E503" s="204" t="s">
        <v>31</v>
      </c>
      <c r="F503" s="204" t="s">
        <v>240</v>
      </c>
      <c r="G503" s="204" t="s">
        <v>24</v>
      </c>
      <c r="H503" s="204" t="s">
        <v>185</v>
      </c>
      <c r="I503" s="204" t="s">
        <v>15</v>
      </c>
      <c r="K503" t="s">
        <v>734</v>
      </c>
      <c r="L503" t="s">
        <v>730</v>
      </c>
      <c r="M503" s="12">
        <v>2025</v>
      </c>
      <c r="N503" t="s">
        <v>734</v>
      </c>
    </row>
    <row r="504" spans="1:14" x14ac:dyDescent="0.2">
      <c r="A504" s="204" t="s">
        <v>241</v>
      </c>
      <c r="B504" s="1">
        <v>45772</v>
      </c>
      <c r="C504" s="204" t="s">
        <v>136</v>
      </c>
      <c r="D504" s="204" t="s">
        <v>10</v>
      </c>
      <c r="E504" s="204" t="s">
        <v>31</v>
      </c>
      <c r="F504" s="204" t="s">
        <v>242</v>
      </c>
      <c r="G504" s="204" t="s">
        <v>24</v>
      </c>
      <c r="H504" s="204" t="s">
        <v>124</v>
      </c>
      <c r="I504" s="204" t="s">
        <v>15</v>
      </c>
      <c r="K504" t="s">
        <v>734</v>
      </c>
      <c r="L504" t="s">
        <v>730</v>
      </c>
      <c r="M504" s="12">
        <v>2025</v>
      </c>
      <c r="N504" t="s">
        <v>734</v>
      </c>
    </row>
    <row r="505" spans="1:14" x14ac:dyDescent="0.2">
      <c r="A505" s="204" t="s">
        <v>231</v>
      </c>
      <c r="B505" s="1">
        <v>45771</v>
      </c>
      <c r="C505" s="204" t="s">
        <v>46</v>
      </c>
      <c r="D505" s="204" t="s">
        <v>10</v>
      </c>
      <c r="E505" s="204" t="s">
        <v>47</v>
      </c>
      <c r="F505" s="204" t="s">
        <v>232</v>
      </c>
      <c r="G505" s="204" t="s">
        <v>24</v>
      </c>
      <c r="H505" s="204" t="s">
        <v>233</v>
      </c>
      <c r="I505" s="204" t="s">
        <v>15</v>
      </c>
      <c r="K505" t="s">
        <v>734</v>
      </c>
      <c r="L505" t="s">
        <v>730</v>
      </c>
      <c r="M505" s="12">
        <v>2025</v>
      </c>
      <c r="N505" t="s">
        <v>734</v>
      </c>
    </row>
    <row r="506" spans="1:14" x14ac:dyDescent="0.2">
      <c r="A506" s="204" t="s">
        <v>237</v>
      </c>
      <c r="B506" s="1">
        <v>45771</v>
      </c>
      <c r="C506" s="204" t="s">
        <v>657</v>
      </c>
      <c r="D506" s="204" t="s">
        <v>17</v>
      </c>
      <c r="E506" s="204" t="s">
        <v>114</v>
      </c>
      <c r="F506" s="204" t="s">
        <v>238</v>
      </c>
      <c r="G506" s="204" t="s">
        <v>24</v>
      </c>
      <c r="H506" s="204" t="s">
        <v>87</v>
      </c>
      <c r="I506" s="204" t="s">
        <v>15</v>
      </c>
      <c r="K506" t="s">
        <v>734</v>
      </c>
      <c r="L506" t="s">
        <v>730</v>
      </c>
      <c r="M506" s="12">
        <v>2025</v>
      </c>
      <c r="N506" t="s">
        <v>734</v>
      </c>
    </row>
    <row r="507" spans="1:14" x14ac:dyDescent="0.2">
      <c r="A507" s="204" t="s">
        <v>229</v>
      </c>
      <c r="B507" s="1">
        <v>45769</v>
      </c>
      <c r="C507" s="204" t="s">
        <v>30</v>
      </c>
      <c r="D507" s="204" t="s">
        <v>10</v>
      </c>
      <c r="E507" s="204" t="s">
        <v>126</v>
      </c>
      <c r="F507" s="204" t="s">
        <v>138</v>
      </c>
      <c r="G507" s="204" t="s">
        <v>24</v>
      </c>
      <c r="H507" s="204" t="s">
        <v>230</v>
      </c>
      <c r="I507" s="204" t="s">
        <v>15</v>
      </c>
      <c r="K507" t="s">
        <v>734</v>
      </c>
      <c r="L507" t="s">
        <v>730</v>
      </c>
      <c r="M507" s="12">
        <v>2025</v>
      </c>
      <c r="N507" t="s">
        <v>734</v>
      </c>
    </row>
    <row r="508" spans="1:14" x14ac:dyDescent="0.2">
      <c r="A508" s="204" t="s">
        <v>227</v>
      </c>
      <c r="B508" s="1">
        <v>45765</v>
      </c>
      <c r="C508" s="204" t="s">
        <v>657</v>
      </c>
      <c r="D508" s="204" t="s">
        <v>17</v>
      </c>
      <c r="E508" s="204" t="s">
        <v>18</v>
      </c>
      <c r="F508" s="204" t="s">
        <v>48</v>
      </c>
      <c r="G508" s="204" t="s">
        <v>24</v>
      </c>
      <c r="H508" s="204" t="s">
        <v>228</v>
      </c>
      <c r="I508" s="204" t="s">
        <v>15</v>
      </c>
      <c r="K508" t="s">
        <v>734</v>
      </c>
      <c r="L508" t="s">
        <v>730</v>
      </c>
      <c r="M508" s="12">
        <v>2025</v>
      </c>
      <c r="N508" t="s">
        <v>734</v>
      </c>
    </row>
    <row r="509" spans="1:14" x14ac:dyDescent="0.2">
      <c r="A509" s="204" t="s">
        <v>234</v>
      </c>
      <c r="B509" s="1">
        <v>45765</v>
      </c>
      <c r="C509" s="204" t="s">
        <v>71</v>
      </c>
      <c r="D509" s="204" t="s">
        <v>17</v>
      </c>
      <c r="E509" s="204" t="s">
        <v>72</v>
      </c>
      <c r="F509" s="204" t="s">
        <v>235</v>
      </c>
      <c r="G509" s="204" t="s">
        <v>13</v>
      </c>
      <c r="H509" s="204" t="s">
        <v>236</v>
      </c>
      <c r="I509" s="204" t="s">
        <v>278</v>
      </c>
      <c r="K509" t="s">
        <v>734</v>
      </c>
      <c r="L509" t="s">
        <v>730</v>
      </c>
      <c r="M509" s="12">
        <v>2025</v>
      </c>
      <c r="N509" t="s">
        <v>734</v>
      </c>
    </row>
    <row r="510" spans="1:14" x14ac:dyDescent="0.2">
      <c r="A510" s="204" t="s">
        <v>222</v>
      </c>
      <c r="B510" s="1">
        <v>45758</v>
      </c>
      <c r="C510" s="204" t="s">
        <v>181</v>
      </c>
      <c r="D510" s="204" t="s">
        <v>10</v>
      </c>
      <c r="E510" s="204" t="s">
        <v>182</v>
      </c>
      <c r="F510" s="204" t="s">
        <v>223</v>
      </c>
      <c r="G510" s="204" t="s">
        <v>24</v>
      </c>
      <c r="H510" s="204" t="s">
        <v>224</v>
      </c>
      <c r="I510" s="204" t="s">
        <v>15</v>
      </c>
      <c r="K510" t="s">
        <v>734</v>
      </c>
      <c r="L510" t="s">
        <v>730</v>
      </c>
      <c r="M510" s="12">
        <v>2025</v>
      </c>
      <c r="N510" t="s">
        <v>734</v>
      </c>
    </row>
    <row r="511" spans="1:14" x14ac:dyDescent="0.2">
      <c r="A511" s="204" t="s">
        <v>220</v>
      </c>
      <c r="B511" s="1">
        <v>45756</v>
      </c>
      <c r="C511" s="204" t="s">
        <v>136</v>
      </c>
      <c r="D511" s="204" t="s">
        <v>10</v>
      </c>
      <c r="E511" s="204" t="s">
        <v>155</v>
      </c>
      <c r="F511" s="204" t="s">
        <v>32</v>
      </c>
      <c r="G511" s="204" t="s">
        <v>24</v>
      </c>
      <c r="H511" s="204" t="s">
        <v>221</v>
      </c>
      <c r="I511" s="204" t="s">
        <v>15</v>
      </c>
      <c r="K511" t="s">
        <v>734</v>
      </c>
      <c r="L511" t="s">
        <v>730</v>
      </c>
      <c r="M511" s="12">
        <v>2025</v>
      </c>
      <c r="N511" t="s">
        <v>734</v>
      </c>
    </row>
    <row r="512" spans="1:14" x14ac:dyDescent="0.2">
      <c r="A512" s="204" t="s">
        <v>217</v>
      </c>
      <c r="B512" s="1">
        <v>45755</v>
      </c>
      <c r="C512" s="204" t="s">
        <v>30</v>
      </c>
      <c r="D512" s="204" t="s">
        <v>10</v>
      </c>
      <c r="E512" s="204" t="s">
        <v>126</v>
      </c>
      <c r="F512" s="204" t="s">
        <v>218</v>
      </c>
      <c r="G512" s="204" t="s">
        <v>24</v>
      </c>
      <c r="H512" s="204" t="s">
        <v>219</v>
      </c>
      <c r="I512" s="204" t="s">
        <v>15</v>
      </c>
      <c r="K512" t="s">
        <v>734</v>
      </c>
      <c r="L512" t="s">
        <v>730</v>
      </c>
      <c r="M512" s="12">
        <v>2025</v>
      </c>
      <c r="N512" t="s">
        <v>734</v>
      </c>
    </row>
    <row r="513" spans="1:14" x14ac:dyDescent="0.2">
      <c r="A513" s="204" t="s">
        <v>225</v>
      </c>
      <c r="B513" s="1">
        <v>45755</v>
      </c>
      <c r="C513" s="204" t="s">
        <v>9</v>
      </c>
      <c r="D513" s="204" t="s">
        <v>10</v>
      </c>
      <c r="E513" s="204" t="s">
        <v>11</v>
      </c>
      <c r="F513" s="204" t="s">
        <v>226</v>
      </c>
      <c r="G513" s="204" t="s">
        <v>74</v>
      </c>
      <c r="H513" s="216" t="s">
        <v>156</v>
      </c>
      <c r="I513" s="204" t="s">
        <v>15</v>
      </c>
      <c r="K513" t="s">
        <v>734</v>
      </c>
      <c r="L513" t="s">
        <v>730</v>
      </c>
      <c r="M513" s="12">
        <v>2025</v>
      </c>
      <c r="N513" t="s">
        <v>734</v>
      </c>
    </row>
    <row r="514" spans="1:14" x14ac:dyDescent="0.2">
      <c r="A514" s="204" t="s">
        <v>212</v>
      </c>
      <c r="B514" s="1">
        <v>45751</v>
      </c>
      <c r="C514" s="204" t="s">
        <v>40</v>
      </c>
      <c r="D514" s="204" t="s">
        <v>10</v>
      </c>
      <c r="E514" s="204" t="s">
        <v>41</v>
      </c>
      <c r="F514" s="204" t="s">
        <v>213</v>
      </c>
      <c r="G514" s="204" t="s">
        <v>28</v>
      </c>
      <c r="H514" s="204" t="s">
        <v>107</v>
      </c>
      <c r="I514" s="204" t="s">
        <v>15</v>
      </c>
      <c r="K514" t="s">
        <v>734</v>
      </c>
      <c r="L514" t="s">
        <v>730</v>
      </c>
      <c r="M514" s="12">
        <v>2025</v>
      </c>
      <c r="N514" t="s">
        <v>734</v>
      </c>
    </row>
    <row r="515" spans="1:14" x14ac:dyDescent="0.2">
      <c r="A515" s="204" t="s">
        <v>209</v>
      </c>
      <c r="B515" s="1">
        <v>45750</v>
      </c>
      <c r="C515" s="204" t="s">
        <v>30</v>
      </c>
      <c r="D515" s="204" t="s">
        <v>10</v>
      </c>
      <c r="E515" s="204" t="s">
        <v>126</v>
      </c>
      <c r="F515" s="204" t="s">
        <v>210</v>
      </c>
      <c r="G515" s="204" t="s">
        <v>24</v>
      </c>
      <c r="H515" s="204" t="s">
        <v>211</v>
      </c>
      <c r="I515" s="204" t="s">
        <v>15</v>
      </c>
      <c r="K515" t="s">
        <v>734</v>
      </c>
      <c r="L515" t="s">
        <v>730</v>
      </c>
      <c r="M515" s="12">
        <v>2025</v>
      </c>
      <c r="N515" t="s">
        <v>734</v>
      </c>
    </row>
    <row r="516" spans="1:14" x14ac:dyDescent="0.2">
      <c r="A516" s="204" t="s">
        <v>214</v>
      </c>
      <c r="B516" s="1">
        <v>45744</v>
      </c>
      <c r="C516" s="204" t="s">
        <v>657</v>
      </c>
      <c r="D516" s="204" t="s">
        <v>17</v>
      </c>
      <c r="E516" s="204" t="s">
        <v>191</v>
      </c>
      <c r="F516" s="204" t="s">
        <v>215</v>
      </c>
      <c r="G516" s="204" t="s">
        <v>20</v>
      </c>
      <c r="H516" s="204" t="s">
        <v>216</v>
      </c>
      <c r="I516" s="204" t="s">
        <v>76</v>
      </c>
      <c r="K516" t="s">
        <v>733</v>
      </c>
      <c r="L516" t="s">
        <v>731</v>
      </c>
      <c r="M516" s="12">
        <v>2025</v>
      </c>
      <c r="N516" t="s">
        <v>733</v>
      </c>
    </row>
    <row r="517" spans="1:14" x14ac:dyDescent="0.2">
      <c r="A517" s="204" t="s">
        <v>202</v>
      </c>
      <c r="B517" s="1">
        <v>45741</v>
      </c>
      <c r="C517" s="204" t="s">
        <v>46</v>
      </c>
      <c r="D517" s="204" t="s">
        <v>10</v>
      </c>
      <c r="E517" s="204" t="s">
        <v>47</v>
      </c>
      <c r="F517" s="204" t="s">
        <v>138</v>
      </c>
      <c r="G517" s="204" t="s">
        <v>24</v>
      </c>
      <c r="H517" s="204" t="s">
        <v>124</v>
      </c>
      <c r="I517" s="204" t="s">
        <v>15</v>
      </c>
      <c r="K517" t="s">
        <v>733</v>
      </c>
      <c r="L517" t="s">
        <v>730</v>
      </c>
      <c r="M517" s="12">
        <v>2025</v>
      </c>
      <c r="N517" t="s">
        <v>733</v>
      </c>
    </row>
    <row r="518" spans="1:14" x14ac:dyDescent="0.2">
      <c r="A518" s="204" t="s">
        <v>200</v>
      </c>
      <c r="B518" s="1">
        <v>45737</v>
      </c>
      <c r="C518" s="204" t="s">
        <v>9</v>
      </c>
      <c r="D518" s="204" t="s">
        <v>10</v>
      </c>
      <c r="E518" s="204" t="s">
        <v>11</v>
      </c>
      <c r="F518" s="204" t="s">
        <v>201</v>
      </c>
      <c r="G518" s="204" t="s">
        <v>24</v>
      </c>
      <c r="H518" s="204" t="s">
        <v>87</v>
      </c>
      <c r="I518" s="204" t="s">
        <v>15</v>
      </c>
      <c r="K518" t="s">
        <v>733</v>
      </c>
      <c r="L518" t="s">
        <v>730</v>
      </c>
      <c r="M518" s="12">
        <v>2025</v>
      </c>
      <c r="N518" t="s">
        <v>733</v>
      </c>
    </row>
    <row r="519" spans="1:14" x14ac:dyDescent="0.2">
      <c r="A519" s="204" t="s">
        <v>208</v>
      </c>
      <c r="B519" s="1">
        <v>45737</v>
      </c>
      <c r="C519" s="204" t="s">
        <v>657</v>
      </c>
      <c r="D519" s="204" t="s">
        <v>17</v>
      </c>
      <c r="E519" s="204" t="s">
        <v>18</v>
      </c>
      <c r="F519" s="204" t="s">
        <v>100</v>
      </c>
      <c r="G519" s="204"/>
      <c r="H519" s="204"/>
      <c r="I519" s="204" t="s">
        <v>278</v>
      </c>
      <c r="K519" t="s">
        <v>733</v>
      </c>
      <c r="L519" t="s">
        <v>730</v>
      </c>
      <c r="M519" s="12">
        <v>2025</v>
      </c>
      <c r="N519" t="s">
        <v>733</v>
      </c>
    </row>
    <row r="520" spans="1:14" x14ac:dyDescent="0.2">
      <c r="A520" s="204" t="s">
        <v>206</v>
      </c>
      <c r="B520" s="1">
        <v>45736</v>
      </c>
      <c r="C520" s="204" t="s">
        <v>620</v>
      </c>
      <c r="D520" s="204" t="s">
        <v>17</v>
      </c>
      <c r="E520" s="204" t="s">
        <v>96</v>
      </c>
      <c r="F520" s="204" t="s">
        <v>207</v>
      </c>
      <c r="G520" s="204" t="s">
        <v>20</v>
      </c>
      <c r="H520" s="204" t="s">
        <v>118</v>
      </c>
      <c r="I520" s="204" t="s">
        <v>15</v>
      </c>
      <c r="K520" t="s">
        <v>733</v>
      </c>
      <c r="L520" t="s">
        <v>730</v>
      </c>
      <c r="M520" s="12">
        <v>2025</v>
      </c>
      <c r="N520" t="s">
        <v>733</v>
      </c>
    </row>
    <row r="521" spans="1:14" x14ac:dyDescent="0.2">
      <c r="A521" s="204" t="s">
        <v>190</v>
      </c>
      <c r="B521" s="1">
        <v>45735</v>
      </c>
      <c r="C521" s="204" t="s">
        <v>657</v>
      </c>
      <c r="D521" s="204" t="s">
        <v>17</v>
      </c>
      <c r="E521" s="204" t="s">
        <v>191</v>
      </c>
      <c r="F521" s="204" t="s">
        <v>192</v>
      </c>
      <c r="G521" s="204" t="s">
        <v>28</v>
      </c>
      <c r="H521" s="204" t="s">
        <v>193</v>
      </c>
      <c r="I521" s="204" t="s">
        <v>15</v>
      </c>
      <c r="K521" t="s">
        <v>733</v>
      </c>
      <c r="L521" t="s">
        <v>730</v>
      </c>
      <c r="M521" s="12">
        <v>2025</v>
      </c>
      <c r="N521" t="s">
        <v>733</v>
      </c>
    </row>
    <row r="522" spans="1:14" x14ac:dyDescent="0.2">
      <c r="A522" s="204" t="s">
        <v>203</v>
      </c>
      <c r="B522" s="1">
        <v>45735</v>
      </c>
      <c r="C522" s="204" t="s">
        <v>657</v>
      </c>
      <c r="D522" s="204" t="s">
        <v>17</v>
      </c>
      <c r="E522" s="204" t="s">
        <v>191</v>
      </c>
      <c r="F522" s="204" t="s">
        <v>204</v>
      </c>
      <c r="G522" s="204" t="s">
        <v>58</v>
      </c>
      <c r="H522" s="204" t="s">
        <v>205</v>
      </c>
      <c r="I522" s="204" t="s">
        <v>278</v>
      </c>
      <c r="K522" t="s">
        <v>733</v>
      </c>
      <c r="L522" t="s">
        <v>730</v>
      </c>
      <c r="M522" s="12">
        <v>2025</v>
      </c>
      <c r="N522" t="s">
        <v>733</v>
      </c>
    </row>
    <row r="523" spans="1:14" x14ac:dyDescent="0.2">
      <c r="A523" s="204" t="s">
        <v>168</v>
      </c>
      <c r="B523" s="1">
        <v>45730</v>
      </c>
      <c r="C523" s="204" t="s">
        <v>9</v>
      </c>
      <c r="D523" s="204" t="s">
        <v>10</v>
      </c>
      <c r="E523" s="204" t="s">
        <v>11</v>
      </c>
      <c r="F523" s="204" t="s">
        <v>169</v>
      </c>
      <c r="G523" s="204" t="s">
        <v>24</v>
      </c>
      <c r="H523" s="204" t="s">
        <v>112</v>
      </c>
      <c r="I523" s="204" t="s">
        <v>15</v>
      </c>
      <c r="K523" t="s">
        <v>733</v>
      </c>
      <c r="L523" t="s">
        <v>730</v>
      </c>
      <c r="M523" s="12">
        <v>2025</v>
      </c>
      <c r="N523" t="s">
        <v>733</v>
      </c>
    </row>
    <row r="524" spans="1:14" x14ac:dyDescent="0.2">
      <c r="A524" s="204" t="s">
        <v>177</v>
      </c>
      <c r="B524" s="1">
        <v>45730</v>
      </c>
      <c r="C524" s="204" t="s">
        <v>9</v>
      </c>
      <c r="D524" s="204" t="s">
        <v>10</v>
      </c>
      <c r="E524" s="204" t="s">
        <v>11</v>
      </c>
      <c r="F524" s="204" t="s">
        <v>178</v>
      </c>
      <c r="G524" s="204" t="s">
        <v>24</v>
      </c>
      <c r="H524" s="204" t="s">
        <v>179</v>
      </c>
      <c r="I524" s="204" t="s">
        <v>15</v>
      </c>
      <c r="K524" t="s">
        <v>733</v>
      </c>
      <c r="L524" t="s">
        <v>730</v>
      </c>
      <c r="M524" s="12">
        <v>2025</v>
      </c>
      <c r="N524" t="s">
        <v>733</v>
      </c>
    </row>
    <row r="525" spans="1:14" x14ac:dyDescent="0.2">
      <c r="A525" s="204" t="s">
        <v>186</v>
      </c>
      <c r="B525" s="1">
        <v>45730</v>
      </c>
      <c r="C525" s="204" t="s">
        <v>620</v>
      </c>
      <c r="D525" s="204" t="s">
        <v>17</v>
      </c>
      <c r="E525" s="204" t="s">
        <v>96</v>
      </c>
      <c r="F525" s="204" t="s">
        <v>187</v>
      </c>
      <c r="G525" s="204" t="s">
        <v>184</v>
      </c>
      <c r="H525" s="204" t="s">
        <v>188</v>
      </c>
      <c r="I525" s="204" t="s">
        <v>15</v>
      </c>
      <c r="K525" t="s">
        <v>733</v>
      </c>
      <c r="L525" t="s">
        <v>730</v>
      </c>
      <c r="M525" s="12">
        <v>2025</v>
      </c>
      <c r="N525" t="s">
        <v>733</v>
      </c>
    </row>
    <row r="526" spans="1:14" x14ac:dyDescent="0.2">
      <c r="A526" s="204" t="s">
        <v>189</v>
      </c>
      <c r="B526" s="1">
        <v>45730</v>
      </c>
      <c r="C526" s="204" t="s">
        <v>154</v>
      </c>
      <c r="D526" s="204" t="s">
        <v>10</v>
      </c>
      <c r="E526" s="204" t="s">
        <v>155</v>
      </c>
      <c r="F526" s="204" t="s">
        <v>100</v>
      </c>
      <c r="G526" s="204" t="s">
        <v>24</v>
      </c>
      <c r="H526" s="204" t="s">
        <v>152</v>
      </c>
      <c r="I526" s="204" t="s">
        <v>15</v>
      </c>
      <c r="K526" t="s">
        <v>733</v>
      </c>
      <c r="L526" t="s">
        <v>730</v>
      </c>
      <c r="M526" s="12">
        <v>2025</v>
      </c>
      <c r="N526" t="s">
        <v>733</v>
      </c>
    </row>
    <row r="527" spans="1:14" x14ac:dyDescent="0.2">
      <c r="A527" s="204" t="s">
        <v>194</v>
      </c>
      <c r="B527" s="1">
        <v>45730</v>
      </c>
      <c r="C527" s="204" t="s">
        <v>195</v>
      </c>
      <c r="D527" s="204" t="s">
        <v>577</v>
      </c>
      <c r="E527" s="204" t="s">
        <v>196</v>
      </c>
      <c r="F527" s="204" t="s">
        <v>197</v>
      </c>
      <c r="G527" s="204" t="s">
        <v>198</v>
      </c>
      <c r="H527" s="204" t="s">
        <v>199</v>
      </c>
      <c r="I527" s="204" t="s">
        <v>278</v>
      </c>
      <c r="K527" t="s">
        <v>733</v>
      </c>
      <c r="L527" t="s">
        <v>730</v>
      </c>
      <c r="M527" s="12">
        <v>2025</v>
      </c>
      <c r="N527" t="s">
        <v>733</v>
      </c>
    </row>
    <row r="528" spans="1:14" x14ac:dyDescent="0.2">
      <c r="A528" s="204" t="s">
        <v>165</v>
      </c>
      <c r="B528" s="1">
        <v>45728</v>
      </c>
      <c r="C528" s="204" t="s">
        <v>30</v>
      </c>
      <c r="D528" s="204" t="s">
        <v>10</v>
      </c>
      <c r="E528" s="204" t="s">
        <v>126</v>
      </c>
      <c r="F528" s="204" t="s">
        <v>166</v>
      </c>
      <c r="G528" s="204" t="s">
        <v>24</v>
      </c>
      <c r="H528" s="204" t="s">
        <v>167</v>
      </c>
      <c r="I528" s="204" t="s">
        <v>15</v>
      </c>
      <c r="K528" t="s">
        <v>733</v>
      </c>
      <c r="L528" t="s">
        <v>730</v>
      </c>
      <c r="M528" s="12">
        <v>2025</v>
      </c>
      <c r="N528" t="s">
        <v>733</v>
      </c>
    </row>
    <row r="529" spans="1:14" x14ac:dyDescent="0.2">
      <c r="A529" s="204" t="s">
        <v>170</v>
      </c>
      <c r="B529" s="1">
        <v>45728</v>
      </c>
      <c r="C529" s="204" t="s">
        <v>1326</v>
      </c>
      <c r="D529" s="204" t="s">
        <v>17</v>
      </c>
      <c r="E529" s="204" t="s">
        <v>171</v>
      </c>
      <c r="F529" s="204" t="s">
        <v>172</v>
      </c>
      <c r="G529" s="204" t="s">
        <v>173</v>
      </c>
      <c r="H529" s="204" t="s">
        <v>174</v>
      </c>
      <c r="I529" s="204" t="s">
        <v>278</v>
      </c>
      <c r="K529" t="s">
        <v>733</v>
      </c>
      <c r="L529" t="s">
        <v>730</v>
      </c>
      <c r="M529" s="12">
        <v>2025</v>
      </c>
      <c r="N529" t="s">
        <v>733</v>
      </c>
    </row>
    <row r="530" spans="1:14" x14ac:dyDescent="0.2">
      <c r="A530" s="204" t="s">
        <v>175</v>
      </c>
      <c r="B530" s="1">
        <v>45728</v>
      </c>
      <c r="C530" s="204" t="s">
        <v>1326</v>
      </c>
      <c r="D530" s="204" t="s">
        <v>17</v>
      </c>
      <c r="E530" s="204" t="s">
        <v>171</v>
      </c>
      <c r="F530" s="204" t="s">
        <v>172</v>
      </c>
      <c r="G530" s="204" t="s">
        <v>173</v>
      </c>
      <c r="H530" s="204" t="s">
        <v>176</v>
      </c>
      <c r="I530" s="204" t="s">
        <v>15</v>
      </c>
      <c r="K530" t="s">
        <v>733</v>
      </c>
      <c r="L530" t="s">
        <v>730</v>
      </c>
      <c r="M530" s="12">
        <v>2025</v>
      </c>
      <c r="N530" t="s">
        <v>733</v>
      </c>
    </row>
    <row r="531" spans="1:14" x14ac:dyDescent="0.2">
      <c r="A531" s="204" t="s">
        <v>180</v>
      </c>
      <c r="B531" s="1">
        <v>45728</v>
      </c>
      <c r="C531" s="204" t="s">
        <v>181</v>
      </c>
      <c r="D531" s="204" t="s">
        <v>10</v>
      </c>
      <c r="E531" s="204" t="s">
        <v>182</v>
      </c>
      <c r="F531" s="204" t="s">
        <v>183</v>
      </c>
      <c r="G531" s="204" t="s">
        <v>184</v>
      </c>
      <c r="H531" s="204" t="s">
        <v>185</v>
      </c>
      <c r="I531" s="204" t="s">
        <v>15</v>
      </c>
      <c r="K531" t="s">
        <v>733</v>
      </c>
      <c r="L531" t="s">
        <v>730</v>
      </c>
      <c r="M531" s="12">
        <v>2025</v>
      </c>
      <c r="N531" t="s">
        <v>733</v>
      </c>
    </row>
    <row r="532" spans="1:14" x14ac:dyDescent="0.2">
      <c r="A532" s="204" t="s">
        <v>163</v>
      </c>
      <c r="B532" s="1">
        <v>45727</v>
      </c>
      <c r="C532" s="204" t="s">
        <v>136</v>
      </c>
      <c r="D532" s="204" t="s">
        <v>10</v>
      </c>
      <c r="E532" s="204" t="s">
        <v>31</v>
      </c>
      <c r="F532" s="204" t="s">
        <v>164</v>
      </c>
      <c r="G532" s="204" t="s">
        <v>28</v>
      </c>
      <c r="H532" s="204" t="s">
        <v>142</v>
      </c>
      <c r="I532" s="204" t="s">
        <v>15</v>
      </c>
      <c r="K532" t="s">
        <v>733</v>
      </c>
      <c r="L532" t="s">
        <v>730</v>
      </c>
      <c r="M532" s="12">
        <v>2025</v>
      </c>
      <c r="N532" t="s">
        <v>733</v>
      </c>
    </row>
    <row r="533" spans="1:14" x14ac:dyDescent="0.2">
      <c r="A533" s="204" t="s">
        <v>161</v>
      </c>
      <c r="B533" s="1">
        <v>45723</v>
      </c>
      <c r="C533" s="204" t="s">
        <v>46</v>
      </c>
      <c r="D533" s="204" t="s">
        <v>10</v>
      </c>
      <c r="E533" s="204" t="s">
        <v>47</v>
      </c>
      <c r="F533" s="204" t="s">
        <v>162</v>
      </c>
      <c r="G533" s="204" t="s">
        <v>24</v>
      </c>
      <c r="H533" s="204" t="s">
        <v>118</v>
      </c>
      <c r="I533" s="204" t="s">
        <v>15</v>
      </c>
      <c r="K533" t="s">
        <v>733</v>
      </c>
      <c r="L533" t="s">
        <v>730</v>
      </c>
      <c r="M533" s="12">
        <v>2025</v>
      </c>
      <c r="N533" t="s">
        <v>733</v>
      </c>
    </row>
    <row r="534" spans="1:14" x14ac:dyDescent="0.2">
      <c r="A534" s="204" t="s">
        <v>159</v>
      </c>
      <c r="B534" s="1">
        <v>45722</v>
      </c>
      <c r="C534" s="204" t="s">
        <v>620</v>
      </c>
      <c r="D534" s="204" t="s">
        <v>17</v>
      </c>
      <c r="E534" s="204" t="s">
        <v>62</v>
      </c>
      <c r="F534" s="204" t="s">
        <v>160</v>
      </c>
      <c r="G534" s="204" t="s">
        <v>24</v>
      </c>
      <c r="H534" s="204" t="s">
        <v>124</v>
      </c>
      <c r="I534" s="204" t="s">
        <v>15</v>
      </c>
      <c r="K534" t="s">
        <v>733</v>
      </c>
      <c r="L534" t="s">
        <v>730</v>
      </c>
      <c r="M534" s="12">
        <v>2025</v>
      </c>
      <c r="N534" t="s">
        <v>733</v>
      </c>
    </row>
    <row r="535" spans="1:14" x14ac:dyDescent="0.2">
      <c r="A535" s="204" t="s">
        <v>159</v>
      </c>
      <c r="B535" s="1">
        <v>45722</v>
      </c>
      <c r="C535" s="204" t="s">
        <v>620</v>
      </c>
      <c r="D535" s="204" t="s">
        <v>17</v>
      </c>
      <c r="E535" s="204" t="s">
        <v>62</v>
      </c>
      <c r="F535" s="204" t="s">
        <v>160</v>
      </c>
      <c r="G535" s="204" t="s">
        <v>24</v>
      </c>
      <c r="H535" s="204" t="s">
        <v>131</v>
      </c>
      <c r="I535" s="204" t="s">
        <v>15</v>
      </c>
      <c r="K535" t="s">
        <v>733</v>
      </c>
      <c r="L535" t="s">
        <v>730</v>
      </c>
      <c r="M535" s="12">
        <v>2025</v>
      </c>
      <c r="N535" t="s">
        <v>733</v>
      </c>
    </row>
    <row r="536" spans="1:14" x14ac:dyDescent="0.2">
      <c r="A536" s="204" t="s">
        <v>157</v>
      </c>
      <c r="B536" s="1">
        <v>45721</v>
      </c>
      <c r="C536" s="204" t="s">
        <v>71</v>
      </c>
      <c r="D536" s="204" t="s">
        <v>17</v>
      </c>
      <c r="E536" s="204" t="s">
        <v>72</v>
      </c>
      <c r="F536" s="204" t="s">
        <v>93</v>
      </c>
      <c r="G536" s="204" t="s">
        <v>28</v>
      </c>
      <c r="H536" s="204" t="s">
        <v>124</v>
      </c>
      <c r="I536" s="204" t="s">
        <v>15</v>
      </c>
      <c r="K536" t="s">
        <v>733</v>
      </c>
      <c r="L536" t="s">
        <v>730</v>
      </c>
      <c r="M536" s="12">
        <v>2025</v>
      </c>
      <c r="N536" t="s">
        <v>733</v>
      </c>
    </row>
    <row r="537" spans="1:14" x14ac:dyDescent="0.2">
      <c r="A537" s="204" t="s">
        <v>119</v>
      </c>
      <c r="B537" s="1">
        <v>45721</v>
      </c>
      <c r="C537" s="204" t="s">
        <v>1326</v>
      </c>
      <c r="D537" s="204" t="s">
        <v>17</v>
      </c>
      <c r="E537" s="204" t="s">
        <v>120</v>
      </c>
      <c r="F537" s="204" t="s">
        <v>121</v>
      </c>
      <c r="G537" s="204" t="s">
        <v>130</v>
      </c>
      <c r="H537" s="204" t="s">
        <v>158</v>
      </c>
      <c r="I537" s="204" t="s">
        <v>15</v>
      </c>
      <c r="K537" t="s">
        <v>733</v>
      </c>
      <c r="L537" t="s">
        <v>730</v>
      </c>
      <c r="M537" s="12">
        <v>2025</v>
      </c>
      <c r="N537" t="s">
        <v>733</v>
      </c>
    </row>
    <row r="538" spans="1:14" x14ac:dyDescent="0.2">
      <c r="A538" s="204" t="s">
        <v>146</v>
      </c>
      <c r="B538" s="1">
        <v>45720</v>
      </c>
      <c r="C538" s="204" t="s">
        <v>620</v>
      </c>
      <c r="D538" s="204" t="s">
        <v>17</v>
      </c>
      <c r="E538" s="204" t="s">
        <v>62</v>
      </c>
      <c r="F538" s="204" t="s">
        <v>147</v>
      </c>
      <c r="G538" s="204" t="s">
        <v>148</v>
      </c>
      <c r="H538" s="216" t="s">
        <v>124</v>
      </c>
      <c r="I538" s="204" t="s">
        <v>15</v>
      </c>
      <c r="K538" t="s">
        <v>733</v>
      </c>
      <c r="L538" t="s">
        <v>730</v>
      </c>
      <c r="M538" s="12">
        <v>2025</v>
      </c>
      <c r="N538" t="s">
        <v>733</v>
      </c>
    </row>
    <row r="539" spans="1:14" x14ac:dyDescent="0.2">
      <c r="A539" s="204" t="s">
        <v>153</v>
      </c>
      <c r="B539" s="1">
        <v>45720</v>
      </c>
      <c r="C539" s="204" t="s">
        <v>154</v>
      </c>
      <c r="D539" s="204" t="s">
        <v>10</v>
      </c>
      <c r="E539" s="204" t="s">
        <v>155</v>
      </c>
      <c r="F539" s="204" t="s">
        <v>100</v>
      </c>
      <c r="G539" s="204" t="s">
        <v>24</v>
      </c>
      <c r="H539" s="204" t="s">
        <v>156</v>
      </c>
      <c r="I539" s="204" t="s">
        <v>15</v>
      </c>
      <c r="K539" t="s">
        <v>733</v>
      </c>
      <c r="L539" t="s">
        <v>730</v>
      </c>
      <c r="M539" s="12">
        <v>2025</v>
      </c>
      <c r="N539" t="s">
        <v>733</v>
      </c>
    </row>
    <row r="540" spans="1:14" x14ac:dyDescent="0.2">
      <c r="A540" s="204" t="s">
        <v>137</v>
      </c>
      <c r="B540" s="1">
        <v>45716</v>
      </c>
      <c r="C540" s="204" t="s">
        <v>30</v>
      </c>
      <c r="D540" s="204" t="s">
        <v>10</v>
      </c>
      <c r="E540" s="204" t="s">
        <v>126</v>
      </c>
      <c r="F540" s="204" t="s">
        <v>138</v>
      </c>
      <c r="G540" s="204" t="s">
        <v>13</v>
      </c>
      <c r="H540" s="204" t="s">
        <v>14</v>
      </c>
      <c r="I540" s="204" t="s">
        <v>15</v>
      </c>
      <c r="K540" t="s">
        <v>732</v>
      </c>
      <c r="L540" t="s">
        <v>730</v>
      </c>
      <c r="M540" s="12">
        <v>2025</v>
      </c>
      <c r="N540" t="s">
        <v>732</v>
      </c>
    </row>
    <row r="541" spans="1:14" x14ac:dyDescent="0.2">
      <c r="A541" s="204" t="s">
        <v>60</v>
      </c>
      <c r="B541" s="1">
        <v>45716</v>
      </c>
      <c r="C541" s="204" t="s">
        <v>620</v>
      </c>
      <c r="D541" s="204" t="s">
        <v>17</v>
      </c>
      <c r="E541" s="204" t="s">
        <v>62</v>
      </c>
      <c r="F541" s="204" t="s">
        <v>63</v>
      </c>
      <c r="G541" s="204" t="s">
        <v>74</v>
      </c>
      <c r="H541" s="204" t="s">
        <v>152</v>
      </c>
      <c r="I541" s="204" t="s">
        <v>15</v>
      </c>
      <c r="K541" t="s">
        <v>732</v>
      </c>
      <c r="L541" t="s">
        <v>730</v>
      </c>
      <c r="M541" s="12">
        <v>2025</v>
      </c>
      <c r="N541" t="s">
        <v>732</v>
      </c>
    </row>
    <row r="542" spans="1:14" x14ac:dyDescent="0.2">
      <c r="A542" s="204" t="s">
        <v>132</v>
      </c>
      <c r="B542" s="1">
        <v>45715</v>
      </c>
      <c r="C542" s="204" t="s">
        <v>657</v>
      </c>
      <c r="D542" s="204" t="s">
        <v>17</v>
      </c>
      <c r="E542" s="204" t="s">
        <v>114</v>
      </c>
      <c r="F542" s="204" t="s">
        <v>133</v>
      </c>
      <c r="G542" s="204" t="s">
        <v>24</v>
      </c>
      <c r="H542" s="204" t="s">
        <v>134</v>
      </c>
      <c r="I542" s="204" t="s">
        <v>15</v>
      </c>
      <c r="K542" t="s">
        <v>732</v>
      </c>
      <c r="L542" t="s">
        <v>730</v>
      </c>
      <c r="M542" s="12">
        <v>2025</v>
      </c>
      <c r="N542" t="s">
        <v>732</v>
      </c>
    </row>
    <row r="543" spans="1:14" x14ac:dyDescent="0.2">
      <c r="A543" s="204" t="s">
        <v>149</v>
      </c>
      <c r="B543" s="1">
        <v>45715</v>
      </c>
      <c r="C543" s="204" t="s">
        <v>657</v>
      </c>
      <c r="D543" s="204" t="s">
        <v>17</v>
      </c>
      <c r="E543" s="204" t="s">
        <v>18</v>
      </c>
      <c r="F543" s="204" t="s">
        <v>150</v>
      </c>
      <c r="G543" s="204" t="s">
        <v>151</v>
      </c>
      <c r="H543" s="204" t="s">
        <v>43</v>
      </c>
      <c r="I543" s="204" t="s">
        <v>278</v>
      </c>
      <c r="K543" t="s">
        <v>732</v>
      </c>
      <c r="L543" t="s">
        <v>730</v>
      </c>
      <c r="M543" s="12">
        <v>2025</v>
      </c>
      <c r="N543" t="s">
        <v>732</v>
      </c>
    </row>
    <row r="544" spans="1:14" x14ac:dyDescent="0.2">
      <c r="A544" s="204" t="s">
        <v>140</v>
      </c>
      <c r="B544" s="1">
        <v>45713</v>
      </c>
      <c r="C544" s="204" t="s">
        <v>1326</v>
      </c>
      <c r="D544" s="204" t="s">
        <v>17</v>
      </c>
      <c r="E544" s="204" t="s">
        <v>120</v>
      </c>
      <c r="F544" s="204" t="s">
        <v>141</v>
      </c>
      <c r="G544" s="204" t="s">
        <v>20</v>
      </c>
      <c r="H544" s="204" t="s">
        <v>142</v>
      </c>
      <c r="I544" s="204" t="s">
        <v>15</v>
      </c>
      <c r="K544" t="s">
        <v>732</v>
      </c>
      <c r="L544" t="s">
        <v>730</v>
      </c>
      <c r="M544" s="12">
        <v>2025</v>
      </c>
      <c r="N544" t="s">
        <v>732</v>
      </c>
    </row>
    <row r="545" spans="1:14" x14ac:dyDescent="0.2">
      <c r="A545" s="204" t="s">
        <v>67</v>
      </c>
      <c r="B545" s="1">
        <v>45713</v>
      </c>
      <c r="C545" s="204" t="s">
        <v>55</v>
      </c>
      <c r="D545" s="204" t="s">
        <v>17</v>
      </c>
      <c r="E545" s="204" t="s">
        <v>56</v>
      </c>
      <c r="F545" s="204" t="s">
        <v>143</v>
      </c>
      <c r="G545" s="204" t="s">
        <v>144</v>
      </c>
      <c r="H545" s="204" t="s">
        <v>145</v>
      </c>
      <c r="I545" s="204" t="s">
        <v>15</v>
      </c>
      <c r="K545" t="s">
        <v>732</v>
      </c>
      <c r="L545" t="s">
        <v>730</v>
      </c>
      <c r="M545" s="12">
        <v>2025</v>
      </c>
      <c r="N545" t="s">
        <v>732</v>
      </c>
    </row>
    <row r="546" spans="1:14" x14ac:dyDescent="0.2">
      <c r="A546" s="204" t="s">
        <v>285</v>
      </c>
      <c r="B546" s="1">
        <v>45711</v>
      </c>
      <c r="C546" s="204" t="s">
        <v>657</v>
      </c>
      <c r="D546" s="204" t="s">
        <v>17</v>
      </c>
      <c r="E546" s="204" t="s">
        <v>191</v>
      </c>
      <c r="F546" s="204" t="s">
        <v>204</v>
      </c>
      <c r="G546" s="204" t="s">
        <v>184</v>
      </c>
      <c r="H546" s="204" t="s">
        <v>174</v>
      </c>
      <c r="I546" s="204" t="s">
        <v>278</v>
      </c>
      <c r="K546" t="s">
        <v>732</v>
      </c>
      <c r="L546" t="s">
        <v>730</v>
      </c>
      <c r="M546" s="12">
        <v>2025</v>
      </c>
      <c r="N546" t="s">
        <v>732</v>
      </c>
    </row>
    <row r="547" spans="1:14" x14ac:dyDescent="0.2">
      <c r="A547" s="204" t="s">
        <v>135</v>
      </c>
      <c r="B547" s="1">
        <v>45709</v>
      </c>
      <c r="C547" s="204" t="s">
        <v>136</v>
      </c>
      <c r="D547" s="204" t="s">
        <v>10</v>
      </c>
      <c r="E547" s="204" t="s">
        <v>31</v>
      </c>
      <c r="F547" s="204" t="s">
        <v>68</v>
      </c>
      <c r="G547" s="204" t="s">
        <v>58</v>
      </c>
      <c r="H547" s="204" t="s">
        <v>139</v>
      </c>
      <c r="I547" s="204" t="s">
        <v>15</v>
      </c>
      <c r="K547" t="s">
        <v>732</v>
      </c>
      <c r="L547" t="s">
        <v>730</v>
      </c>
      <c r="M547" s="12">
        <v>2025</v>
      </c>
      <c r="N547" t="s">
        <v>732</v>
      </c>
    </row>
    <row r="548" spans="1:14" x14ac:dyDescent="0.2">
      <c r="A548" s="204" t="s">
        <v>125</v>
      </c>
      <c r="B548" s="1">
        <v>45707</v>
      </c>
      <c r="C548" s="204" t="s">
        <v>30</v>
      </c>
      <c r="D548" s="204" t="s">
        <v>10</v>
      </c>
      <c r="E548" s="204" t="s">
        <v>126</v>
      </c>
      <c r="F548" s="204" t="s">
        <v>127</v>
      </c>
      <c r="G548" s="204" t="s">
        <v>24</v>
      </c>
      <c r="H548" s="204" t="s">
        <v>128</v>
      </c>
      <c r="I548" s="204" t="s">
        <v>15</v>
      </c>
      <c r="K548" t="s">
        <v>732</v>
      </c>
      <c r="L548" t="s">
        <v>730</v>
      </c>
      <c r="M548" s="12">
        <v>2025</v>
      </c>
      <c r="N548" t="s">
        <v>732</v>
      </c>
    </row>
    <row r="549" spans="1:14" x14ac:dyDescent="0.2">
      <c r="A549" s="204" t="s">
        <v>634</v>
      </c>
      <c r="B549" s="1">
        <v>45702</v>
      </c>
      <c r="C549" s="204" t="s">
        <v>657</v>
      </c>
      <c r="D549" s="204" t="s">
        <v>17</v>
      </c>
      <c r="E549" s="204" t="s">
        <v>18</v>
      </c>
      <c r="F549" s="204" t="s">
        <v>635</v>
      </c>
      <c r="G549" s="204" t="s">
        <v>24</v>
      </c>
      <c r="H549" s="204" t="s">
        <v>636</v>
      </c>
      <c r="I549" s="204" t="s">
        <v>15</v>
      </c>
      <c r="K549" t="s">
        <v>732</v>
      </c>
      <c r="L549" t="s">
        <v>730</v>
      </c>
      <c r="M549" s="12">
        <v>2025</v>
      </c>
      <c r="N549" t="s">
        <v>732</v>
      </c>
    </row>
    <row r="550" spans="1:14" x14ac:dyDescent="0.2">
      <c r="A550" s="204" t="s">
        <v>135</v>
      </c>
      <c r="B550" s="1">
        <v>45702</v>
      </c>
      <c r="C550" s="204" t="s">
        <v>136</v>
      </c>
      <c r="D550" s="204" t="s">
        <v>10</v>
      </c>
      <c r="E550" s="204" t="s">
        <v>31</v>
      </c>
      <c r="F550" s="204" t="s">
        <v>68</v>
      </c>
      <c r="G550" s="204" t="s">
        <v>58</v>
      </c>
      <c r="H550" s="204" t="s">
        <v>134</v>
      </c>
      <c r="I550" s="204" t="s">
        <v>15</v>
      </c>
      <c r="K550" t="s">
        <v>732</v>
      </c>
      <c r="L550" t="s">
        <v>730</v>
      </c>
      <c r="M550" s="12">
        <v>2025</v>
      </c>
      <c r="N550" t="s">
        <v>732</v>
      </c>
    </row>
    <row r="551" spans="1:14" x14ac:dyDescent="0.2">
      <c r="A551" s="204" t="s">
        <v>119</v>
      </c>
      <c r="B551" s="1">
        <v>45700</v>
      </c>
      <c r="C551" s="204" t="s">
        <v>1326</v>
      </c>
      <c r="D551" s="204" t="s">
        <v>17</v>
      </c>
      <c r="E551" s="204" t="s">
        <v>120</v>
      </c>
      <c r="F551" s="204" t="s">
        <v>121</v>
      </c>
      <c r="G551" s="204" t="s">
        <v>28</v>
      </c>
      <c r="H551" s="204" t="s">
        <v>122</v>
      </c>
      <c r="I551" s="204" t="s">
        <v>15</v>
      </c>
      <c r="K551" t="s">
        <v>732</v>
      </c>
      <c r="L551" t="s">
        <v>730</v>
      </c>
      <c r="M551" s="12">
        <v>2025</v>
      </c>
      <c r="N551" t="s">
        <v>732</v>
      </c>
    </row>
    <row r="552" spans="1:14" x14ac:dyDescent="0.2">
      <c r="A552" s="204" t="s">
        <v>123</v>
      </c>
      <c r="B552" s="1">
        <v>45700</v>
      </c>
      <c r="C552" s="204" t="s">
        <v>657</v>
      </c>
      <c r="D552" s="204" t="s">
        <v>17</v>
      </c>
      <c r="E552" s="204" t="s">
        <v>18</v>
      </c>
      <c r="F552" s="204" t="s">
        <v>100</v>
      </c>
      <c r="G552" s="204" t="s">
        <v>24</v>
      </c>
      <c r="H552" s="204" t="s">
        <v>124</v>
      </c>
      <c r="I552" s="204" t="s">
        <v>76</v>
      </c>
      <c r="K552" t="s">
        <v>732</v>
      </c>
      <c r="L552" t="s">
        <v>731</v>
      </c>
      <c r="M552" s="12">
        <v>2025</v>
      </c>
      <c r="N552" t="s">
        <v>732</v>
      </c>
    </row>
    <row r="553" spans="1:14" x14ac:dyDescent="0.2">
      <c r="A553" s="204" t="s">
        <v>129</v>
      </c>
      <c r="B553" s="1">
        <v>45700</v>
      </c>
      <c r="C553" s="204" t="s">
        <v>9</v>
      </c>
      <c r="D553" s="204" t="s">
        <v>10</v>
      </c>
      <c r="E553" s="204" t="s">
        <v>11</v>
      </c>
      <c r="F553" s="204" t="s">
        <v>68</v>
      </c>
      <c r="G553" s="204" t="s">
        <v>130</v>
      </c>
      <c r="H553" s="204" t="s">
        <v>131</v>
      </c>
      <c r="I553" s="204" t="s">
        <v>15</v>
      </c>
      <c r="K553" t="s">
        <v>732</v>
      </c>
      <c r="L553" t="s">
        <v>730</v>
      </c>
      <c r="M553" s="12">
        <v>2025</v>
      </c>
      <c r="N553" t="s">
        <v>732</v>
      </c>
    </row>
    <row r="554" spans="1:14" x14ac:dyDescent="0.2">
      <c r="A554" s="204" t="s">
        <v>116</v>
      </c>
      <c r="B554" s="1">
        <v>45695</v>
      </c>
      <c r="C554" s="204" t="s">
        <v>657</v>
      </c>
      <c r="D554" s="204" t="s">
        <v>17</v>
      </c>
      <c r="E554" s="204" t="s">
        <v>18</v>
      </c>
      <c r="F554" s="204" t="s">
        <v>117</v>
      </c>
      <c r="G554" s="204" t="s">
        <v>58</v>
      </c>
      <c r="H554" s="204" t="s">
        <v>118</v>
      </c>
      <c r="I554" s="204" t="s">
        <v>76</v>
      </c>
      <c r="K554" t="s">
        <v>732</v>
      </c>
      <c r="L554" t="s">
        <v>731</v>
      </c>
      <c r="M554" s="12">
        <v>2025</v>
      </c>
      <c r="N554" t="s">
        <v>732</v>
      </c>
    </row>
    <row r="555" spans="1:14" x14ac:dyDescent="0.2">
      <c r="A555" s="204" t="s">
        <v>108</v>
      </c>
      <c r="B555" s="1">
        <v>45694</v>
      </c>
      <c r="C555" s="204" t="s">
        <v>78</v>
      </c>
      <c r="D555" s="204" t="s">
        <v>10</v>
      </c>
      <c r="E555" s="204" t="s">
        <v>109</v>
      </c>
      <c r="F555" s="204" t="s">
        <v>110</v>
      </c>
      <c r="G555" s="204" t="s">
        <v>111</v>
      </c>
      <c r="H555" s="204" t="s">
        <v>112</v>
      </c>
      <c r="I555" s="204" t="s">
        <v>76</v>
      </c>
      <c r="K555" t="s">
        <v>732</v>
      </c>
      <c r="L555" t="s">
        <v>731</v>
      </c>
      <c r="M555" s="12">
        <v>2025</v>
      </c>
      <c r="N555" t="s">
        <v>732</v>
      </c>
    </row>
    <row r="556" spans="1:14" x14ac:dyDescent="0.2">
      <c r="A556" s="204" t="s">
        <v>113</v>
      </c>
      <c r="B556" s="1">
        <v>45694</v>
      </c>
      <c r="C556" s="204" t="s">
        <v>61</v>
      </c>
      <c r="D556" s="204" t="s">
        <v>17</v>
      </c>
      <c r="E556" s="204" t="s">
        <v>114</v>
      </c>
      <c r="F556" s="204" t="s">
        <v>115</v>
      </c>
      <c r="G556" s="204" t="s">
        <v>24</v>
      </c>
      <c r="H556" s="204" t="s">
        <v>107</v>
      </c>
      <c r="I556" s="204" t="s">
        <v>15</v>
      </c>
      <c r="K556" t="s">
        <v>732</v>
      </c>
      <c r="L556" t="s">
        <v>730</v>
      </c>
      <c r="M556" s="12">
        <v>2025</v>
      </c>
      <c r="N556" t="s">
        <v>732</v>
      </c>
    </row>
    <row r="557" spans="1:14" x14ac:dyDescent="0.2">
      <c r="A557" s="204" t="s">
        <v>105</v>
      </c>
      <c r="B557" s="1">
        <v>45693</v>
      </c>
      <c r="C557" s="204" t="s">
        <v>1294</v>
      </c>
      <c r="D557" s="204" t="s">
        <v>36</v>
      </c>
      <c r="E557" s="204" t="s">
        <v>37</v>
      </c>
      <c r="F557" s="204" t="s">
        <v>36</v>
      </c>
      <c r="G557" s="204" t="s">
        <v>106</v>
      </c>
      <c r="H557" s="204" t="s">
        <v>107</v>
      </c>
      <c r="I557" s="204" t="s">
        <v>278</v>
      </c>
      <c r="K557" t="s">
        <v>732</v>
      </c>
      <c r="L557" t="s">
        <v>730</v>
      </c>
      <c r="M557" s="12">
        <v>2025</v>
      </c>
      <c r="N557" t="s">
        <v>732</v>
      </c>
    </row>
    <row r="558" spans="1:14" x14ac:dyDescent="0.2">
      <c r="A558" s="204" t="s">
        <v>102</v>
      </c>
      <c r="B558" s="1">
        <v>45692</v>
      </c>
      <c r="C558" s="204" t="s">
        <v>657</v>
      </c>
      <c r="D558" s="204" t="s">
        <v>17</v>
      </c>
      <c r="E558" s="204" t="s">
        <v>18</v>
      </c>
      <c r="F558" s="204" t="s">
        <v>103</v>
      </c>
      <c r="G558" s="204" t="s">
        <v>28</v>
      </c>
      <c r="H558" s="204" t="s">
        <v>104</v>
      </c>
      <c r="I558" s="204" t="s">
        <v>15</v>
      </c>
      <c r="K558" t="s">
        <v>732</v>
      </c>
      <c r="L558" t="s">
        <v>730</v>
      </c>
      <c r="M558" s="12">
        <v>2025</v>
      </c>
      <c r="N558" t="s">
        <v>732</v>
      </c>
    </row>
    <row r="559" spans="1:14" x14ac:dyDescent="0.2">
      <c r="A559" s="204" t="s">
        <v>95</v>
      </c>
      <c r="B559" s="1">
        <v>45687</v>
      </c>
      <c r="C559" s="204" t="s">
        <v>620</v>
      </c>
      <c r="D559" s="204" t="s">
        <v>17</v>
      </c>
      <c r="E559" s="204" t="s">
        <v>96</v>
      </c>
      <c r="F559" s="204" t="s">
        <v>63</v>
      </c>
      <c r="G559" s="204" t="s">
        <v>97</v>
      </c>
      <c r="H559" s="204" t="s">
        <v>98</v>
      </c>
      <c r="I559" s="204" t="s">
        <v>15</v>
      </c>
      <c r="K559" t="s">
        <v>729</v>
      </c>
      <c r="L559" t="s">
        <v>730</v>
      </c>
      <c r="M559" s="12">
        <v>2025</v>
      </c>
      <c r="N559" t="s">
        <v>729</v>
      </c>
    </row>
    <row r="560" spans="1:14" x14ac:dyDescent="0.2">
      <c r="A560" s="204" t="s">
        <v>99</v>
      </c>
      <c r="B560" s="1">
        <v>45687</v>
      </c>
      <c r="C560" s="204" t="s">
        <v>657</v>
      </c>
      <c r="D560" s="204" t="s">
        <v>17</v>
      </c>
      <c r="E560" s="204" t="s">
        <v>18</v>
      </c>
      <c r="F560" s="204" t="s">
        <v>100</v>
      </c>
      <c r="G560" s="204" t="s">
        <v>20</v>
      </c>
      <c r="H560" s="204" t="s">
        <v>101</v>
      </c>
      <c r="I560" s="204" t="s">
        <v>15</v>
      </c>
      <c r="K560" t="s">
        <v>729</v>
      </c>
      <c r="L560" t="s">
        <v>730</v>
      </c>
      <c r="M560" s="12">
        <v>2025</v>
      </c>
      <c r="N560" t="s">
        <v>729</v>
      </c>
    </row>
    <row r="561" spans="1:14" x14ac:dyDescent="0.2">
      <c r="A561" s="204" t="s">
        <v>67</v>
      </c>
      <c r="B561" s="1">
        <v>45685</v>
      </c>
      <c r="C561" s="204" t="s">
        <v>30</v>
      </c>
      <c r="D561" s="204" t="s">
        <v>10</v>
      </c>
      <c r="E561" s="204" t="s">
        <v>31</v>
      </c>
      <c r="F561" s="204" t="s">
        <v>86</v>
      </c>
      <c r="G561" s="204" t="s">
        <v>24</v>
      </c>
      <c r="H561" s="204" t="s">
        <v>87</v>
      </c>
      <c r="I561" s="204" t="s">
        <v>15</v>
      </c>
      <c r="K561" t="s">
        <v>729</v>
      </c>
      <c r="L561" t="s">
        <v>730</v>
      </c>
      <c r="M561" s="12">
        <v>2025</v>
      </c>
      <c r="N561" t="s">
        <v>729</v>
      </c>
    </row>
    <row r="562" spans="1:14" x14ac:dyDescent="0.2">
      <c r="A562" s="204" t="s">
        <v>67</v>
      </c>
      <c r="B562" s="1">
        <v>45685</v>
      </c>
      <c r="C562" s="204" t="s">
        <v>30</v>
      </c>
      <c r="D562" s="204" t="s">
        <v>10</v>
      </c>
      <c r="E562" s="204" t="s">
        <v>31</v>
      </c>
      <c r="F562" s="204" t="s">
        <v>68</v>
      </c>
      <c r="G562" s="204" t="s">
        <v>28</v>
      </c>
      <c r="H562" s="204" t="s">
        <v>94</v>
      </c>
      <c r="I562" s="204" t="s">
        <v>15</v>
      </c>
      <c r="K562" t="s">
        <v>729</v>
      </c>
      <c r="L562" t="s">
        <v>730</v>
      </c>
      <c r="M562" s="12">
        <v>2025</v>
      </c>
      <c r="N562" t="s">
        <v>729</v>
      </c>
    </row>
    <row r="563" spans="1:14" x14ac:dyDescent="0.2">
      <c r="A563" s="204" t="s">
        <v>92</v>
      </c>
      <c r="B563" s="1">
        <v>45681</v>
      </c>
      <c r="C563" s="204" t="s">
        <v>71</v>
      </c>
      <c r="D563" s="204" t="s">
        <v>17</v>
      </c>
      <c r="E563" s="204" t="s">
        <v>72</v>
      </c>
      <c r="F563" s="204" t="s">
        <v>93</v>
      </c>
      <c r="G563" s="204" t="s">
        <v>69</v>
      </c>
      <c r="H563" s="204" t="s">
        <v>75</v>
      </c>
      <c r="I563" s="204" t="s">
        <v>15</v>
      </c>
      <c r="K563" t="s">
        <v>729</v>
      </c>
      <c r="L563" t="s">
        <v>730</v>
      </c>
      <c r="M563" s="12">
        <v>2025</v>
      </c>
      <c r="N563" t="s">
        <v>729</v>
      </c>
    </row>
    <row r="564" spans="1:14" x14ac:dyDescent="0.2">
      <c r="A564" s="204" t="s">
        <v>88</v>
      </c>
      <c r="B564" s="1">
        <v>45680</v>
      </c>
      <c r="C564" s="204" t="s">
        <v>657</v>
      </c>
      <c r="D564" s="204" t="s">
        <v>17</v>
      </c>
      <c r="E564" s="204" t="s">
        <v>18</v>
      </c>
      <c r="F564" s="204" t="s">
        <v>89</v>
      </c>
      <c r="G564" s="204" t="s">
        <v>90</v>
      </c>
      <c r="H564" s="204" t="s">
        <v>91</v>
      </c>
      <c r="I564" s="204" t="s">
        <v>15</v>
      </c>
      <c r="K564" t="s">
        <v>729</v>
      </c>
      <c r="L564" t="s">
        <v>730</v>
      </c>
      <c r="M564" s="12">
        <v>2025</v>
      </c>
      <c r="N564" t="s">
        <v>729</v>
      </c>
    </row>
    <row r="565" spans="1:14" x14ac:dyDescent="0.2">
      <c r="A565" s="204" t="s">
        <v>77</v>
      </c>
      <c r="B565" s="1">
        <v>45678</v>
      </c>
      <c r="C565" s="204" t="s">
        <v>78</v>
      </c>
      <c r="D565" s="204" t="s">
        <v>10</v>
      </c>
      <c r="E565" s="204" t="s">
        <v>79</v>
      </c>
      <c r="F565" s="204" t="s">
        <v>80</v>
      </c>
      <c r="G565" s="204" t="s">
        <v>24</v>
      </c>
      <c r="H565" s="204" t="s">
        <v>33</v>
      </c>
      <c r="I565" s="204" t="s">
        <v>15</v>
      </c>
      <c r="K565" t="s">
        <v>729</v>
      </c>
      <c r="L565" t="s">
        <v>730</v>
      </c>
      <c r="M565" s="12">
        <v>2025</v>
      </c>
      <c r="N565" t="s">
        <v>729</v>
      </c>
    </row>
    <row r="566" spans="1:14" x14ac:dyDescent="0.2">
      <c r="A566" s="204" t="s">
        <v>81</v>
      </c>
      <c r="B566" s="1">
        <v>45678</v>
      </c>
      <c r="C566" s="204" t="s">
        <v>82</v>
      </c>
      <c r="D566" s="204" t="s">
        <v>17</v>
      </c>
      <c r="E566" s="204" t="s">
        <v>83</v>
      </c>
      <c r="F566" s="204" t="s">
        <v>84</v>
      </c>
      <c r="G566" s="204" t="s">
        <v>85</v>
      </c>
      <c r="H566" s="204" t="s">
        <v>33</v>
      </c>
      <c r="I566" s="204" t="s">
        <v>15</v>
      </c>
      <c r="K566" t="s">
        <v>729</v>
      </c>
      <c r="L566" t="s">
        <v>730</v>
      </c>
      <c r="M566">
        <v>2025</v>
      </c>
      <c r="N566" t="s">
        <v>729</v>
      </c>
    </row>
    <row r="567" spans="1:14" x14ac:dyDescent="0.2">
      <c r="A567" s="204" t="s">
        <v>64</v>
      </c>
      <c r="B567" s="1">
        <v>45674</v>
      </c>
      <c r="C567" s="216" t="s">
        <v>40</v>
      </c>
      <c r="D567" s="204" t="s">
        <v>10</v>
      </c>
      <c r="E567" s="204" t="s">
        <v>41</v>
      </c>
      <c r="F567" s="204" t="s">
        <v>65</v>
      </c>
      <c r="G567" s="204" t="s">
        <v>28</v>
      </c>
      <c r="H567" s="204" t="s">
        <v>66</v>
      </c>
      <c r="I567" s="204" t="s">
        <v>15</v>
      </c>
      <c r="K567" t="s">
        <v>729</v>
      </c>
      <c r="L567" t="s">
        <v>730</v>
      </c>
      <c r="M567">
        <v>2025</v>
      </c>
      <c r="N567" t="s">
        <v>729</v>
      </c>
    </row>
    <row r="568" spans="1:14" x14ac:dyDescent="0.2">
      <c r="A568" s="204" t="s">
        <v>60</v>
      </c>
      <c r="B568" s="1">
        <v>45673</v>
      </c>
      <c r="C568" s="204" t="s">
        <v>61</v>
      </c>
      <c r="D568" s="204" t="s">
        <v>17</v>
      </c>
      <c r="E568" s="204" t="s">
        <v>62</v>
      </c>
      <c r="F568" s="204" t="s">
        <v>63</v>
      </c>
      <c r="G568" s="204" t="s">
        <v>28</v>
      </c>
      <c r="H568" s="204" t="s">
        <v>59</v>
      </c>
      <c r="I568" s="204" t="s">
        <v>15</v>
      </c>
      <c r="K568" t="s">
        <v>729</v>
      </c>
      <c r="L568" t="s">
        <v>730</v>
      </c>
      <c r="M568">
        <v>2025</v>
      </c>
      <c r="N568" t="s">
        <v>729</v>
      </c>
    </row>
    <row r="569" spans="1:14" x14ac:dyDescent="0.2">
      <c r="A569" s="204" t="s">
        <v>67</v>
      </c>
      <c r="B569" s="1">
        <v>45673</v>
      </c>
      <c r="C569" s="204" t="s">
        <v>30</v>
      </c>
      <c r="D569" s="204" t="s">
        <v>10</v>
      </c>
      <c r="E569" s="204" t="s">
        <v>31</v>
      </c>
      <c r="F569" s="204" t="s">
        <v>68</v>
      </c>
      <c r="G569" s="204" t="s">
        <v>69</v>
      </c>
      <c r="H569" s="204" t="s">
        <v>59</v>
      </c>
      <c r="I569" s="204" t="s">
        <v>15</v>
      </c>
      <c r="K569" t="s">
        <v>729</v>
      </c>
      <c r="L569" t="s">
        <v>730</v>
      </c>
      <c r="M569">
        <v>2025</v>
      </c>
      <c r="N569" t="s">
        <v>729</v>
      </c>
    </row>
    <row r="570" spans="1:14" x14ac:dyDescent="0.2">
      <c r="A570" s="204" t="s">
        <v>70</v>
      </c>
      <c r="B570" s="1">
        <v>45673</v>
      </c>
      <c r="C570" s="204" t="s">
        <v>71</v>
      </c>
      <c r="D570" s="204" t="s">
        <v>17</v>
      </c>
      <c r="E570" s="204" t="s">
        <v>72</v>
      </c>
      <c r="F570" s="204" t="s">
        <v>73</v>
      </c>
      <c r="G570" s="204" t="s">
        <v>74</v>
      </c>
      <c r="H570" s="204" t="s">
        <v>75</v>
      </c>
      <c r="I570" s="204" t="s">
        <v>76</v>
      </c>
      <c r="K570" t="s">
        <v>729</v>
      </c>
      <c r="L570" t="s">
        <v>731</v>
      </c>
      <c r="M570">
        <v>2025</v>
      </c>
      <c r="N570" t="s">
        <v>729</v>
      </c>
    </row>
    <row r="571" spans="1:14" x14ac:dyDescent="0.2">
      <c r="A571" s="204" t="s">
        <v>51</v>
      </c>
      <c r="B571" s="1">
        <v>45672</v>
      </c>
      <c r="C571" s="204" t="s">
        <v>30</v>
      </c>
      <c r="D571" s="204" t="s">
        <v>10</v>
      </c>
      <c r="E571" s="204" t="s">
        <v>31</v>
      </c>
      <c r="F571" s="204" t="s">
        <v>52</v>
      </c>
      <c r="G571" s="204" t="s">
        <v>24</v>
      </c>
      <c r="H571" s="204" t="s">
        <v>53</v>
      </c>
      <c r="I571" s="204" t="s">
        <v>15</v>
      </c>
      <c r="K571" t="s">
        <v>729</v>
      </c>
      <c r="L571" t="s">
        <v>730</v>
      </c>
      <c r="M571">
        <v>2025</v>
      </c>
      <c r="N571" t="s">
        <v>729</v>
      </c>
    </row>
    <row r="572" spans="1:14" x14ac:dyDescent="0.2">
      <c r="A572" s="204" t="s">
        <v>54</v>
      </c>
      <c r="B572" s="1">
        <v>45671</v>
      </c>
      <c r="C572" s="204" t="s">
        <v>55</v>
      </c>
      <c r="D572" s="204" t="s">
        <v>17</v>
      </c>
      <c r="E572" s="204" t="s">
        <v>56</v>
      </c>
      <c r="F572" s="204" t="s">
        <v>57</v>
      </c>
      <c r="G572" s="204" t="s">
        <v>58</v>
      </c>
      <c r="H572" s="204" t="s">
        <v>59</v>
      </c>
      <c r="I572" s="204" t="s">
        <v>15</v>
      </c>
      <c r="K572" t="s">
        <v>729</v>
      </c>
      <c r="L572" t="s">
        <v>730</v>
      </c>
      <c r="M572">
        <v>2025</v>
      </c>
      <c r="N572" t="s">
        <v>729</v>
      </c>
    </row>
    <row r="573" spans="1:14" x14ac:dyDescent="0.2">
      <c r="A573" s="204" t="s">
        <v>45</v>
      </c>
      <c r="B573" s="1">
        <v>45667</v>
      </c>
      <c r="C573" s="204" t="s">
        <v>46</v>
      </c>
      <c r="D573" s="204" t="s">
        <v>10</v>
      </c>
      <c r="E573" s="204" t="s">
        <v>47</v>
      </c>
      <c r="F573" s="204" t="s">
        <v>48</v>
      </c>
      <c r="G573" s="204" t="s">
        <v>49</v>
      </c>
      <c r="H573" s="204" t="s">
        <v>50</v>
      </c>
      <c r="I573" s="204" t="s">
        <v>15</v>
      </c>
      <c r="K573" t="s">
        <v>729</v>
      </c>
      <c r="L573" t="s">
        <v>730</v>
      </c>
      <c r="M573">
        <v>2025</v>
      </c>
      <c r="N573" t="s">
        <v>729</v>
      </c>
    </row>
    <row r="574" spans="1:14" x14ac:dyDescent="0.2">
      <c r="A574" s="204" t="s">
        <v>34</v>
      </c>
      <c r="B574" s="1">
        <v>45666</v>
      </c>
      <c r="C574" s="204" t="s">
        <v>35</v>
      </c>
      <c r="D574" s="204" t="s">
        <v>10</v>
      </c>
      <c r="E574" s="204" t="s">
        <v>36</v>
      </c>
      <c r="F574" s="204" t="s">
        <v>37</v>
      </c>
      <c r="G574" s="204" t="s">
        <v>24</v>
      </c>
      <c r="H574" s="204" t="s">
        <v>38</v>
      </c>
      <c r="I574" s="204" t="s">
        <v>278</v>
      </c>
      <c r="K574" t="s">
        <v>729</v>
      </c>
      <c r="L574" t="s">
        <v>730</v>
      </c>
      <c r="M574">
        <v>2025</v>
      </c>
      <c r="N574" t="s">
        <v>729</v>
      </c>
    </row>
    <row r="575" spans="1:14" x14ac:dyDescent="0.2">
      <c r="A575" s="204" t="s">
        <v>39</v>
      </c>
      <c r="B575" s="1">
        <v>45666</v>
      </c>
      <c r="C575" s="204" t="s">
        <v>40</v>
      </c>
      <c r="D575" s="204" t="s">
        <v>10</v>
      </c>
      <c r="E575" s="204" t="s">
        <v>41</v>
      </c>
      <c r="F575" s="204" t="s">
        <v>42</v>
      </c>
      <c r="G575" s="204" t="s">
        <v>43</v>
      </c>
      <c r="H575" s="204" t="s">
        <v>44</v>
      </c>
      <c r="I575" s="204" t="s">
        <v>278</v>
      </c>
      <c r="K575" t="s">
        <v>729</v>
      </c>
      <c r="L575" t="s">
        <v>730</v>
      </c>
      <c r="M575">
        <v>2025</v>
      </c>
      <c r="N575" t="s">
        <v>729</v>
      </c>
    </row>
    <row r="576" spans="1:14" x14ac:dyDescent="0.2">
      <c r="A576" s="204" t="s">
        <v>26</v>
      </c>
      <c r="B576" s="1">
        <v>45665</v>
      </c>
      <c r="C576" s="204" t="s">
        <v>9</v>
      </c>
      <c r="D576" s="204" t="s">
        <v>10</v>
      </c>
      <c r="E576" s="204" t="s">
        <v>11</v>
      </c>
      <c r="F576" s="204" t="s">
        <v>27</v>
      </c>
      <c r="G576" s="204" t="s">
        <v>28</v>
      </c>
      <c r="H576" s="204" t="s">
        <v>25</v>
      </c>
      <c r="I576" s="204" t="s">
        <v>15</v>
      </c>
      <c r="K576" t="s">
        <v>729</v>
      </c>
      <c r="L576" t="s">
        <v>730</v>
      </c>
      <c r="M576">
        <v>2025</v>
      </c>
      <c r="N576" t="s">
        <v>729</v>
      </c>
    </row>
    <row r="577" spans="1:14" x14ac:dyDescent="0.2">
      <c r="A577" s="204" t="s">
        <v>29</v>
      </c>
      <c r="B577" s="1">
        <v>45665</v>
      </c>
      <c r="C577" s="204" t="s">
        <v>30</v>
      </c>
      <c r="D577" s="204" t="s">
        <v>10</v>
      </c>
      <c r="E577" s="204" t="s">
        <v>31</v>
      </c>
      <c r="F577" s="204" t="s">
        <v>32</v>
      </c>
      <c r="G577" s="204" t="s">
        <v>28</v>
      </c>
      <c r="H577" s="204" t="s">
        <v>33</v>
      </c>
      <c r="I577" s="204" t="s">
        <v>15</v>
      </c>
      <c r="K577" t="s">
        <v>729</v>
      </c>
      <c r="L577" t="s">
        <v>730</v>
      </c>
      <c r="M577">
        <v>2025</v>
      </c>
      <c r="N577" t="s">
        <v>729</v>
      </c>
    </row>
    <row r="578" spans="1:14" x14ac:dyDescent="0.2">
      <c r="A578" s="204" t="s">
        <v>514</v>
      </c>
      <c r="B578" s="1">
        <v>45665</v>
      </c>
      <c r="C578" s="204" t="s">
        <v>657</v>
      </c>
      <c r="D578" s="204" t="s">
        <v>17</v>
      </c>
      <c r="E578" s="204" t="s">
        <v>18</v>
      </c>
      <c r="F578" s="204" t="s">
        <v>625</v>
      </c>
      <c r="G578" s="204" t="s">
        <v>24</v>
      </c>
      <c r="H578" s="204" t="s">
        <v>626</v>
      </c>
      <c r="I578" s="204" t="s">
        <v>15</v>
      </c>
      <c r="K578" t="s">
        <v>729</v>
      </c>
      <c r="L578" t="s">
        <v>730</v>
      </c>
      <c r="M578">
        <v>2025</v>
      </c>
      <c r="N578" t="s">
        <v>729</v>
      </c>
    </row>
    <row r="579" spans="1:14" x14ac:dyDescent="0.2">
      <c r="A579" s="204" t="s">
        <v>16</v>
      </c>
      <c r="B579" s="1">
        <v>45664</v>
      </c>
      <c r="C579" s="204" t="s">
        <v>657</v>
      </c>
      <c r="D579" s="204" t="s">
        <v>17</v>
      </c>
      <c r="E579" s="204" t="s">
        <v>18</v>
      </c>
      <c r="F579" s="204" t="s">
        <v>19</v>
      </c>
      <c r="G579" s="204" t="s">
        <v>20</v>
      </c>
      <c r="H579" s="204" t="s">
        <v>21</v>
      </c>
      <c r="I579" s="204" t="s">
        <v>15</v>
      </c>
      <c r="K579" t="s">
        <v>729</v>
      </c>
      <c r="L579" t="s">
        <v>730</v>
      </c>
      <c r="M579">
        <v>2025</v>
      </c>
      <c r="N579" t="s">
        <v>729</v>
      </c>
    </row>
    <row r="580" spans="1:14" x14ac:dyDescent="0.2">
      <c r="A580" s="204" t="s">
        <v>22</v>
      </c>
      <c r="B580" s="1">
        <v>45664</v>
      </c>
      <c r="C580" s="204" t="s">
        <v>9</v>
      </c>
      <c r="D580" s="204" t="s">
        <v>10</v>
      </c>
      <c r="E580" s="204" t="s">
        <v>11</v>
      </c>
      <c r="F580" s="204" t="s">
        <v>23</v>
      </c>
      <c r="G580" s="204" t="s">
        <v>24</v>
      </c>
      <c r="H580" s="204" t="s">
        <v>25</v>
      </c>
      <c r="I580" s="204" t="s">
        <v>15</v>
      </c>
      <c r="K580" t="s">
        <v>729</v>
      </c>
      <c r="L580" t="s">
        <v>730</v>
      </c>
      <c r="M580">
        <v>2025</v>
      </c>
      <c r="N580" t="s">
        <v>729</v>
      </c>
    </row>
    <row r="581" spans="1:14" x14ac:dyDescent="0.2">
      <c r="A581" s="204" t="s">
        <v>8</v>
      </c>
      <c r="B581" s="1">
        <v>45660</v>
      </c>
      <c r="C581" s="204" t="s">
        <v>9</v>
      </c>
      <c r="D581" s="204" t="s">
        <v>10</v>
      </c>
      <c r="E581" s="204" t="s">
        <v>11</v>
      </c>
      <c r="F581" s="204" t="s">
        <v>12</v>
      </c>
      <c r="G581" s="204" t="s">
        <v>13</v>
      </c>
      <c r="H581" s="204" t="s">
        <v>14</v>
      </c>
      <c r="I581" s="204" t="s">
        <v>15</v>
      </c>
      <c r="K581" t="s">
        <v>729</v>
      </c>
      <c r="L581" t="s">
        <v>730</v>
      </c>
      <c r="M581">
        <v>2025</v>
      </c>
      <c r="N581" t="s">
        <v>729</v>
      </c>
    </row>
  </sheetData>
  <phoneticPr fontId="1"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7AD531-D281-465E-B8FC-25762B40AB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15</vt:i4>
      </vt:variant>
    </vt:vector>
  </HeadingPairs>
  <TitlesOfParts>
    <vt:vector size="33" baseType="lpstr">
      <vt:lpstr>Filter Dashboard</vt:lpstr>
      <vt:lpstr>Filter_Lists</vt:lpstr>
      <vt:lpstr>Dashboard</vt:lpstr>
      <vt:lpstr>Data</vt:lpstr>
      <vt:lpstr>PivotCache</vt:lpstr>
      <vt:lpstr>Notes</vt:lpstr>
      <vt:lpstr>Month</vt:lpstr>
      <vt:lpstr>FA-RPO-RECORDABLE</vt:lpstr>
      <vt:lpstr>YEAR</vt:lpstr>
      <vt:lpstr>BY QTRS</vt:lpstr>
      <vt:lpstr>BY DEPARTMENT</vt:lpstr>
      <vt:lpstr>ERGO</vt:lpstr>
      <vt:lpstr>Area</vt:lpstr>
      <vt:lpstr>ERgo By Dept</vt:lpstr>
      <vt:lpstr>FA</vt:lpstr>
      <vt:lpstr>Dashboard Data</vt:lpstr>
      <vt:lpstr>Supervisor Insights</vt:lpstr>
      <vt:lpstr>Master_List_Of_Injuries</vt:lpstr>
      <vt:lpstr>fromOffset</vt:lpstr>
      <vt:lpstr>maxDOI</vt:lpstr>
      <vt:lpstr>minDOI</vt:lpstr>
      <vt:lpstr>selArea</vt:lpstr>
      <vt:lpstr>selDept</vt:lpstr>
      <vt:lpstr>selESI</vt:lpstr>
      <vt:lpstr>selFrom</vt:lpstr>
      <vt:lpstr>selMode</vt:lpstr>
      <vt:lpstr>selRec</vt:lpstr>
      <vt:lpstr>selSearch</vt:lpstr>
      <vt:lpstr>selSup</vt:lpstr>
      <vt:lpstr>selTo</vt:lpstr>
      <vt:lpstr>selType</vt:lpstr>
      <vt:lpstr>selYear</vt:lpstr>
      <vt:lpstr>toOffset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 Mao</dc:creator>
  <cp:lastModifiedBy>Leo Mao</cp:lastModifiedBy>
  <dcterms:created xsi:type="dcterms:W3CDTF">2026-02-23T18:16:55Z</dcterms:created>
  <dcterms:modified xsi:type="dcterms:W3CDTF">2026-07-27T17:38:24Z</dcterms:modified>
</cp:coreProperties>
</file>